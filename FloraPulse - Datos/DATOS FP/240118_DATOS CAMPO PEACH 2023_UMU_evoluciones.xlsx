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filterPrivacy="1"/>
  <xr:revisionPtr revIDLastSave="0" documentId="11_1815DB7CD478EB732249FCEB2E4920B5DD3BD5BD" xr6:coauthVersionLast="47" xr6:coauthVersionMax="47" xr10:uidLastSave="{00000000-0000-0000-0000-000000000000}"/>
  <bookViews>
    <workbookView xWindow="-105" yWindow="-105" windowWidth="19425" windowHeight="10305" firstSheet="5" activeTab="5" xr2:uid="{00000000-000D-0000-FFFF-FFFF00000000}"/>
  </bookViews>
  <sheets>
    <sheet name="Diario" sheetId="2" r:id="rId1"/>
    <sheet name="PotencialesTalloHoja" sheetId="1" r:id="rId2"/>
    <sheet name="Cosecha2023" sheetId="4" r:id="rId3"/>
    <sheet name="Calidad fruto" sheetId="20" r:id="rId4"/>
    <sheet name="Muestreo raíces" sheetId="19" r:id="rId5"/>
    <sheet name="LI-600 26.04.23" sheetId="3" r:id="rId6"/>
    <sheet name="LI-600 26.07.03" sheetId="6" r:id="rId7"/>
    <sheet name="Evolución 26.07.23" sheetId="5" r:id="rId8"/>
    <sheet name="FP 26.07.03" sheetId="7" r:id="rId9"/>
    <sheet name="PTvsFP 26.07.23" sheetId="13" r:id="rId10"/>
    <sheet name="LI-600 11.08.23" sheetId="9" r:id="rId11"/>
    <sheet name="Evolución 11.08.23" sheetId="8" r:id="rId12"/>
    <sheet name="FP 11.08.23" sheetId="10" r:id="rId13"/>
    <sheet name="PTvsFP 11.08.23" sheetId="12" r:id="rId14"/>
    <sheet name="LI-600 07.09.23" sheetId="18" r:id="rId15"/>
    <sheet name="Evolución 7.09.23" sheetId="14" r:id="rId16"/>
    <sheet name="FP 07.09.23" sheetId="15" r:id="rId17"/>
    <sheet name="PTvsFP 07.09.23" sheetId="16"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3" i="19" l="1"/>
  <c r="I93" i="19"/>
  <c r="H93" i="19"/>
  <c r="G93" i="19"/>
  <c r="J92" i="19"/>
  <c r="I92" i="19"/>
  <c r="H92" i="19"/>
  <c r="G92" i="19"/>
  <c r="J91" i="19"/>
  <c r="I91" i="19"/>
  <c r="H91" i="19"/>
  <c r="G91" i="19"/>
  <c r="J89" i="19"/>
  <c r="I89" i="19"/>
  <c r="H89" i="19"/>
  <c r="G89" i="19"/>
  <c r="J88" i="19"/>
  <c r="I88" i="19"/>
  <c r="H88" i="19"/>
  <c r="G88" i="19"/>
  <c r="J87" i="19"/>
  <c r="I87" i="19"/>
  <c r="H87" i="19"/>
  <c r="G87" i="19"/>
  <c r="J85" i="19"/>
  <c r="I85" i="19"/>
  <c r="H85" i="19"/>
  <c r="G85" i="19"/>
  <c r="J84" i="19"/>
  <c r="I84" i="19"/>
  <c r="H84" i="19"/>
  <c r="G84" i="19"/>
  <c r="J83" i="19"/>
  <c r="I83" i="19"/>
  <c r="H83" i="19"/>
  <c r="G83" i="19"/>
  <c r="J81" i="19"/>
  <c r="I81" i="19"/>
  <c r="H81" i="19"/>
  <c r="G81" i="19"/>
  <c r="J80" i="19"/>
  <c r="I80" i="19"/>
  <c r="H80" i="19"/>
  <c r="G80" i="19"/>
  <c r="J79" i="19"/>
  <c r="I79" i="19"/>
  <c r="H79" i="19"/>
  <c r="G79" i="19"/>
  <c r="J77" i="19"/>
  <c r="I77" i="19"/>
  <c r="H77" i="19"/>
  <c r="G77" i="19"/>
  <c r="J76" i="19"/>
  <c r="I76" i="19"/>
  <c r="H76" i="19"/>
  <c r="G76" i="19"/>
  <c r="J75" i="19"/>
  <c r="I75" i="19"/>
  <c r="H75" i="19"/>
  <c r="G75" i="19"/>
  <c r="J73" i="19"/>
  <c r="I73" i="19"/>
  <c r="H73" i="19"/>
  <c r="G73" i="19"/>
  <c r="J72" i="19"/>
  <c r="I72" i="19"/>
  <c r="H72" i="19"/>
  <c r="G72" i="19"/>
  <c r="J71" i="19"/>
  <c r="I71" i="19"/>
  <c r="H71" i="19"/>
  <c r="G71" i="19"/>
  <c r="J69" i="19"/>
  <c r="I69" i="19"/>
  <c r="H69" i="19"/>
  <c r="G69" i="19"/>
  <c r="J68" i="19"/>
  <c r="I68" i="19"/>
  <c r="H68" i="19"/>
  <c r="G68" i="19"/>
  <c r="J67" i="19"/>
  <c r="I67" i="19"/>
  <c r="H67" i="19"/>
  <c r="G67" i="19"/>
  <c r="J65" i="19"/>
  <c r="I65" i="19"/>
  <c r="H65" i="19"/>
  <c r="G65" i="19"/>
  <c r="J64" i="19"/>
  <c r="I64" i="19"/>
  <c r="H64" i="19"/>
  <c r="G64" i="19"/>
  <c r="J63" i="19"/>
  <c r="I63" i="19"/>
  <c r="H63" i="19"/>
  <c r="G63" i="19"/>
  <c r="K61" i="19"/>
  <c r="K60" i="19"/>
  <c r="K59" i="19"/>
  <c r="K58" i="19"/>
  <c r="K57" i="19"/>
  <c r="K56" i="19"/>
  <c r="K55" i="19"/>
  <c r="K54" i="19"/>
  <c r="K53" i="19"/>
  <c r="K52" i="19"/>
  <c r="K51" i="19"/>
  <c r="K50" i="19"/>
  <c r="K49" i="19"/>
  <c r="K48" i="19"/>
  <c r="K47" i="19"/>
  <c r="K46" i="19"/>
  <c r="K45" i="19"/>
  <c r="K44" i="19"/>
  <c r="K43" i="19"/>
  <c r="K93" i="19" s="1"/>
  <c r="K42" i="19"/>
  <c r="K88" i="19" s="1"/>
  <c r="K41" i="19"/>
  <c r="K87" i="19" s="1"/>
  <c r="K40" i="19"/>
  <c r="K81" i="19" s="1"/>
  <c r="K39" i="19"/>
  <c r="K80" i="19" s="1"/>
  <c r="K38" i="19"/>
  <c r="K83" i="19" s="1"/>
  <c r="K37" i="19"/>
  <c r="K36" i="19"/>
  <c r="K35" i="19"/>
  <c r="K34" i="19"/>
  <c r="K33" i="19"/>
  <c r="K32" i="19"/>
  <c r="K31" i="19"/>
  <c r="K30" i="19"/>
  <c r="K29" i="19"/>
  <c r="K28" i="19"/>
  <c r="K27" i="19"/>
  <c r="K26" i="19"/>
  <c r="K25" i="19"/>
  <c r="K24" i="19"/>
  <c r="K23" i="19"/>
  <c r="K22" i="19"/>
  <c r="K21" i="19"/>
  <c r="K20" i="19"/>
  <c r="K19" i="19"/>
  <c r="K18" i="19"/>
  <c r="K17" i="19"/>
  <c r="K16" i="19"/>
  <c r="K15" i="19"/>
  <c r="K14" i="19"/>
  <c r="K13" i="19"/>
  <c r="K12" i="19"/>
  <c r="K11" i="19"/>
  <c r="K10" i="19"/>
  <c r="K9" i="19"/>
  <c r="K8" i="19"/>
  <c r="K7" i="19"/>
  <c r="K73" i="19" s="1"/>
  <c r="K6" i="19"/>
  <c r="K72" i="19" s="1"/>
  <c r="K5" i="19"/>
  <c r="K71" i="19" s="1"/>
  <c r="K4" i="19"/>
  <c r="K65" i="19" s="1"/>
  <c r="K3" i="19"/>
  <c r="K64" i="19" s="1"/>
  <c r="K2" i="19"/>
  <c r="K63" i="19" s="1"/>
  <c r="K68" i="19" l="1"/>
  <c r="K79" i="19"/>
  <c r="K89" i="19"/>
  <c r="K75" i="19"/>
  <c r="K85" i="19"/>
  <c r="K92" i="19"/>
  <c r="K67" i="19"/>
  <c r="K77" i="19"/>
  <c r="K84" i="19"/>
  <c r="K69" i="19"/>
  <c r="K91" i="19"/>
  <c r="K76" i="19"/>
  <c r="N69" i="1" l="1"/>
  <c r="N68" i="1"/>
  <c r="N67" i="1"/>
  <c r="N66" i="1"/>
  <c r="N65" i="1"/>
  <c r="N64" i="1"/>
  <c r="N63" i="1"/>
  <c r="N62" i="1"/>
  <c r="N61" i="1"/>
  <c r="N59" i="1"/>
  <c r="P59" i="1" s="1"/>
  <c r="N51" i="1"/>
  <c r="P51" i="1" s="1"/>
  <c r="Q3" i="16" l="1"/>
  <c r="Q9" i="16" s="1"/>
  <c r="R3" i="16"/>
  <c r="R9" i="16" s="1"/>
  <c r="Q4" i="16"/>
  <c r="Q10" i="16" s="1"/>
  <c r="R4" i="16"/>
  <c r="R10" i="16" s="1"/>
  <c r="Q5" i="16"/>
  <c r="Q11" i="16" s="1"/>
  <c r="R5" i="16"/>
  <c r="R11" i="16" s="1"/>
  <c r="Q6" i="16"/>
  <c r="Q12" i="16" s="1"/>
  <c r="R6" i="16"/>
  <c r="R12" i="16" s="1"/>
  <c r="L3" i="16"/>
  <c r="L9" i="16" s="1"/>
  <c r="M3" i="16"/>
  <c r="M9" i="16" s="1"/>
  <c r="L4" i="16"/>
  <c r="L10" i="16" s="1"/>
  <c r="M4" i="16"/>
  <c r="M10" i="16" s="1"/>
  <c r="L5" i="16"/>
  <c r="L11" i="16" s="1"/>
  <c r="M5" i="16"/>
  <c r="M11" i="16" s="1"/>
  <c r="L6" i="16"/>
  <c r="L12" i="16" s="1"/>
  <c r="M6" i="16"/>
  <c r="M12" i="16" s="1"/>
  <c r="R2" i="12"/>
  <c r="R8" i="12" s="1"/>
  <c r="R3" i="12"/>
  <c r="R9" i="12" s="1"/>
  <c r="R4" i="12"/>
  <c r="R10" i="12" s="1"/>
  <c r="R5" i="12"/>
  <c r="R11" i="12" s="1"/>
  <c r="R6" i="12"/>
  <c r="R12" i="12" s="1"/>
  <c r="M2" i="12"/>
  <c r="M8" i="12" s="1"/>
  <c r="M3" i="12"/>
  <c r="M9" i="12" s="1"/>
  <c r="M4" i="12"/>
  <c r="M10" i="12" s="1"/>
  <c r="M5" i="12"/>
  <c r="M11" i="12" s="1"/>
  <c r="M6" i="12"/>
  <c r="M12" i="12" s="1"/>
  <c r="R2" i="13"/>
  <c r="R8" i="13" s="1"/>
  <c r="R3" i="13"/>
  <c r="R9" i="13" s="1"/>
  <c r="R4" i="13"/>
  <c r="R10" i="13" s="1"/>
  <c r="R5" i="13"/>
  <c r="R11" i="13" s="1"/>
  <c r="R6" i="13"/>
  <c r="R12" i="13" s="1"/>
  <c r="M2" i="13"/>
  <c r="M8" i="13" s="1"/>
  <c r="M3" i="13"/>
  <c r="M9" i="13" s="1"/>
  <c r="M4" i="13"/>
  <c r="M10" i="13" s="1"/>
  <c r="M5" i="13"/>
  <c r="M11" i="13" s="1"/>
  <c r="M6" i="13"/>
  <c r="M12" i="13" s="1"/>
  <c r="Q2" i="13"/>
  <c r="Q8" i="13" s="1"/>
  <c r="Q3" i="13"/>
  <c r="Q9" i="13" s="1"/>
  <c r="Q4" i="13"/>
  <c r="Q10" i="13" s="1"/>
  <c r="Q5" i="13"/>
  <c r="Q11" i="13" s="1"/>
  <c r="Q6" i="13"/>
  <c r="Q12" i="13" s="1"/>
  <c r="L2" i="13"/>
  <c r="L8" i="13" s="1"/>
  <c r="L3" i="13"/>
  <c r="L9" i="13" s="1"/>
  <c r="L4" i="13"/>
  <c r="L10" i="13" s="1"/>
  <c r="L5" i="13"/>
  <c r="L11" i="13" s="1"/>
  <c r="L6" i="13"/>
  <c r="L12" i="13" s="1"/>
  <c r="Q2" i="12"/>
  <c r="Q8" i="12" s="1"/>
  <c r="Q3" i="12"/>
  <c r="Q9" i="12" s="1"/>
  <c r="Q4" i="12"/>
  <c r="Q10" i="12" s="1"/>
  <c r="Q5" i="12"/>
  <c r="Q11" i="12" s="1"/>
  <c r="Q6" i="12"/>
  <c r="Q12" i="12" s="1"/>
  <c r="L2" i="12"/>
  <c r="L8" i="12" s="1"/>
  <c r="L3" i="12"/>
  <c r="L9" i="12" s="1"/>
  <c r="L4" i="12"/>
  <c r="L10" i="12" s="1"/>
  <c r="L5" i="12"/>
  <c r="L11" i="12" s="1"/>
  <c r="L6" i="12"/>
  <c r="L12" i="12" s="1"/>
  <c r="P6" i="16"/>
  <c r="P12" i="16" s="1"/>
  <c r="O6" i="16"/>
  <c r="O12" i="16" s="1"/>
  <c r="P5" i="16"/>
  <c r="P11" i="16" s="1"/>
  <c r="O5" i="16"/>
  <c r="O11" i="16" s="1"/>
  <c r="P4" i="16"/>
  <c r="P10" i="16" s="1"/>
  <c r="O4" i="16"/>
  <c r="O10" i="16" s="1"/>
  <c r="P3" i="16"/>
  <c r="P9" i="16" s="1"/>
  <c r="O3" i="16"/>
  <c r="O9" i="16" s="1"/>
  <c r="P2" i="16"/>
  <c r="P8" i="16" s="1"/>
  <c r="O2" i="16"/>
  <c r="O8" i="16" s="1"/>
  <c r="P6" i="12"/>
  <c r="P12" i="12" s="1"/>
  <c r="O6" i="12"/>
  <c r="O12" i="12" s="1"/>
  <c r="P5" i="12"/>
  <c r="P11" i="12" s="1"/>
  <c r="O5" i="12"/>
  <c r="O11" i="12" s="1"/>
  <c r="P4" i="12"/>
  <c r="P10" i="12" s="1"/>
  <c r="O4" i="12"/>
  <c r="O10" i="12" s="1"/>
  <c r="P3" i="12"/>
  <c r="P9" i="12" s="1"/>
  <c r="O3" i="12"/>
  <c r="O9" i="12" s="1"/>
  <c r="P2" i="12"/>
  <c r="P8" i="12" s="1"/>
  <c r="O2" i="12"/>
  <c r="O8" i="12" s="1"/>
  <c r="P6" i="13"/>
  <c r="P12" i="13" s="1"/>
  <c r="O6" i="13"/>
  <c r="O12" i="13" s="1"/>
  <c r="P5" i="13"/>
  <c r="P11" i="13" s="1"/>
  <c r="O5" i="13"/>
  <c r="O11" i="13" s="1"/>
  <c r="P4" i="13"/>
  <c r="P10" i="13" s="1"/>
  <c r="O4" i="13"/>
  <c r="O10" i="13" s="1"/>
  <c r="P3" i="13"/>
  <c r="P9" i="13" s="1"/>
  <c r="O3" i="13"/>
  <c r="O9" i="13" s="1"/>
  <c r="P2" i="13"/>
  <c r="P8" i="13" s="1"/>
  <c r="O2" i="13"/>
  <c r="O8" i="13" s="1"/>
  <c r="K2" i="13"/>
  <c r="K8" i="13" s="1"/>
  <c r="J2" i="13"/>
  <c r="J8" i="13" s="1"/>
  <c r="K6" i="16"/>
  <c r="K12" i="16" s="1"/>
  <c r="J6" i="16"/>
  <c r="J12" i="16" s="1"/>
  <c r="K5" i="12"/>
  <c r="K11" i="12" s="1"/>
  <c r="K6" i="13"/>
  <c r="K12" i="13" s="1"/>
  <c r="J6" i="13"/>
  <c r="J12" i="13" s="1"/>
  <c r="I6" i="13"/>
  <c r="I12" i="13" s="1"/>
  <c r="J4" i="13"/>
  <c r="J10" i="13" s="1"/>
  <c r="K5" i="13"/>
  <c r="K11" i="13" s="1"/>
  <c r="J5" i="13"/>
  <c r="J11" i="13" s="1"/>
  <c r="I5" i="13"/>
  <c r="I11" i="13" s="1"/>
  <c r="K4" i="13"/>
  <c r="K10" i="13" s="1"/>
  <c r="I4" i="13"/>
  <c r="I10" i="13" s="1"/>
  <c r="K3" i="13"/>
  <c r="K9" i="13" s="1"/>
  <c r="J3" i="13"/>
  <c r="J9" i="13" s="1"/>
  <c r="I3" i="13"/>
  <c r="I9" i="13" s="1"/>
  <c r="I2" i="13"/>
  <c r="I8" i="13" s="1"/>
  <c r="I6" i="16"/>
  <c r="I12" i="16" s="1"/>
  <c r="K5" i="16"/>
  <c r="K11" i="16" s="1"/>
  <c r="J5" i="16"/>
  <c r="J11" i="16" s="1"/>
  <c r="I5" i="16"/>
  <c r="I11" i="16" s="1"/>
  <c r="K4" i="16"/>
  <c r="K10" i="16" s="1"/>
  <c r="J4" i="16"/>
  <c r="J10" i="16" s="1"/>
  <c r="I4" i="16"/>
  <c r="I10" i="16" s="1"/>
  <c r="K3" i="16"/>
  <c r="K9" i="16" s="1"/>
  <c r="J3" i="16"/>
  <c r="J9" i="16" s="1"/>
  <c r="I3" i="16"/>
  <c r="I9" i="16" s="1"/>
  <c r="K2" i="16"/>
  <c r="K8" i="16" s="1"/>
  <c r="J2" i="16"/>
  <c r="J8" i="16" s="1"/>
  <c r="I2" i="16"/>
  <c r="I8" i="16" s="1"/>
  <c r="K6" i="12"/>
  <c r="K12" i="12" s="1"/>
  <c r="J6" i="12"/>
  <c r="J12" i="12" s="1"/>
  <c r="I6" i="12"/>
  <c r="I12" i="12" s="1"/>
  <c r="J5" i="12"/>
  <c r="J11" i="12" s="1"/>
  <c r="I5" i="12"/>
  <c r="I11" i="12" s="1"/>
  <c r="K4" i="12"/>
  <c r="K10" i="12" s="1"/>
  <c r="J4" i="12"/>
  <c r="J10" i="12" s="1"/>
  <c r="I4" i="12"/>
  <c r="I10" i="12" s="1"/>
  <c r="K3" i="12"/>
  <c r="K9" i="12" s="1"/>
  <c r="J3" i="12"/>
  <c r="J9" i="12" s="1"/>
  <c r="I3" i="12"/>
  <c r="I9" i="12" s="1"/>
  <c r="K2" i="12"/>
  <c r="K8" i="12" s="1"/>
  <c r="J2" i="12"/>
  <c r="J8" i="12" s="1"/>
  <c r="I2" i="12"/>
  <c r="I8" i="12" s="1"/>
  <c r="W50" i="14" l="1"/>
  <c r="W49" i="14"/>
  <c r="W48" i="14"/>
  <c r="W47" i="14"/>
  <c r="W46" i="14"/>
  <c r="W45" i="14"/>
  <c r="W44" i="14"/>
  <c r="W43" i="14"/>
  <c r="W42" i="14"/>
  <c r="W40" i="14"/>
  <c r="W39" i="14"/>
  <c r="W38" i="14"/>
  <c r="W37" i="14"/>
  <c r="W36" i="14"/>
  <c r="W35" i="14"/>
  <c r="W34" i="14"/>
  <c r="W33" i="14"/>
  <c r="W32" i="14"/>
  <c r="W30" i="14"/>
  <c r="W29" i="14"/>
  <c r="W28" i="14"/>
  <c r="W27" i="14"/>
  <c r="W26" i="14"/>
  <c r="W25" i="14"/>
  <c r="W24" i="14"/>
  <c r="W23" i="14"/>
  <c r="W22" i="14"/>
  <c r="W13" i="14"/>
  <c r="W14" i="14"/>
  <c r="W15" i="14"/>
  <c r="W16" i="14"/>
  <c r="W17" i="14"/>
  <c r="W18" i="14"/>
  <c r="W19" i="14"/>
  <c r="W20" i="14"/>
  <c r="W12" i="14"/>
  <c r="AC2" i="5" l="1"/>
  <c r="AB2" i="5"/>
  <c r="AE2" i="5" l="1"/>
  <c r="AB44" i="5" l="1"/>
  <c r="AC44" i="5"/>
  <c r="AD44" i="5"/>
  <c r="AE44" i="5"/>
  <c r="AF44" i="5"/>
  <c r="AG44" i="5"/>
  <c r="AH44" i="5"/>
  <c r="AB45" i="5"/>
  <c r="AC45" i="5"/>
  <c r="AD45" i="5"/>
  <c r="AE45" i="5"/>
  <c r="AF45" i="5"/>
  <c r="AG45" i="5"/>
  <c r="AH45" i="5"/>
  <c r="AB46" i="5"/>
  <c r="AC46" i="5"/>
  <c r="AD46" i="5"/>
  <c r="AE46" i="5"/>
  <c r="AF46" i="5"/>
  <c r="AG46" i="5"/>
  <c r="AH46" i="5"/>
  <c r="AB47" i="5"/>
  <c r="AC47" i="5"/>
  <c r="AD47" i="5"/>
  <c r="AE47" i="5"/>
  <c r="AF47" i="5"/>
  <c r="AG47" i="5"/>
  <c r="AH47" i="5"/>
  <c r="AB48" i="5"/>
  <c r="AC48" i="5"/>
  <c r="AD48" i="5"/>
  <c r="AE48" i="5"/>
  <c r="AF48" i="5"/>
  <c r="AG48" i="5"/>
  <c r="AH48" i="5"/>
  <c r="AH43" i="5"/>
  <c r="AG43" i="5"/>
  <c r="AF43" i="5"/>
  <c r="AE43" i="5"/>
  <c r="AD43" i="5"/>
  <c r="AC43" i="5"/>
  <c r="AB43" i="5"/>
  <c r="AH42" i="5"/>
  <c r="AG42" i="5"/>
  <c r="AF42" i="5"/>
  <c r="AE42" i="5"/>
  <c r="AD42" i="5"/>
  <c r="AC42" i="5"/>
  <c r="AB42" i="5"/>
  <c r="AH41" i="5"/>
  <c r="AG41" i="5"/>
  <c r="AG61" i="5" s="1"/>
  <c r="AF41" i="5"/>
  <c r="AE41" i="5"/>
  <c r="AE61" i="5" s="1"/>
  <c r="AD41" i="5"/>
  <c r="AC41" i="5"/>
  <c r="AC55" i="5" s="1"/>
  <c r="AB41" i="5"/>
  <c r="AB55" i="5" s="1"/>
  <c r="AC34" i="5"/>
  <c r="AF36" i="5"/>
  <c r="AB33" i="5"/>
  <c r="AC33" i="5"/>
  <c r="AD33" i="5"/>
  <c r="AE33" i="5"/>
  <c r="AF33" i="5"/>
  <c r="AG33" i="5"/>
  <c r="AH33" i="5"/>
  <c r="AB35" i="5"/>
  <c r="AC35" i="5"/>
  <c r="AD35" i="5"/>
  <c r="AE35" i="5"/>
  <c r="AF35" i="5"/>
  <c r="AG35" i="5"/>
  <c r="AH35" i="5"/>
  <c r="AB36" i="5"/>
  <c r="AC36" i="5"/>
  <c r="AD36" i="5"/>
  <c r="AE36" i="5"/>
  <c r="AG36" i="5"/>
  <c r="AH36" i="5"/>
  <c r="AB37" i="5"/>
  <c r="AC37" i="5"/>
  <c r="AD37" i="5"/>
  <c r="AE37" i="5"/>
  <c r="AF37" i="5"/>
  <c r="AG37" i="5"/>
  <c r="AH37" i="5"/>
  <c r="AB38" i="5"/>
  <c r="AC38" i="5"/>
  <c r="AD38" i="5"/>
  <c r="AE38" i="5"/>
  <c r="AF38" i="5"/>
  <c r="AG38" i="5"/>
  <c r="AH38" i="5"/>
  <c r="AB39" i="5"/>
  <c r="AB66" i="5" s="1"/>
  <c r="AC39" i="5"/>
  <c r="AC66" i="5" s="1"/>
  <c r="AD39" i="5"/>
  <c r="AC71" i="5" s="1"/>
  <c r="AE39" i="5"/>
  <c r="AE66" i="5" s="1"/>
  <c r="AF39" i="5"/>
  <c r="AE71" i="5" s="1"/>
  <c r="AG39" i="5"/>
  <c r="AG66" i="5" s="1"/>
  <c r="AH39" i="5"/>
  <c r="AB34" i="5"/>
  <c r="AD34" i="5"/>
  <c r="AE34" i="5"/>
  <c r="AF34" i="5"/>
  <c r="AG34" i="5"/>
  <c r="AH34" i="5"/>
  <c r="AH32" i="5"/>
  <c r="AG32" i="5"/>
  <c r="AF32" i="5"/>
  <c r="AE32" i="5"/>
  <c r="AD32" i="5"/>
  <c r="AC32" i="5"/>
  <c r="AB32" i="5"/>
  <c r="AH31" i="5"/>
  <c r="AG31" i="5"/>
  <c r="AG54" i="5" s="1"/>
  <c r="AF31" i="5"/>
  <c r="AE31" i="5"/>
  <c r="AE60" i="5" s="1"/>
  <c r="AD31" i="5"/>
  <c r="AC31" i="5"/>
  <c r="AC54" i="5" s="1"/>
  <c r="AB31" i="5"/>
  <c r="AB54" i="5" s="1"/>
  <c r="AC27" i="5"/>
  <c r="AE21" i="5"/>
  <c r="AB23" i="5"/>
  <c r="AC23" i="5"/>
  <c r="AD23" i="5"/>
  <c r="AE23" i="5"/>
  <c r="AF23" i="5"/>
  <c r="AG23" i="5"/>
  <c r="AH23" i="5"/>
  <c r="AB24" i="5"/>
  <c r="AC24" i="5"/>
  <c r="AD24" i="5"/>
  <c r="AE24" i="5"/>
  <c r="AF24" i="5"/>
  <c r="AG24" i="5"/>
  <c r="AH24" i="5"/>
  <c r="AB26" i="5"/>
  <c r="AC26" i="5"/>
  <c r="AD26" i="5"/>
  <c r="AE26" i="5"/>
  <c r="AF26" i="5"/>
  <c r="AG26" i="5"/>
  <c r="AH26" i="5"/>
  <c r="AB27" i="5"/>
  <c r="AD27" i="5"/>
  <c r="AE27" i="5"/>
  <c r="AF27" i="5"/>
  <c r="AG27" i="5"/>
  <c r="AH27" i="5"/>
  <c r="AB28" i="5"/>
  <c r="AB65" i="5" s="1"/>
  <c r="AC28" i="5"/>
  <c r="AC65" i="5" s="1"/>
  <c r="AD28" i="5"/>
  <c r="AC70" i="5" s="1"/>
  <c r="AE28" i="5"/>
  <c r="AE65" i="5" s="1"/>
  <c r="AF28" i="5"/>
  <c r="AE70" i="5" s="1"/>
  <c r="AG28" i="5"/>
  <c r="AG65" i="5" s="1"/>
  <c r="AH28" i="5"/>
  <c r="AB29" i="5"/>
  <c r="AC29" i="5"/>
  <c r="AD29" i="5"/>
  <c r="AE29" i="5"/>
  <c r="AF29" i="5"/>
  <c r="AG29" i="5"/>
  <c r="AH29" i="5"/>
  <c r="AH22" i="5"/>
  <c r="AG22" i="5"/>
  <c r="AF22" i="5"/>
  <c r="AE22" i="5"/>
  <c r="AD22" i="5"/>
  <c r="AC22" i="5"/>
  <c r="AB22" i="5"/>
  <c r="AH21" i="5"/>
  <c r="AG21" i="5"/>
  <c r="AG53" i="5" s="1"/>
  <c r="AF21" i="5"/>
  <c r="AD21" i="5"/>
  <c r="AC21" i="5"/>
  <c r="AC59" i="5" s="1"/>
  <c r="AB21" i="5"/>
  <c r="AB53" i="5" s="1"/>
  <c r="AE18" i="5"/>
  <c r="AE64" i="5" s="1"/>
  <c r="AB13" i="5"/>
  <c r="AC13" i="5"/>
  <c r="AD13" i="5"/>
  <c r="AE13" i="5"/>
  <c r="AF13" i="5"/>
  <c r="AG13" i="5"/>
  <c r="AH13" i="5"/>
  <c r="AB14" i="5"/>
  <c r="AC14" i="5"/>
  <c r="AD14" i="5"/>
  <c r="AE14" i="5"/>
  <c r="AF14" i="5"/>
  <c r="AG14" i="5"/>
  <c r="AH14" i="5"/>
  <c r="AB15" i="5"/>
  <c r="AC15" i="5"/>
  <c r="AD15" i="5"/>
  <c r="AE15" i="5"/>
  <c r="AF15" i="5"/>
  <c r="AG15" i="5"/>
  <c r="AH15" i="5"/>
  <c r="AB16" i="5"/>
  <c r="AC16" i="5"/>
  <c r="AD16" i="5"/>
  <c r="AE16" i="5"/>
  <c r="AF16" i="5"/>
  <c r="AG16" i="5"/>
  <c r="AH16" i="5"/>
  <c r="AB17" i="5"/>
  <c r="AC17" i="5"/>
  <c r="AD17" i="5"/>
  <c r="AE17" i="5"/>
  <c r="AF17" i="5"/>
  <c r="AG17" i="5"/>
  <c r="AH17" i="5"/>
  <c r="AB18" i="5"/>
  <c r="AB64" i="5" s="1"/>
  <c r="AC18" i="5"/>
  <c r="AC64" i="5" s="1"/>
  <c r="AD18" i="5"/>
  <c r="AC69" i="5" s="1"/>
  <c r="AF18" i="5"/>
  <c r="AE69" i="5" s="1"/>
  <c r="AG18" i="5"/>
  <c r="AG64" i="5" s="1"/>
  <c r="AH18" i="5"/>
  <c r="AE19" i="5"/>
  <c r="AF19" i="5"/>
  <c r="AG19" i="5"/>
  <c r="AH19" i="5"/>
  <c r="AH12" i="5"/>
  <c r="AG12" i="5"/>
  <c r="AF12" i="5"/>
  <c r="AE12" i="5"/>
  <c r="AD12" i="5"/>
  <c r="AC12" i="5"/>
  <c r="AB12" i="5"/>
  <c r="AH11" i="5"/>
  <c r="AG11" i="5"/>
  <c r="AG58" i="5" s="1"/>
  <c r="AF11" i="5"/>
  <c r="AE11" i="5"/>
  <c r="AE58" i="5" s="1"/>
  <c r="AD11" i="5"/>
  <c r="AC11" i="5"/>
  <c r="AC58" i="5" s="1"/>
  <c r="AB11" i="5"/>
  <c r="AB52" i="5" s="1"/>
  <c r="AE3" i="5"/>
  <c r="AF3" i="5"/>
  <c r="AG3" i="5"/>
  <c r="AH3" i="5"/>
  <c r="AE4" i="5"/>
  <c r="AF4" i="5"/>
  <c r="AG4" i="5"/>
  <c r="AH4" i="5"/>
  <c r="AE5" i="5"/>
  <c r="AF5" i="5"/>
  <c r="AG5" i="5"/>
  <c r="AH5" i="5"/>
  <c r="AE6" i="5"/>
  <c r="AF6" i="5"/>
  <c r="AG6" i="5"/>
  <c r="AH6" i="5"/>
  <c r="AE7" i="5"/>
  <c r="AF7" i="5"/>
  <c r="AG7" i="5"/>
  <c r="AH7" i="5"/>
  <c r="AE8" i="5"/>
  <c r="AF8" i="5"/>
  <c r="AG8" i="5"/>
  <c r="AH8" i="5"/>
  <c r="AE9" i="5"/>
  <c r="AE63" i="5" s="1"/>
  <c r="AF9" i="5"/>
  <c r="AE68" i="5" s="1"/>
  <c r="AG9" i="5"/>
  <c r="AG63" i="5" s="1"/>
  <c r="AH9" i="5"/>
  <c r="AH2" i="5"/>
  <c r="AG2" i="5"/>
  <c r="AG57" i="5" s="1"/>
  <c r="AF2" i="5"/>
  <c r="AB3" i="5"/>
  <c r="AC3" i="5"/>
  <c r="AD3" i="5"/>
  <c r="AB4" i="5"/>
  <c r="AC4" i="5"/>
  <c r="AD4" i="5"/>
  <c r="AB5" i="5"/>
  <c r="AC5" i="5"/>
  <c r="AD5" i="5"/>
  <c r="AB6" i="5"/>
  <c r="AC6" i="5"/>
  <c r="AD6" i="5"/>
  <c r="AB7" i="5"/>
  <c r="AC7" i="5"/>
  <c r="AD7" i="5"/>
  <c r="AB8" i="5"/>
  <c r="AC8" i="5"/>
  <c r="AD8" i="5"/>
  <c r="AB9" i="5"/>
  <c r="AB63" i="5" s="1"/>
  <c r="AC9" i="5"/>
  <c r="AC63" i="5" s="1"/>
  <c r="AD9" i="5"/>
  <c r="AC68" i="5" s="1"/>
  <c r="AD2" i="5"/>
  <c r="AE51" i="5" l="1"/>
  <c r="AE53" i="5"/>
  <c r="AG52" i="5"/>
  <c r="AC60" i="5"/>
  <c r="AE52" i="5"/>
  <c r="AC61" i="5"/>
  <c r="AG59" i="5"/>
  <c r="AG51" i="5"/>
  <c r="AE57" i="5"/>
  <c r="AG60" i="5"/>
  <c r="AC51" i="5"/>
  <c r="AG55" i="5"/>
  <c r="AB51" i="5"/>
  <c r="AE55" i="5"/>
  <c r="AE59" i="5"/>
  <c r="AC52" i="5"/>
  <c r="AE54" i="5"/>
  <c r="AC57" i="5"/>
  <c r="AC53" i="5"/>
  <c r="N54" i="1"/>
  <c r="P54" i="1" s="1"/>
  <c r="N52" i="1"/>
  <c r="P52" i="1" s="1"/>
  <c r="N58" i="1"/>
  <c r="P58" i="1" s="1"/>
  <c r="N57" i="1"/>
  <c r="P57" i="1" s="1"/>
  <c r="N53" i="1"/>
  <c r="P53" i="1" s="1"/>
  <c r="N55" i="1"/>
  <c r="P55" i="1" s="1"/>
  <c r="N56" i="1"/>
  <c r="P56" i="1" s="1"/>
  <c r="K3" i="4" l="1"/>
  <c r="S3" i="4" s="1"/>
  <c r="K4" i="4"/>
  <c r="S4" i="4" s="1"/>
  <c r="K5" i="4"/>
  <c r="S5" i="4" s="1"/>
  <c r="K6" i="4"/>
  <c r="S6" i="4" s="1"/>
  <c r="K7" i="4"/>
  <c r="S7" i="4" s="1"/>
  <c r="K8" i="4"/>
  <c r="L8" i="4"/>
  <c r="K9" i="4"/>
  <c r="L9" i="4"/>
  <c r="M9" i="4"/>
  <c r="N9" i="4"/>
  <c r="O9" i="4"/>
  <c r="K10" i="4"/>
  <c r="L10" i="4"/>
  <c r="M10" i="4"/>
  <c r="K11" i="4"/>
  <c r="L11" i="4"/>
  <c r="M11" i="4"/>
  <c r="N11" i="4"/>
  <c r="O11" i="4"/>
  <c r="P11" i="4"/>
  <c r="K12" i="4"/>
  <c r="L12" i="4"/>
  <c r="M12" i="4"/>
  <c r="K13" i="4"/>
  <c r="L13" i="4"/>
  <c r="K14" i="4"/>
  <c r="L14" i="4"/>
  <c r="M14" i="4"/>
  <c r="N14" i="4"/>
  <c r="O14" i="4"/>
  <c r="K15" i="4"/>
  <c r="L15" i="4"/>
  <c r="M15" i="4"/>
  <c r="N15" i="4"/>
  <c r="O15" i="4"/>
  <c r="P15" i="4"/>
  <c r="K16" i="4"/>
  <c r="L16" i="4"/>
  <c r="M16" i="4"/>
  <c r="N16" i="4"/>
  <c r="O16" i="4"/>
  <c r="K17" i="4"/>
  <c r="L17" i="4"/>
  <c r="M17" i="4"/>
  <c r="N17" i="4"/>
  <c r="O17" i="4"/>
  <c r="K18" i="4"/>
  <c r="L18" i="4"/>
  <c r="M18" i="4"/>
  <c r="N18" i="4"/>
  <c r="O18" i="4"/>
  <c r="P18" i="4"/>
  <c r="K19" i="4"/>
  <c r="L19" i="4"/>
  <c r="M19" i="4"/>
  <c r="N19" i="4"/>
  <c r="O19" i="4"/>
  <c r="P19" i="4"/>
  <c r="K20" i="4"/>
  <c r="L20" i="4"/>
  <c r="M20" i="4"/>
  <c r="N20" i="4"/>
  <c r="O20" i="4"/>
  <c r="P20" i="4"/>
  <c r="K21" i="4"/>
  <c r="L21" i="4"/>
  <c r="M21" i="4"/>
  <c r="N21" i="4"/>
  <c r="K22" i="4"/>
  <c r="L22" i="4"/>
  <c r="M22" i="4"/>
  <c r="N22" i="4"/>
  <c r="K23" i="4"/>
  <c r="L23" i="4"/>
  <c r="K24" i="4"/>
  <c r="L24" i="4"/>
  <c r="K25" i="4"/>
  <c r="L25" i="4"/>
  <c r="M25" i="4"/>
  <c r="N25" i="4"/>
  <c r="O25" i="4"/>
  <c r="P25" i="4"/>
  <c r="K26" i="4"/>
  <c r="S26" i="4" s="1"/>
  <c r="K27" i="4"/>
  <c r="L27" i="4"/>
  <c r="M27" i="4"/>
  <c r="N27" i="4"/>
  <c r="K28" i="4"/>
  <c r="L28" i="4"/>
  <c r="M28" i="4"/>
  <c r="K29" i="4"/>
  <c r="L29" i="4"/>
  <c r="K30" i="4"/>
  <c r="S30" i="4" s="1"/>
  <c r="K31" i="4"/>
  <c r="L31" i="4"/>
  <c r="M31" i="4"/>
  <c r="K2" i="4"/>
  <c r="S2" i="4" s="1"/>
  <c r="S31" i="4" l="1"/>
  <c r="S29" i="4"/>
  <c r="S28" i="4"/>
  <c r="S27" i="4"/>
  <c r="S25" i="4"/>
  <c r="S24" i="4"/>
  <c r="S23" i="4"/>
  <c r="S22" i="4"/>
  <c r="S21" i="4"/>
  <c r="S20" i="4"/>
  <c r="S19" i="4"/>
  <c r="S18" i="4"/>
  <c r="S17" i="4"/>
  <c r="S16" i="4"/>
  <c r="S15" i="4"/>
  <c r="S14" i="4"/>
  <c r="S13" i="4"/>
  <c r="S12" i="4"/>
  <c r="S11" i="4"/>
  <c r="S10" i="4"/>
  <c r="S9" i="4"/>
  <c r="S8" i="4"/>
  <c r="T33" i="4" s="1"/>
  <c r="T38" i="4"/>
  <c r="T37" i="4"/>
  <c r="T36" i="4"/>
  <c r="T35" i="4"/>
  <c r="T34" i="4"/>
  <c r="S38" i="4"/>
  <c r="S33" i="4"/>
  <c r="S37" i="4"/>
  <c r="S36" i="4"/>
  <c r="S34" i="4"/>
  <c r="S3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7" authorId="0" shapeId="0" xr:uid="{00000000-0006-0000-0100-000001000000}">
      <text>
        <r>
          <rPr>
            <b/>
            <sz val="9"/>
            <color indexed="81"/>
            <rFont val="Tahoma"/>
            <family val="2"/>
          </rPr>
          <t>Autor:</t>
        </r>
        <r>
          <rPr>
            <sz val="9"/>
            <color indexed="81"/>
            <rFont val="Tahoma"/>
            <family val="2"/>
          </rPr>
          <t xml:space="preserve">
Árbol con hojas más pequeñas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00000000-0006-0000-0200-000001000000}">
      <text>
        <r>
          <rPr>
            <b/>
            <sz val="9"/>
            <color indexed="81"/>
            <rFont val="Tahoma"/>
            <charset val="1"/>
          </rPr>
          <t>Autor:</t>
        </r>
        <r>
          <rPr>
            <sz val="9"/>
            <color indexed="81"/>
            <rFont val="Tahoma"/>
            <charset val="1"/>
          </rPr>
          <t xml:space="preserve">
arriba/izq</t>
        </r>
      </text>
    </comment>
    <comment ref="A3" authorId="0" shapeId="0" xr:uid="{00000000-0006-0000-0200-000002000000}">
      <text>
        <r>
          <rPr>
            <b/>
            <sz val="9"/>
            <color indexed="81"/>
            <rFont val="Tahoma"/>
            <charset val="1"/>
          </rPr>
          <t>Autor:</t>
        </r>
        <r>
          <rPr>
            <sz val="9"/>
            <color indexed="81"/>
            <rFont val="Tahoma"/>
            <charset val="1"/>
          </rPr>
          <t xml:space="preserve">
arriba/der</t>
        </r>
      </text>
    </comment>
    <comment ref="A4" authorId="0" shapeId="0" xr:uid="{00000000-0006-0000-0200-000003000000}">
      <text>
        <r>
          <rPr>
            <b/>
            <sz val="9"/>
            <color indexed="81"/>
            <rFont val="Tahoma"/>
            <charset val="1"/>
          </rPr>
          <t>Autor:</t>
        </r>
        <r>
          <rPr>
            <sz val="9"/>
            <color indexed="81"/>
            <rFont val="Tahoma"/>
            <charset val="1"/>
          </rPr>
          <t xml:space="preserve">
centro/izq</t>
        </r>
      </text>
    </comment>
    <comment ref="A5" authorId="0" shapeId="0" xr:uid="{00000000-0006-0000-0200-000004000000}">
      <text>
        <r>
          <rPr>
            <b/>
            <sz val="9"/>
            <color indexed="81"/>
            <rFont val="Tahoma"/>
            <charset val="1"/>
          </rPr>
          <t>Autor:</t>
        </r>
        <r>
          <rPr>
            <sz val="9"/>
            <color indexed="81"/>
            <rFont val="Tahoma"/>
            <charset val="1"/>
          </rPr>
          <t xml:space="preserve">
centro/der</t>
        </r>
      </text>
    </comment>
    <comment ref="A6" authorId="0" shapeId="0" xr:uid="{00000000-0006-0000-0200-000005000000}">
      <text>
        <r>
          <rPr>
            <b/>
            <sz val="9"/>
            <color indexed="81"/>
            <rFont val="Tahoma"/>
            <charset val="1"/>
          </rPr>
          <t>Autor:</t>
        </r>
        <r>
          <rPr>
            <sz val="9"/>
            <color indexed="81"/>
            <rFont val="Tahoma"/>
            <charset val="1"/>
          </rPr>
          <t xml:space="preserve">
abajo/izq</t>
        </r>
      </text>
    </comment>
    <comment ref="A7" authorId="0" shapeId="0" xr:uid="{00000000-0006-0000-0200-000006000000}">
      <text>
        <r>
          <rPr>
            <b/>
            <sz val="9"/>
            <color indexed="81"/>
            <rFont val="Tahoma"/>
            <charset val="1"/>
          </rPr>
          <t>Autor:</t>
        </r>
        <r>
          <rPr>
            <sz val="9"/>
            <color indexed="81"/>
            <rFont val="Tahoma"/>
            <charset val="1"/>
          </rPr>
          <t xml:space="preserve">
abajo/der</t>
        </r>
      </text>
    </comment>
    <comment ref="A8" authorId="0" shapeId="0" xr:uid="{00000000-0006-0000-0200-000007000000}">
      <text>
        <r>
          <rPr>
            <b/>
            <sz val="9"/>
            <color indexed="81"/>
            <rFont val="Tahoma"/>
            <charset val="1"/>
          </rPr>
          <t>Autor:</t>
        </r>
        <r>
          <rPr>
            <sz val="9"/>
            <color indexed="81"/>
            <rFont val="Tahoma"/>
            <charset val="1"/>
          </rPr>
          <t xml:space="preserve">
arriba/izq</t>
        </r>
      </text>
    </comment>
    <comment ref="A9" authorId="0" shapeId="0" xr:uid="{00000000-0006-0000-0200-000008000000}">
      <text>
        <r>
          <rPr>
            <b/>
            <sz val="9"/>
            <color indexed="81"/>
            <rFont val="Tahoma"/>
            <charset val="1"/>
          </rPr>
          <t>Autor:</t>
        </r>
        <r>
          <rPr>
            <sz val="9"/>
            <color indexed="81"/>
            <rFont val="Tahoma"/>
            <charset val="1"/>
          </rPr>
          <t xml:space="preserve">
arriba/der</t>
        </r>
      </text>
    </comment>
    <comment ref="A10" authorId="0" shapeId="0" xr:uid="{00000000-0006-0000-0200-000009000000}">
      <text>
        <r>
          <rPr>
            <b/>
            <sz val="9"/>
            <color indexed="81"/>
            <rFont val="Tahoma"/>
            <charset val="1"/>
          </rPr>
          <t>Autor:</t>
        </r>
        <r>
          <rPr>
            <sz val="9"/>
            <color indexed="81"/>
            <rFont val="Tahoma"/>
            <charset val="1"/>
          </rPr>
          <t xml:space="preserve">
centro/izq</t>
        </r>
      </text>
    </comment>
    <comment ref="A11" authorId="0" shapeId="0" xr:uid="{00000000-0006-0000-0200-00000A000000}">
      <text>
        <r>
          <rPr>
            <b/>
            <sz val="9"/>
            <color indexed="81"/>
            <rFont val="Tahoma"/>
            <charset val="1"/>
          </rPr>
          <t>Autor:</t>
        </r>
        <r>
          <rPr>
            <sz val="9"/>
            <color indexed="81"/>
            <rFont val="Tahoma"/>
            <charset val="1"/>
          </rPr>
          <t xml:space="preserve">
centro/der</t>
        </r>
      </text>
    </comment>
    <comment ref="A12" authorId="0" shapeId="0" xr:uid="{00000000-0006-0000-0200-00000B000000}">
      <text>
        <r>
          <rPr>
            <b/>
            <sz val="9"/>
            <color indexed="81"/>
            <rFont val="Tahoma"/>
            <charset val="1"/>
          </rPr>
          <t>Autor:</t>
        </r>
        <r>
          <rPr>
            <sz val="9"/>
            <color indexed="81"/>
            <rFont val="Tahoma"/>
            <charset val="1"/>
          </rPr>
          <t xml:space="preserve">
abajo/izq</t>
        </r>
      </text>
    </comment>
    <comment ref="A13" authorId="0" shapeId="0" xr:uid="{00000000-0006-0000-0200-00000C000000}">
      <text>
        <r>
          <rPr>
            <b/>
            <sz val="9"/>
            <color indexed="81"/>
            <rFont val="Tahoma"/>
            <charset val="1"/>
          </rPr>
          <t>Autor:</t>
        </r>
        <r>
          <rPr>
            <sz val="9"/>
            <color indexed="81"/>
            <rFont val="Tahoma"/>
            <charset val="1"/>
          </rPr>
          <t xml:space="preserve">
abajo/der</t>
        </r>
      </text>
    </comment>
    <comment ref="A14" authorId="0" shapeId="0" xr:uid="{00000000-0006-0000-0200-00000D000000}">
      <text>
        <r>
          <rPr>
            <b/>
            <sz val="9"/>
            <color indexed="81"/>
            <rFont val="Tahoma"/>
            <charset val="1"/>
          </rPr>
          <t>Autor:</t>
        </r>
        <r>
          <rPr>
            <sz val="9"/>
            <color indexed="81"/>
            <rFont val="Tahoma"/>
            <charset val="1"/>
          </rPr>
          <t xml:space="preserve">
arriba/izq</t>
        </r>
      </text>
    </comment>
    <comment ref="A15" authorId="0" shapeId="0" xr:uid="{00000000-0006-0000-0200-00000E000000}">
      <text>
        <r>
          <rPr>
            <b/>
            <sz val="9"/>
            <color indexed="81"/>
            <rFont val="Tahoma"/>
            <charset val="1"/>
          </rPr>
          <t>Autor:</t>
        </r>
        <r>
          <rPr>
            <sz val="9"/>
            <color indexed="81"/>
            <rFont val="Tahoma"/>
            <charset val="1"/>
          </rPr>
          <t xml:space="preserve">
arriba/der</t>
        </r>
      </text>
    </comment>
    <comment ref="A16" authorId="0" shapeId="0" xr:uid="{00000000-0006-0000-0200-00000F000000}">
      <text>
        <r>
          <rPr>
            <b/>
            <sz val="9"/>
            <color indexed="81"/>
            <rFont val="Tahoma"/>
            <charset val="1"/>
          </rPr>
          <t>Autor:</t>
        </r>
        <r>
          <rPr>
            <sz val="9"/>
            <color indexed="81"/>
            <rFont val="Tahoma"/>
            <charset val="1"/>
          </rPr>
          <t xml:space="preserve">
centro/izq</t>
        </r>
      </text>
    </comment>
    <comment ref="A17" authorId="0" shapeId="0" xr:uid="{00000000-0006-0000-0200-000010000000}">
      <text>
        <r>
          <rPr>
            <b/>
            <sz val="9"/>
            <color indexed="81"/>
            <rFont val="Tahoma"/>
            <charset val="1"/>
          </rPr>
          <t>Autor:</t>
        </r>
        <r>
          <rPr>
            <sz val="9"/>
            <color indexed="81"/>
            <rFont val="Tahoma"/>
            <charset val="1"/>
          </rPr>
          <t xml:space="preserve">
centro/der</t>
        </r>
      </text>
    </comment>
    <comment ref="A18" authorId="0" shapeId="0" xr:uid="{00000000-0006-0000-0200-000011000000}">
      <text>
        <r>
          <rPr>
            <b/>
            <sz val="9"/>
            <color indexed="81"/>
            <rFont val="Tahoma"/>
            <charset val="1"/>
          </rPr>
          <t>Autor:</t>
        </r>
        <r>
          <rPr>
            <sz val="9"/>
            <color indexed="81"/>
            <rFont val="Tahoma"/>
            <charset val="1"/>
          </rPr>
          <t xml:space="preserve">
abajo/izq</t>
        </r>
      </text>
    </comment>
    <comment ref="A19" authorId="0" shapeId="0" xr:uid="{00000000-0006-0000-0200-000012000000}">
      <text>
        <r>
          <rPr>
            <b/>
            <sz val="9"/>
            <color indexed="81"/>
            <rFont val="Tahoma"/>
            <charset val="1"/>
          </rPr>
          <t>Autor:</t>
        </r>
        <r>
          <rPr>
            <sz val="9"/>
            <color indexed="81"/>
            <rFont val="Tahoma"/>
            <charset val="1"/>
          </rPr>
          <t xml:space="preserve">
abajo/der</t>
        </r>
      </text>
    </comment>
    <comment ref="A20" authorId="0" shapeId="0" xr:uid="{00000000-0006-0000-0200-000013000000}">
      <text>
        <r>
          <rPr>
            <b/>
            <sz val="9"/>
            <color indexed="81"/>
            <rFont val="Tahoma"/>
            <charset val="1"/>
          </rPr>
          <t>Autor:</t>
        </r>
        <r>
          <rPr>
            <sz val="9"/>
            <color indexed="81"/>
            <rFont val="Tahoma"/>
            <charset val="1"/>
          </rPr>
          <t xml:space="preserve">
arriba/izq</t>
        </r>
      </text>
    </comment>
    <comment ref="A21" authorId="0" shapeId="0" xr:uid="{00000000-0006-0000-0200-000014000000}">
      <text>
        <r>
          <rPr>
            <b/>
            <sz val="9"/>
            <color indexed="81"/>
            <rFont val="Tahoma"/>
            <charset val="1"/>
          </rPr>
          <t>Autor:</t>
        </r>
        <r>
          <rPr>
            <sz val="9"/>
            <color indexed="81"/>
            <rFont val="Tahoma"/>
            <charset val="1"/>
          </rPr>
          <t xml:space="preserve">
arriba/der</t>
        </r>
      </text>
    </comment>
    <comment ref="A22" authorId="0" shapeId="0" xr:uid="{00000000-0006-0000-0200-000015000000}">
      <text>
        <r>
          <rPr>
            <b/>
            <sz val="9"/>
            <color indexed="81"/>
            <rFont val="Tahoma"/>
            <charset val="1"/>
          </rPr>
          <t>Autor:</t>
        </r>
        <r>
          <rPr>
            <sz val="9"/>
            <color indexed="81"/>
            <rFont val="Tahoma"/>
            <charset val="1"/>
          </rPr>
          <t xml:space="preserve">
centro/izq</t>
        </r>
      </text>
    </comment>
    <comment ref="A23" authorId="0" shapeId="0" xr:uid="{00000000-0006-0000-0200-000016000000}">
      <text>
        <r>
          <rPr>
            <b/>
            <sz val="9"/>
            <color indexed="81"/>
            <rFont val="Tahoma"/>
            <charset val="1"/>
          </rPr>
          <t>Autor:</t>
        </r>
        <r>
          <rPr>
            <sz val="9"/>
            <color indexed="81"/>
            <rFont val="Tahoma"/>
            <charset val="1"/>
          </rPr>
          <t xml:space="preserve">
centro/der</t>
        </r>
      </text>
    </comment>
    <comment ref="A24" authorId="0" shapeId="0" xr:uid="{00000000-0006-0000-0200-000017000000}">
      <text>
        <r>
          <rPr>
            <b/>
            <sz val="9"/>
            <color indexed="81"/>
            <rFont val="Tahoma"/>
            <charset val="1"/>
          </rPr>
          <t>Autor:</t>
        </r>
        <r>
          <rPr>
            <sz val="9"/>
            <color indexed="81"/>
            <rFont val="Tahoma"/>
            <charset val="1"/>
          </rPr>
          <t xml:space="preserve">
abajo/izq</t>
        </r>
      </text>
    </comment>
    <comment ref="A25" authorId="0" shapeId="0" xr:uid="{00000000-0006-0000-0200-000018000000}">
      <text>
        <r>
          <rPr>
            <b/>
            <sz val="9"/>
            <color indexed="81"/>
            <rFont val="Tahoma"/>
            <charset val="1"/>
          </rPr>
          <t>Autor:</t>
        </r>
        <r>
          <rPr>
            <sz val="9"/>
            <color indexed="81"/>
            <rFont val="Tahoma"/>
            <charset val="1"/>
          </rPr>
          <t xml:space="preserve">
abajo/der</t>
        </r>
      </text>
    </comment>
    <comment ref="A26" authorId="0" shapeId="0" xr:uid="{00000000-0006-0000-0200-000019000000}">
      <text>
        <r>
          <rPr>
            <b/>
            <sz val="9"/>
            <color indexed="81"/>
            <rFont val="Tahoma"/>
            <charset val="1"/>
          </rPr>
          <t>Autor:</t>
        </r>
        <r>
          <rPr>
            <sz val="9"/>
            <color indexed="81"/>
            <rFont val="Tahoma"/>
            <charset val="1"/>
          </rPr>
          <t xml:space="preserve">
arriba/izq</t>
        </r>
      </text>
    </comment>
    <comment ref="A27" authorId="0" shapeId="0" xr:uid="{00000000-0006-0000-0200-00001A000000}">
      <text>
        <r>
          <rPr>
            <b/>
            <sz val="9"/>
            <color indexed="81"/>
            <rFont val="Tahoma"/>
            <charset val="1"/>
          </rPr>
          <t>Autor:</t>
        </r>
        <r>
          <rPr>
            <sz val="9"/>
            <color indexed="81"/>
            <rFont val="Tahoma"/>
            <charset val="1"/>
          </rPr>
          <t xml:space="preserve">
arriba/der</t>
        </r>
      </text>
    </comment>
    <comment ref="A28" authorId="0" shapeId="0" xr:uid="{00000000-0006-0000-0200-00001B000000}">
      <text>
        <r>
          <rPr>
            <b/>
            <sz val="9"/>
            <color indexed="81"/>
            <rFont val="Tahoma"/>
            <charset val="1"/>
          </rPr>
          <t>Autor:</t>
        </r>
        <r>
          <rPr>
            <sz val="9"/>
            <color indexed="81"/>
            <rFont val="Tahoma"/>
            <charset val="1"/>
          </rPr>
          <t xml:space="preserve">
centro/izq</t>
        </r>
      </text>
    </comment>
    <comment ref="A29" authorId="0" shapeId="0" xr:uid="{00000000-0006-0000-0200-00001C000000}">
      <text>
        <r>
          <rPr>
            <b/>
            <sz val="9"/>
            <color indexed="81"/>
            <rFont val="Tahoma"/>
            <charset val="1"/>
          </rPr>
          <t>Autor:</t>
        </r>
        <r>
          <rPr>
            <sz val="9"/>
            <color indexed="81"/>
            <rFont val="Tahoma"/>
            <charset val="1"/>
          </rPr>
          <t xml:space="preserve">
centro/der</t>
        </r>
      </text>
    </comment>
    <comment ref="A30" authorId="0" shapeId="0" xr:uid="{00000000-0006-0000-0200-00001D000000}">
      <text>
        <r>
          <rPr>
            <b/>
            <sz val="9"/>
            <color indexed="81"/>
            <rFont val="Tahoma"/>
            <charset val="1"/>
          </rPr>
          <t>Autor:</t>
        </r>
        <r>
          <rPr>
            <sz val="9"/>
            <color indexed="81"/>
            <rFont val="Tahoma"/>
            <charset val="1"/>
          </rPr>
          <t xml:space="preserve">
abajo/izq</t>
        </r>
      </text>
    </comment>
    <comment ref="A31" authorId="0" shapeId="0" xr:uid="{00000000-0006-0000-0200-00001E000000}">
      <text>
        <r>
          <rPr>
            <b/>
            <sz val="9"/>
            <color indexed="81"/>
            <rFont val="Tahoma"/>
            <charset val="1"/>
          </rPr>
          <t>Autor:</t>
        </r>
        <r>
          <rPr>
            <sz val="9"/>
            <color indexed="81"/>
            <rFont val="Tahoma"/>
            <charset val="1"/>
          </rPr>
          <t xml:space="preserve">
abajo/der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16" authorId="0" shapeId="0" xr:uid="{00000000-0006-0000-0500-000001000000}">
      <text>
        <r>
          <rPr>
            <b/>
            <sz val="9"/>
            <color indexed="81"/>
            <rFont val="Tahoma"/>
            <family val="2"/>
          </rPr>
          <t>Autor:</t>
        </r>
        <r>
          <rPr>
            <sz val="9"/>
            <color indexed="81"/>
            <rFont val="Tahoma"/>
            <family val="2"/>
          </rPr>
          <t xml:space="preserve">
Árbol con hoja pequeña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6" authorId="0" shapeId="0" xr:uid="{00000000-0006-0000-0700-000001000000}">
      <text>
        <r>
          <rPr>
            <b/>
            <sz val="9"/>
            <color indexed="81"/>
            <rFont val="Tahoma"/>
            <charset val="1"/>
          </rPr>
          <t>Autor:</t>
        </r>
        <r>
          <rPr>
            <sz val="9"/>
            <color indexed="81"/>
            <rFont val="Tahoma"/>
            <charset val="1"/>
          </rPr>
          <t xml:space="preserve">
medidas en el arbol que tenia el flora pulse al principio</t>
        </r>
      </text>
    </comment>
    <comment ref="K7" authorId="0" shapeId="0" xr:uid="{00000000-0006-0000-0700-000002000000}">
      <text>
        <r>
          <rPr>
            <b/>
            <sz val="9"/>
            <color indexed="81"/>
            <rFont val="Tahoma"/>
            <charset val="1"/>
          </rPr>
          <t>Autor:</t>
        </r>
        <r>
          <rPr>
            <sz val="9"/>
            <color indexed="81"/>
            <rFont val="Tahoma"/>
            <charset val="1"/>
          </rPr>
          <t xml:space="preserve">
duda con este valor</t>
        </r>
      </text>
    </comment>
    <comment ref="A9" authorId="0" shapeId="0" xr:uid="{00000000-0006-0000-0700-000003000000}">
      <text>
        <r>
          <rPr>
            <b/>
            <sz val="9"/>
            <color indexed="81"/>
            <rFont val="Tahoma"/>
            <family val="2"/>
          </rPr>
          <t>Autor:</t>
        </r>
        <r>
          <rPr>
            <sz val="9"/>
            <color indexed="81"/>
            <rFont val="Tahoma"/>
            <family val="2"/>
          </rPr>
          <t xml:space="preserve">
arbol riego superficial</t>
        </r>
      </text>
    </comment>
    <comment ref="A15" authorId="0" shapeId="0" xr:uid="{00000000-0006-0000-0700-000004000000}">
      <text>
        <r>
          <rPr>
            <b/>
            <sz val="9"/>
            <color indexed="81"/>
            <rFont val="Tahoma"/>
            <charset val="1"/>
          </rPr>
          <t>Autor:</t>
        </r>
        <r>
          <rPr>
            <sz val="9"/>
            <color indexed="81"/>
            <rFont val="Tahoma"/>
            <charset val="1"/>
          </rPr>
          <t xml:space="preserve">
medidas en el arbol que tenia el flora pulse al principio</t>
        </r>
      </text>
    </comment>
    <comment ref="A18" authorId="0" shapeId="0" xr:uid="{00000000-0006-0000-0700-000005000000}">
      <text>
        <r>
          <rPr>
            <b/>
            <sz val="9"/>
            <color indexed="81"/>
            <rFont val="Tahoma"/>
            <family val="2"/>
          </rPr>
          <t>Autor:</t>
        </r>
        <r>
          <rPr>
            <sz val="9"/>
            <color indexed="81"/>
            <rFont val="Tahoma"/>
            <family val="2"/>
          </rPr>
          <t xml:space="preserve">
arbol riego superficial</t>
        </r>
      </text>
    </comment>
    <comment ref="A19" authorId="0" shapeId="0" xr:uid="{00000000-0006-0000-0700-000006000000}">
      <text>
        <r>
          <rPr>
            <b/>
            <sz val="9"/>
            <color indexed="81"/>
            <rFont val="Tahoma"/>
            <family val="2"/>
          </rPr>
          <t>Autor:</t>
        </r>
        <r>
          <rPr>
            <sz val="9"/>
            <color indexed="81"/>
            <rFont val="Tahoma"/>
            <family val="2"/>
          </rPr>
          <t xml:space="preserve">
arbol riego superficial sin flora pulse</t>
        </r>
      </text>
    </comment>
    <comment ref="A25" authorId="0" shapeId="0" xr:uid="{00000000-0006-0000-0700-000007000000}">
      <text>
        <r>
          <rPr>
            <b/>
            <sz val="9"/>
            <color indexed="81"/>
            <rFont val="Tahoma"/>
            <charset val="1"/>
          </rPr>
          <t>Autor:</t>
        </r>
        <r>
          <rPr>
            <sz val="9"/>
            <color indexed="81"/>
            <rFont val="Tahoma"/>
            <charset val="1"/>
          </rPr>
          <t xml:space="preserve">
medidas en el arbol que tenia el flora pulse al principio</t>
        </r>
      </text>
    </comment>
    <comment ref="A28" authorId="0" shapeId="0" xr:uid="{00000000-0006-0000-0700-000008000000}">
      <text>
        <r>
          <rPr>
            <b/>
            <sz val="9"/>
            <color indexed="81"/>
            <rFont val="Tahoma"/>
            <family val="2"/>
          </rPr>
          <t>Autor:</t>
        </r>
        <r>
          <rPr>
            <sz val="9"/>
            <color indexed="81"/>
            <rFont val="Tahoma"/>
            <family val="2"/>
          </rPr>
          <t xml:space="preserve">
arbol riego superficial</t>
        </r>
      </text>
    </comment>
    <comment ref="A29" authorId="0" shapeId="0" xr:uid="{00000000-0006-0000-0700-000009000000}">
      <text>
        <r>
          <rPr>
            <b/>
            <sz val="9"/>
            <color indexed="81"/>
            <rFont val="Tahoma"/>
            <family val="2"/>
          </rPr>
          <t>Autor:</t>
        </r>
        <r>
          <rPr>
            <sz val="9"/>
            <color indexed="81"/>
            <rFont val="Tahoma"/>
            <family val="2"/>
          </rPr>
          <t xml:space="preserve">
arbol riego superficial sin flora pulse</t>
        </r>
      </text>
    </comment>
    <comment ref="A34" authorId="0" shapeId="0" xr:uid="{00000000-0006-0000-0700-00000A000000}">
      <text>
        <r>
          <rPr>
            <b/>
            <sz val="9"/>
            <color indexed="81"/>
            <rFont val="Tahoma"/>
            <family val="2"/>
          </rPr>
          <t>Autor:</t>
        </r>
        <r>
          <rPr>
            <sz val="9"/>
            <color indexed="81"/>
            <rFont val="Tahoma"/>
            <family val="2"/>
          </rPr>
          <t xml:space="preserve">
Comenzamos a medir en este arbol que ya tenemos valores del flora pulse</t>
        </r>
      </text>
    </comment>
    <comment ref="A39" authorId="0" shapeId="0" xr:uid="{00000000-0006-0000-0700-00000B000000}">
      <text>
        <r>
          <rPr>
            <b/>
            <sz val="9"/>
            <color indexed="81"/>
            <rFont val="Tahoma"/>
            <family val="2"/>
          </rPr>
          <t>Autor:</t>
        </r>
        <r>
          <rPr>
            <sz val="9"/>
            <color indexed="81"/>
            <rFont val="Tahoma"/>
            <family val="2"/>
          </rPr>
          <t xml:space="preserve">
arbol riego superficial</t>
        </r>
      </text>
    </comment>
    <comment ref="A44" authorId="0" shapeId="0" xr:uid="{00000000-0006-0000-0700-00000C000000}">
      <text>
        <r>
          <rPr>
            <b/>
            <sz val="9"/>
            <color indexed="81"/>
            <rFont val="Tahoma"/>
            <family val="2"/>
          </rPr>
          <t>Autor:</t>
        </r>
        <r>
          <rPr>
            <sz val="9"/>
            <color indexed="81"/>
            <rFont val="Tahoma"/>
            <family val="2"/>
          </rPr>
          <t xml:space="preserve">
Comenzamos a medir en este arbol que ya tenemos valores del flora pulse</t>
        </r>
      </text>
    </comment>
    <comment ref="A49" authorId="0" shapeId="0" xr:uid="{00000000-0006-0000-0700-00000D000000}">
      <text>
        <r>
          <rPr>
            <b/>
            <sz val="9"/>
            <color indexed="81"/>
            <rFont val="Tahoma"/>
            <family val="2"/>
          </rPr>
          <t>Autor:</t>
        </r>
        <r>
          <rPr>
            <sz val="9"/>
            <color indexed="81"/>
            <rFont val="Tahoma"/>
            <family val="2"/>
          </rPr>
          <t xml:space="preserve">
arbol riego superficial</t>
        </r>
      </text>
    </comment>
    <comment ref="C49" authorId="0" shapeId="0" xr:uid="{00000000-0006-0000-0700-00000E000000}">
      <text>
        <r>
          <rPr>
            <b/>
            <sz val="9"/>
            <color indexed="81"/>
            <rFont val="Tahoma"/>
            <family val="2"/>
          </rPr>
          <t>Autor:</t>
        </r>
        <r>
          <rPr>
            <sz val="9"/>
            <color indexed="81"/>
            <rFont val="Tahoma"/>
            <family val="2"/>
          </rPr>
          <t xml:space="preserve">
Puesta cerrada con llave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15" authorId="0" shapeId="0" xr:uid="{00000000-0006-0000-0900-000001000000}">
      <text>
        <r>
          <rPr>
            <b/>
            <sz val="9"/>
            <color indexed="81"/>
            <rFont val="Tahoma"/>
            <charset val="1"/>
          </rPr>
          <t>Autor:</t>
        </r>
        <r>
          <rPr>
            <sz val="9"/>
            <color indexed="81"/>
            <rFont val="Tahoma"/>
            <charset val="1"/>
          </rPr>
          <t xml:space="preserve">
medidas en el arbol que tenia el flora pulse al principio</t>
        </r>
      </text>
    </comment>
    <comment ref="A18" authorId="0" shapeId="0" xr:uid="{00000000-0006-0000-0900-000002000000}">
      <text>
        <r>
          <rPr>
            <b/>
            <sz val="9"/>
            <color indexed="81"/>
            <rFont val="Tahoma"/>
            <family val="2"/>
          </rPr>
          <t>Autor:</t>
        </r>
        <r>
          <rPr>
            <sz val="9"/>
            <color indexed="81"/>
            <rFont val="Tahoma"/>
            <family val="2"/>
          </rPr>
          <t xml:space="preserve">
arbol riego superficial</t>
        </r>
      </text>
    </comment>
    <comment ref="A19" authorId="0" shapeId="0" xr:uid="{00000000-0006-0000-0900-000003000000}">
      <text>
        <r>
          <rPr>
            <b/>
            <sz val="9"/>
            <color indexed="81"/>
            <rFont val="Tahoma"/>
            <family val="2"/>
          </rPr>
          <t>Autor:</t>
        </r>
        <r>
          <rPr>
            <sz val="9"/>
            <color indexed="81"/>
            <rFont val="Tahoma"/>
            <family val="2"/>
          </rPr>
          <t xml:space="preserve">
arbol riego superficial sin flora pulse</t>
        </r>
      </text>
    </comment>
    <comment ref="A25" authorId="0" shapeId="0" xr:uid="{00000000-0006-0000-0900-000004000000}">
      <text>
        <r>
          <rPr>
            <b/>
            <sz val="9"/>
            <color indexed="81"/>
            <rFont val="Tahoma"/>
            <charset val="1"/>
          </rPr>
          <t>Autor:</t>
        </r>
        <r>
          <rPr>
            <sz val="9"/>
            <color indexed="81"/>
            <rFont val="Tahoma"/>
            <charset val="1"/>
          </rPr>
          <t xml:space="preserve">
medidas en el arbol que tenia el flora pulse al principio</t>
        </r>
      </text>
    </comment>
    <comment ref="A28" authorId="0" shapeId="0" xr:uid="{00000000-0006-0000-0900-000005000000}">
      <text>
        <r>
          <rPr>
            <b/>
            <sz val="9"/>
            <color indexed="81"/>
            <rFont val="Tahoma"/>
            <family val="2"/>
          </rPr>
          <t>Autor:</t>
        </r>
        <r>
          <rPr>
            <sz val="9"/>
            <color indexed="81"/>
            <rFont val="Tahoma"/>
            <family val="2"/>
          </rPr>
          <t xml:space="preserve">
arbol riego superficial</t>
        </r>
      </text>
    </comment>
    <comment ref="A29" authorId="0" shapeId="0" xr:uid="{00000000-0006-0000-0900-000006000000}">
      <text>
        <r>
          <rPr>
            <b/>
            <sz val="9"/>
            <color indexed="81"/>
            <rFont val="Tahoma"/>
            <family val="2"/>
          </rPr>
          <t>Autor:</t>
        </r>
        <r>
          <rPr>
            <sz val="9"/>
            <color indexed="81"/>
            <rFont val="Tahoma"/>
            <family val="2"/>
          </rPr>
          <t xml:space="preserve">
arbol riego superficial sin flora pulse</t>
        </r>
      </text>
    </comment>
    <comment ref="A34" authorId="0" shapeId="0" xr:uid="{00000000-0006-0000-0900-000007000000}">
      <text>
        <r>
          <rPr>
            <b/>
            <sz val="9"/>
            <color indexed="81"/>
            <rFont val="Tahoma"/>
            <family val="2"/>
          </rPr>
          <t>Autor:</t>
        </r>
        <r>
          <rPr>
            <sz val="9"/>
            <color indexed="81"/>
            <rFont val="Tahoma"/>
            <family val="2"/>
          </rPr>
          <t xml:space="preserve">
Comenzamos a medir en este arbol que ya tenemos valores del flora pulse</t>
        </r>
      </text>
    </comment>
    <comment ref="A39" authorId="0" shapeId="0" xr:uid="{00000000-0006-0000-0900-000008000000}">
      <text>
        <r>
          <rPr>
            <b/>
            <sz val="9"/>
            <color indexed="81"/>
            <rFont val="Tahoma"/>
            <family val="2"/>
          </rPr>
          <t>Autor:</t>
        </r>
        <r>
          <rPr>
            <sz val="9"/>
            <color indexed="81"/>
            <rFont val="Tahoma"/>
            <family val="2"/>
          </rPr>
          <t xml:space="preserve">
arbol riego superficial</t>
        </r>
      </text>
    </comment>
    <comment ref="A44" authorId="0" shapeId="0" xr:uid="{00000000-0006-0000-0900-000009000000}">
      <text>
        <r>
          <rPr>
            <b/>
            <sz val="9"/>
            <color indexed="81"/>
            <rFont val="Tahoma"/>
            <family val="2"/>
          </rPr>
          <t>Autor:</t>
        </r>
        <r>
          <rPr>
            <sz val="9"/>
            <color indexed="81"/>
            <rFont val="Tahoma"/>
            <family val="2"/>
          </rPr>
          <t xml:space="preserve">
Comenzamos a medir en este arbol que ya tenemos valores del flora pulse</t>
        </r>
      </text>
    </comment>
    <comment ref="A49" authorId="0" shapeId="0" xr:uid="{00000000-0006-0000-0900-00000A000000}">
      <text>
        <r>
          <rPr>
            <b/>
            <sz val="9"/>
            <color indexed="81"/>
            <rFont val="Tahoma"/>
            <family val="2"/>
          </rPr>
          <t>Autor:</t>
        </r>
        <r>
          <rPr>
            <sz val="9"/>
            <color indexed="81"/>
            <rFont val="Tahoma"/>
            <family val="2"/>
          </rPr>
          <t xml:space="preserve">
arbol riego superficial</t>
        </r>
      </text>
    </comment>
  </commentList>
</comments>
</file>

<file path=xl/sharedStrings.xml><?xml version="1.0" encoding="utf-8"?>
<sst xmlns="http://schemas.openxmlformats.org/spreadsheetml/2006/main" count="10755" uniqueCount="1526">
  <si>
    <t>Fecha</t>
  </si>
  <si>
    <t>Nota</t>
  </si>
  <si>
    <t>Comprobacion presiones</t>
  </si>
  <si>
    <t>Flores abiertas y ponemos sondas sentek</t>
  </si>
  <si>
    <t>hojas jovenes emergiendo, hidratamos sondas sentek</t>
  </si>
  <si>
    <t>Ponemos florapulse</t>
  </si>
  <si>
    <t>foto contadores</t>
  </si>
  <si>
    <t>Piedras en el contador 1 y 3</t>
  </si>
  <si>
    <t>No se esta registrando datos de contadores, hasta el 2 de mayo</t>
  </si>
  <si>
    <t>Desde este día que sepamos lleva regando dos veces al día</t>
  </si>
  <si>
    <t>Planta muy abundante identificada como Bassia scoparia</t>
  </si>
  <si>
    <t>Deja de regar dos veces al día, ahora no esta regando</t>
  </si>
  <si>
    <t xml:space="preserve">Vamos Isabel y yo, y muestreamos suelo a tres profundidades, y en dos sitios del suelo, bajo la antigua goma a 70-80 cm del tronco, y a 5-10 cm de la goma enterrado, entre esta y el tronco. Muestreamos 6 arboles en la zona de estudio y 4 arboles en la parcela adyacente. Hay mucha hierba espontánea. Tomamos fotos de contadores y marcamos árboles control y los inicios de las filas. Las muestras se numera de la 1 a la 60, siguiendo el orden de primero arboles control, antigua goma y de menos a mayor profundidad. </t>
  </si>
  <si>
    <t>Vamos con Victor y Afu al melocotonero, ponemos el cambell en marcha, sin conectar con nutricontrol, tenemos datos cada minuto del día 13, en el riego de las 4 y de las 8 de la mañana, y cada 5 minutos el día 12 y el día 13</t>
  </si>
  <si>
    <t xml:space="preserve">Voy con Jesus, y ponemos Flora Pulse en nuevo arbol de referencia, además de contador y de sonda sentek, y ponemos sonda sentek en arbol 1.1 que la rompio el jabalí,  y cambiamos de arbol el flora pulse 1.1. y en el mismo arbol el florapulse 4.2. Hacemos fotos de contadores antes y despues del riego de las 8. </t>
  </si>
  <si>
    <t>Evolución con Victor</t>
  </si>
  <si>
    <t>Evolución con María José Meseguer</t>
  </si>
  <si>
    <t>Evolución con Isabel María Nicolás, durantes estos días estan quitando con el molino del tractor la hierba de la parcela. Hablo con el padre de Urbano que nos dice que sembrar nuestras semillas va a ser dificil</t>
  </si>
  <si>
    <t>Muestra de suelo con Isabel María, a tres profundidades, en 6 árboles, de abajo hacia arriba de la parcela. La parcela apenas tiene hierba verde.</t>
  </si>
  <si>
    <t>Zona</t>
  </si>
  <si>
    <t>Tratamiento</t>
  </si>
  <si>
    <t>Repetición</t>
  </si>
  <si>
    <t>Hora</t>
  </si>
  <si>
    <t>Ptallo (bar)</t>
  </si>
  <si>
    <t>Phoja (bar)</t>
  </si>
  <si>
    <t>experimental</t>
  </si>
  <si>
    <t>control</t>
  </si>
  <si>
    <t>mean</t>
  </si>
  <si>
    <t>Riego Superficial</t>
  </si>
  <si>
    <t>se</t>
  </si>
  <si>
    <t>fecha</t>
  </si>
  <si>
    <t>pesos (kg) + capazo</t>
  </si>
  <si>
    <t>kg/arbol (kg)</t>
  </si>
  <si>
    <t>Nº Frutos</t>
  </si>
  <si>
    <t>Peso (g)</t>
  </si>
  <si>
    <t>Dureza (%)</t>
  </si>
  <si>
    <t>Acidez</t>
  </si>
  <si>
    <t>°Brix (%)</t>
  </si>
  <si>
    <t>Ancho (mm)</t>
  </si>
  <si>
    <t>Alto (mm)</t>
  </si>
  <si>
    <t>1.1</t>
  </si>
  <si>
    <t>Bloque 1</t>
  </si>
  <si>
    <t>Bloque 2</t>
  </si>
  <si>
    <t>Bloque 3</t>
  </si>
  <si>
    <t>1.2</t>
  </si>
  <si>
    <t>2.1</t>
  </si>
  <si>
    <t>2.2</t>
  </si>
  <si>
    <t>3.1</t>
  </si>
  <si>
    <t>3.2</t>
  </si>
  <si>
    <t>Arbol</t>
  </si>
  <si>
    <t>Goteros</t>
  </si>
  <si>
    <t>Zona de muestra</t>
  </si>
  <si>
    <t>Profundidad (cm)</t>
  </si>
  <si>
    <t>Referencia</t>
  </si>
  <si>
    <t>Peso fresco raíz fina (g)</t>
  </si>
  <si>
    <t>Peso seco raíz fina (g)</t>
  </si>
  <si>
    <t>Peso fresco raíz gruesa (g)</t>
  </si>
  <si>
    <t>Peso seco raíz gruesa (g)</t>
  </si>
  <si>
    <t>Peso seco total (g)</t>
  </si>
  <si>
    <t>Nuestro</t>
  </si>
  <si>
    <t>Centro</t>
  </si>
  <si>
    <t>0-20</t>
  </si>
  <si>
    <t>20-40</t>
  </si>
  <si>
    <r>
      <rPr>
        <sz val="11"/>
        <color theme="1"/>
        <rFont val="Calibri"/>
        <family val="2"/>
      </rPr>
      <t>&gt;</t>
    </r>
    <r>
      <rPr>
        <sz val="11"/>
        <color theme="1"/>
        <rFont val="Calibri"/>
        <family val="2"/>
        <scheme val="minor"/>
      </rPr>
      <t>40</t>
    </r>
  </si>
  <si>
    <t>Exterior</t>
  </si>
  <si>
    <r>
      <rPr>
        <sz val="11"/>
        <rFont val="Calibri"/>
        <family val="2"/>
      </rPr>
      <t>&gt;</t>
    </r>
    <r>
      <rPr>
        <sz val="11"/>
        <rFont val="Calibri"/>
        <family val="2"/>
        <scheme val="minor"/>
      </rPr>
      <t>40</t>
    </r>
  </si>
  <si>
    <t>Normal</t>
  </si>
  <si>
    <t>G. enterrado</t>
  </si>
  <si>
    <t>media</t>
  </si>
  <si>
    <t>G. superficie</t>
  </si>
  <si>
    <t>SYS</t>
  </si>
  <si>
    <t>USERDEF</t>
  </si>
  <si>
    <t>Treat</t>
  </si>
  <si>
    <t>Rep</t>
  </si>
  <si>
    <t>PORO</t>
  </si>
  <si>
    <t>FLUORO</t>
  </si>
  <si>
    <t>SENSOR</t>
  </si>
  <si>
    <t>MATCH</t>
  </si>
  <si>
    <t>STABILITY</t>
  </si>
  <si>
    <t>P_CONFIG</t>
  </si>
  <si>
    <t>FL_CONFIG</t>
  </si>
  <si>
    <t>SENSOR_V</t>
  </si>
  <si>
    <t>USERCAL</t>
  </si>
  <si>
    <t>META</t>
  </si>
  <si>
    <t>Obs#</t>
  </si>
  <si>
    <t>Time</t>
  </si>
  <si>
    <t>Date</t>
  </si>
  <si>
    <t>configName</t>
  </si>
  <si>
    <t>configAuthor</t>
  </si>
  <si>
    <t>remark</t>
  </si>
  <si>
    <t>Observation</t>
  </si>
  <si>
    <t>gsw</t>
  </si>
  <si>
    <t>gbw</t>
  </si>
  <si>
    <t>gtw</t>
  </si>
  <si>
    <t>E_apparent</t>
  </si>
  <si>
    <t>VPcham</t>
  </si>
  <si>
    <t>VPref</t>
  </si>
  <si>
    <t>VPleaf</t>
  </si>
  <si>
    <t>VPDleaf</t>
  </si>
  <si>
    <t>H2O_r</t>
  </si>
  <si>
    <t>H2O_s</t>
  </si>
  <si>
    <t>H2O_leaf</t>
  </si>
  <si>
    <t>leaf_area</t>
  </si>
  <si>
    <t>flashID</t>
  </si>
  <si>
    <t>Fo</t>
  </si>
  <si>
    <t>Fm</t>
  </si>
  <si>
    <t>Fv/Fm</t>
  </si>
  <si>
    <t>Fs</t>
  </si>
  <si>
    <t>Fm'</t>
  </si>
  <si>
    <t>PhiPS2</t>
  </si>
  <si>
    <t>PS2/1</t>
  </si>
  <si>
    <t>abs</t>
  </si>
  <si>
    <t>ETR</t>
  </si>
  <si>
    <t>rh_s</t>
  </si>
  <si>
    <t>rh_r</t>
  </si>
  <si>
    <t>Tref</t>
  </si>
  <si>
    <t>Tleaf</t>
  </si>
  <si>
    <t>P_atm</t>
  </si>
  <si>
    <t>flow</t>
  </si>
  <si>
    <t>flow_s</t>
  </si>
  <si>
    <t>leak_pct</t>
  </si>
  <si>
    <t>Qamb</t>
  </si>
  <si>
    <t>batt</t>
  </si>
  <si>
    <t>match_time</t>
  </si>
  <si>
    <t>match_date</t>
  </si>
  <si>
    <t>rh_adj</t>
  </si>
  <si>
    <t>gsw1sec</t>
  </si>
  <si>
    <t>gsw2sec</t>
  </si>
  <si>
    <t>gsw4sec</t>
  </si>
  <si>
    <t>flr1sec</t>
  </si>
  <si>
    <t>flr2sec</t>
  </si>
  <si>
    <t>flr4sec</t>
  </si>
  <si>
    <t>auto</t>
  </si>
  <si>
    <t>flow_set</t>
  </si>
  <si>
    <t>gsw_limit</t>
  </si>
  <si>
    <t>gsw_period</t>
  </si>
  <si>
    <t>dark</t>
  </si>
  <si>
    <t>flash_type</t>
  </si>
  <si>
    <t>flash_intensity</t>
  </si>
  <si>
    <t>modrate</t>
  </si>
  <si>
    <t>flr_limit</t>
  </si>
  <si>
    <t>flr_period</t>
  </si>
  <si>
    <t>P1_dur</t>
  </si>
  <si>
    <t>P2_dur</t>
  </si>
  <si>
    <t>P3_dur</t>
  </si>
  <si>
    <t>P1_Fmax</t>
  </si>
  <si>
    <t>P2_ramp</t>
  </si>
  <si>
    <t>P2_slp</t>
  </si>
  <si>
    <t>P3_Fmax</t>
  </si>
  <si>
    <t>P3_Pred</t>
  </si>
  <si>
    <t>P3_DeltaF</t>
  </si>
  <si>
    <t>v_humA</t>
  </si>
  <si>
    <t>v_humB</t>
  </si>
  <si>
    <t>v_flowIn</t>
  </si>
  <si>
    <t>v_flowOut</t>
  </si>
  <si>
    <t>v_temp</t>
  </si>
  <si>
    <t>v_irt</t>
  </si>
  <si>
    <t>v_pres</t>
  </si>
  <si>
    <t>v_par</t>
  </si>
  <si>
    <t>v_F</t>
  </si>
  <si>
    <t>i_LED</t>
  </si>
  <si>
    <t>b_rhr</t>
  </si>
  <si>
    <t>m_rhr</t>
  </si>
  <si>
    <t>span_rhr</t>
  </si>
  <si>
    <t>b_rhs</t>
  </si>
  <si>
    <t>m_rhs</t>
  </si>
  <si>
    <t>span_rhs</t>
  </si>
  <si>
    <t>z_flowIn</t>
  </si>
  <si>
    <t>z_flowOut</t>
  </si>
  <si>
    <t>z_quantum</t>
  </si>
  <si>
    <t>z_flr</t>
  </si>
  <si>
    <t>flashId</t>
  </si>
  <si>
    <t>lciSerNum</t>
  </si>
  <si>
    <t>lcpSerNum</t>
  </si>
  <si>
    <t>lcfSerNum</t>
  </si>
  <si>
    <t>lcrhSerNum</t>
  </si>
  <si>
    <t>version</t>
  </si>
  <si>
    <t>configUpdatedAt</t>
  </si>
  <si>
    <t>HHMMSS</t>
  </si>
  <si>
    <t>YYYYMMDD</t>
  </si>
  <si>
    <t>mol+1m-2s-1</t>
  </si>
  <si>
    <t>mmol+1m-2s-1</t>
  </si>
  <si>
    <t>kPa</t>
  </si>
  <si>
    <t>mmol+1mol-1</t>
  </si>
  <si>
    <t>cm+2</t>
  </si>
  <si>
    <t>umol+1m-2s-1</t>
  </si>
  <si>
    <t>%</t>
  </si>
  <si>
    <t>C</t>
  </si>
  <si>
    <t>umol+1sec-1</t>
  </si>
  <si>
    <t>V</t>
  </si>
  <si>
    <t>(umol+1m-2s-1)s-1</t>
  </si>
  <si>
    <t>s</t>
  </si>
  <si>
    <t>Hz</t>
  </si>
  <si>
    <t>s-1</t>
  </si>
  <si>
    <t>ms</t>
  </si>
  <si>
    <t>A</t>
  </si>
  <si>
    <t>Auto gsw+F</t>
  </si>
  <si>
    <t>LI-COR Default</t>
  </si>
  <si>
    <t>T3</t>
  </si>
  <si>
    <t>PSF-00455_20230426130839</t>
  </si>
  <si>
    <t>mpf</t>
  </si>
  <si>
    <t>PFA-00439</t>
  </si>
  <si>
    <t>PSA-00451</t>
  </si>
  <si>
    <t>PSF-00455</t>
  </si>
  <si>
    <t>RHS-00138</t>
  </si>
  <si>
    <t>2.0.0</t>
  </si>
  <si>
    <t>2021-01-19T12:57:14.097Z</t>
  </si>
  <si>
    <t>PSF-00455_20230426131011</t>
  </si>
  <si>
    <t>PSF-00455_20230426131040</t>
  </si>
  <si>
    <t>PSF-00455_20230426131104</t>
  </si>
  <si>
    <t>PSF-00455_20230426131135</t>
  </si>
  <si>
    <t>PSF-00455_20230426131213</t>
  </si>
  <si>
    <t>T4</t>
  </si>
  <si>
    <t>PSF-00455_20230426132657</t>
  </si>
  <si>
    <t>PSF-00455_20230426132835</t>
  </si>
  <si>
    <t>PSF-00455_20230426132905</t>
  </si>
  <si>
    <t>PSF-00455_20230426132944</t>
  </si>
  <si>
    <t>PSF-00455_20230426133154</t>
  </si>
  <si>
    <t>PSF-00455_20230426133446</t>
  </si>
  <si>
    <t>PSF-00455_20230426133934</t>
  </si>
  <si>
    <t>PSF-00455_20230426134008</t>
  </si>
  <si>
    <t>PSF-00455_20230426134032</t>
  </si>
  <si>
    <t>PSF-00455_20230426134047</t>
  </si>
  <si>
    <t>PSF-00455_20230426134107</t>
  </si>
  <si>
    <t>PSF-00455_20230426134129</t>
  </si>
  <si>
    <t>PSF-00455_20230426135311</t>
  </si>
  <si>
    <t>PSF-00455_20230426135338</t>
  </si>
  <si>
    <t>PSF-00455_20230426135427</t>
  </si>
  <si>
    <t>PSF-00455_20230426135457</t>
  </si>
  <si>
    <t>PSF-00455_20230426135520</t>
  </si>
  <si>
    <t>PSF-00455_20230426135603</t>
  </si>
  <si>
    <t>T2</t>
  </si>
  <si>
    <t>PSF-00455_20230426140053</t>
  </si>
  <si>
    <t>PSF-00455_20230426140130</t>
  </si>
  <si>
    <t>PSF-00455_20230426140308</t>
  </si>
  <si>
    <t>PSF-00455_20230426140323</t>
  </si>
  <si>
    <t>PSF-00455_20230426140442</t>
  </si>
  <si>
    <t>PSF-00455_20230426140551</t>
  </si>
  <si>
    <t>T1</t>
  </si>
  <si>
    <t>PSF-00455_20230426141806</t>
  </si>
  <si>
    <t>PSF-00455_20230426141906</t>
  </si>
  <si>
    <t>PSF-00455_20230426141931</t>
  </si>
  <si>
    <t>PSF-00455_20230426141953</t>
  </si>
  <si>
    <t>PSF-00455_20230426142007</t>
  </si>
  <si>
    <t>PSF-00455_20230426142023</t>
  </si>
  <si>
    <t>PSF-00455_20230426143119</t>
  </si>
  <si>
    <t>PSF-00455_20230426143130</t>
  </si>
  <si>
    <t>PSF-00455_20230426143148</t>
  </si>
  <si>
    <t>PSF-00455_20230426143203</t>
  </si>
  <si>
    <t>PSF-00455_20230426143229</t>
  </si>
  <si>
    <t>PSF-00455_20230426143303</t>
  </si>
  <si>
    <t>PSF-00455_20230426144233</t>
  </si>
  <si>
    <t>PSF-00455_20230426144257</t>
  </si>
  <si>
    <t>PSF-00455_20230426144326</t>
  </si>
  <si>
    <t>PSF-00455_20230426144355</t>
  </si>
  <si>
    <t>PSF-00455_20230426144404</t>
  </si>
  <si>
    <t>PSF-00455_20230426144430</t>
  </si>
  <si>
    <t>T1.1</t>
  </si>
  <si>
    <t>T1.2</t>
  </si>
  <si>
    <t>T2.1</t>
  </si>
  <si>
    <t>T2.2</t>
  </si>
  <si>
    <t>T3.1</t>
  </si>
  <si>
    <t>T3.2</t>
  </si>
  <si>
    <t>T4.1</t>
  </si>
  <si>
    <t>T4.2</t>
  </si>
  <si>
    <t>PSF-00455_20230726081432</t>
  </si>
  <si>
    <t>PSF-00455_20230726081509</t>
  </si>
  <si>
    <t>PSF-00455_20230726081536</t>
  </si>
  <si>
    <t>PSF-00455_20230726081626</t>
  </si>
  <si>
    <t>PSF-00455_20230726081700</t>
  </si>
  <si>
    <t>PSF-00455_20230726081724</t>
  </si>
  <si>
    <t>PSF-00455_20230726081735</t>
  </si>
  <si>
    <t>PSF-00455_20230726081750</t>
  </si>
  <si>
    <t>PSF-00455_20230726082830</t>
  </si>
  <si>
    <t>PSF-00455_20230726082908</t>
  </si>
  <si>
    <t>PSF-00455_20230726082920</t>
  </si>
  <si>
    <t>PSF-00455_20230726082934</t>
  </si>
  <si>
    <t>PSF-00455_20230726083830</t>
  </si>
  <si>
    <t>PSF-00455_20230726083855</t>
  </si>
  <si>
    <t>PSF-00455_20230726083911</t>
  </si>
  <si>
    <t>PSF-00455_20230726083948</t>
  </si>
  <si>
    <t>PSF-00455_20230726084716</t>
  </si>
  <si>
    <t>PSF-00455_20230726084731</t>
  </si>
  <si>
    <t>PSF-00455_20230726084753</t>
  </si>
  <si>
    <t>PSF-00455_20230726084838</t>
  </si>
  <si>
    <t>PSF-00455_20230726090604</t>
  </si>
  <si>
    <t>PSF-00455_20230726090625</t>
  </si>
  <si>
    <t>PSF-00455_20230726090636</t>
  </si>
  <si>
    <t>PSF-00455_20230726090648</t>
  </si>
  <si>
    <t>PSF-00455_20230726091544</t>
  </si>
  <si>
    <t>PSF-00455_20230726091604</t>
  </si>
  <si>
    <t>PSF-00455_20230726091619</t>
  </si>
  <si>
    <t>PSF-00455_20230726091632</t>
  </si>
  <si>
    <t>PSF-00455_20230726093554</t>
  </si>
  <si>
    <t>PSF-00455_20230726093611</t>
  </si>
  <si>
    <t>PSF-00455_20230726093625</t>
  </si>
  <si>
    <t>PSF-00455_20230726093638</t>
  </si>
  <si>
    <t>PSF-00455_20230726093649</t>
  </si>
  <si>
    <t>PSF-00455_20230726110629</t>
  </si>
  <si>
    <t>PSF-00455_20230726110642</t>
  </si>
  <si>
    <t>PSF-00455_20230726110657</t>
  </si>
  <si>
    <t>PSF-00455_20230726110712</t>
  </si>
  <si>
    <t>PSF-00455_20230726111526</t>
  </si>
  <si>
    <t>PSF-00455_20230726111538</t>
  </si>
  <si>
    <t>PSF-00455_20230726111551</t>
  </si>
  <si>
    <t>PSF-00455_20230726111601</t>
  </si>
  <si>
    <t>PSF-00455_20230726112754</t>
  </si>
  <si>
    <t>PSF-00455_20230726112805</t>
  </si>
  <si>
    <t>PSF-00455_20230726112820</t>
  </si>
  <si>
    <t>PSF-00455_20230726112835</t>
  </si>
  <si>
    <t>PSF-00455_20230726113524</t>
  </si>
  <si>
    <t>PSF-00455_20230726113537</t>
  </si>
  <si>
    <t>PSF-00455_20230726113547</t>
  </si>
  <si>
    <t>PSF-00455_20230726113558</t>
  </si>
  <si>
    <t>PSF-00455_20230726114205</t>
  </si>
  <si>
    <t>PSF-00455_20230726114216</t>
  </si>
  <si>
    <t>PSF-00455_20230726114228</t>
  </si>
  <si>
    <t>PSF-00455_20230726114246</t>
  </si>
  <si>
    <t>PSF-00455_20230726115218</t>
  </si>
  <si>
    <t>PSF-00455_20230726115232</t>
  </si>
  <si>
    <t>PSF-00455_20230726115243</t>
  </si>
  <si>
    <t>PSF-00455_20230726115258</t>
  </si>
  <si>
    <t>PSF-00455_20230726120127</t>
  </si>
  <si>
    <t>PSF-00455_20230726120152</t>
  </si>
  <si>
    <t>PSF-00455_20230726120208</t>
  </si>
  <si>
    <t>PSF-00455_20230726120227</t>
  </si>
  <si>
    <t>PSF-00455_20230726121651</t>
  </si>
  <si>
    <t>PSF-00455_20230726121701</t>
  </si>
  <si>
    <t>PSF-00455_20230726121718</t>
  </si>
  <si>
    <t>PSF-00455_20230726121733</t>
  </si>
  <si>
    <t>PSF-00455_20230726121750</t>
  </si>
  <si>
    <t>PSF-00455_20230726121802</t>
  </si>
  <si>
    <t>PSF-00455_20230726121832</t>
  </si>
  <si>
    <t>PSF-00455_20230726121845</t>
  </si>
  <si>
    <t>PSF-00455_20230726131117</t>
  </si>
  <si>
    <t>PSF-00455_20230726131128</t>
  </si>
  <si>
    <t>PSF-00455_20230726131143</t>
  </si>
  <si>
    <t>PSF-00455_20230726131200</t>
  </si>
  <si>
    <t>PSF-00455_20230726131219</t>
  </si>
  <si>
    <t>PSF-00455_20230726131943</t>
  </si>
  <si>
    <t>PSF-00455_20230726132018</t>
  </si>
  <si>
    <t>PSF-00455_20230726132036</t>
  </si>
  <si>
    <t>PSF-00455_20230726132051</t>
  </si>
  <si>
    <t>PSF-00455_20230726133457</t>
  </si>
  <si>
    <t>PSF-00455_20230726133512</t>
  </si>
  <si>
    <t>PSF-00455_20230726133523</t>
  </si>
  <si>
    <t>PSF-00455_20230726133534</t>
  </si>
  <si>
    <t>PSF-00455_20230726134252</t>
  </si>
  <si>
    <t>PSF-00455_20230726134303</t>
  </si>
  <si>
    <t>PSF-00455_20230726134319</t>
  </si>
  <si>
    <t>PSF-00455_20230726134332</t>
  </si>
  <si>
    <t>PSF-00455_20230726135151</t>
  </si>
  <si>
    <t>PSF-00455_20230726135203</t>
  </si>
  <si>
    <t>PSF-00455_20230726135213</t>
  </si>
  <si>
    <t>PSF-00455_20230726135222</t>
  </si>
  <si>
    <t>PSF-00455_20230726135911</t>
  </si>
  <si>
    <t>PSF-00455_20230726135922</t>
  </si>
  <si>
    <t>PSF-00455_20230726135933</t>
  </si>
  <si>
    <t>PSF-00455_20230726135945</t>
  </si>
  <si>
    <t>PSF-00455_20230726141145</t>
  </si>
  <si>
    <t>PSF-00455_20230726141159</t>
  </si>
  <si>
    <t>PSF-00455_20230726141215</t>
  </si>
  <si>
    <t>PSF-00455_20230726141227</t>
  </si>
  <si>
    <t>PSF-00455_20230726141257</t>
  </si>
  <si>
    <t>PSF-00455_20230726141308</t>
  </si>
  <si>
    <t>PSF-00455_20230726141327</t>
  </si>
  <si>
    <t>PSF-00455_20230726141340</t>
  </si>
  <si>
    <t>PSF-00455_20230726172124</t>
  </si>
  <si>
    <t>PSF-00455_20230726172137</t>
  </si>
  <si>
    <t>PSF-00455_20230726172146</t>
  </si>
  <si>
    <t>PSF-00455_20230726172201</t>
  </si>
  <si>
    <t>PSF-00455_20230726174659</t>
  </si>
  <si>
    <t>PSF-00455_20230726174712</t>
  </si>
  <si>
    <t>PSF-00455_20230726174725</t>
  </si>
  <si>
    <t>PSF-00455_20230726174746</t>
  </si>
  <si>
    <t>PSF-00455_20230726175814</t>
  </si>
  <si>
    <t>PSF-00455_20230726175825</t>
  </si>
  <si>
    <t>PSF-00455_20230726175835</t>
  </si>
  <si>
    <t>PSF-00455_20230726175847</t>
  </si>
  <si>
    <t>PSF-00455_20230726180850</t>
  </si>
  <si>
    <t>PSF-00455_20230726180912</t>
  </si>
  <si>
    <t>PSF-00455_20230726180921</t>
  </si>
  <si>
    <t>PSF-00455_20230726180937</t>
  </si>
  <si>
    <t>PSF-00455_20230726180950</t>
  </si>
  <si>
    <t>PSF-00455_20230726181514</t>
  </si>
  <si>
    <t>PSF-00455_20230726181525</t>
  </si>
  <si>
    <t>PSF-00455_20230726181535</t>
  </si>
  <si>
    <t>PSF-00455_20230726181600</t>
  </si>
  <si>
    <t>PSF-00455_20230726181614</t>
  </si>
  <si>
    <t>PSF-00455_20230726181634</t>
  </si>
  <si>
    <t>PSF-00455_20230726181700</t>
  </si>
  <si>
    <t>PSF-00455_20230726182333</t>
  </si>
  <si>
    <t>PSF-00455_20230726182344</t>
  </si>
  <si>
    <t>PSF-00455_20230726182351</t>
  </si>
  <si>
    <t>PSF-00455_20230726182359</t>
  </si>
  <si>
    <t>PSF-00455_20230726183020</t>
  </si>
  <si>
    <t>PSF-00455_20230726183035</t>
  </si>
  <si>
    <t>PSF-00455_20230726183046</t>
  </si>
  <si>
    <t>PSF-00455_20230726183109</t>
  </si>
  <si>
    <t>PSF-00455_20230726183840</t>
  </si>
  <si>
    <t>PSF-00455_20230726183851</t>
  </si>
  <si>
    <t>PSF-00455_20230726183859</t>
  </si>
  <si>
    <t>PSF-00455_20230726183908</t>
  </si>
  <si>
    <t>PSF-00455_20230726183920</t>
  </si>
  <si>
    <t>PSF-00455_20230726184923</t>
  </si>
  <si>
    <t>PSF-00455_20230726184934</t>
  </si>
  <si>
    <t>PSF-00455_20230726184959</t>
  </si>
  <si>
    <t>PSF-00455_20230726185011</t>
  </si>
  <si>
    <t>PSF-00455_20230726192847</t>
  </si>
  <si>
    <t>PSF-00455_20230726192856</t>
  </si>
  <si>
    <t>PSF-00455_20230726192915</t>
  </si>
  <si>
    <t>PSF-00455_20230726192929</t>
  </si>
  <si>
    <t>PSF-00455_20230726193513</t>
  </si>
  <si>
    <t>PSF-00455_20230726193521</t>
  </si>
  <si>
    <t>PSF-00455_20230726193536</t>
  </si>
  <si>
    <t>PSF-00455_20230726193558</t>
  </si>
  <si>
    <t>PSF-00455_20230726194302</t>
  </si>
  <si>
    <t>PSF-00455_20230726194328</t>
  </si>
  <si>
    <t>PSF-00455_20230726194342</t>
  </si>
  <si>
    <t>PSF-00455_20230726194354</t>
  </si>
  <si>
    <t>PSF-00455_20230726194407</t>
  </si>
  <si>
    <t>PSF-00455_20230726194758</t>
  </si>
  <si>
    <t>PSF-00455_20230726194829</t>
  </si>
  <si>
    <t>PSF-00455_20230726194843</t>
  </si>
  <si>
    <t>PSF-00455_20230726194858</t>
  </si>
  <si>
    <t>PSF-00455_20230726194910</t>
  </si>
  <si>
    <t>PSF-00455_20230726195930</t>
  </si>
  <si>
    <t>PSF-00455_20230726195945</t>
  </si>
  <si>
    <t>PSF-00455_20230726195957</t>
  </si>
  <si>
    <t>PSF-00455_20230726200008</t>
  </si>
  <si>
    <t>PSF-00455_20230726200407</t>
  </si>
  <si>
    <t>PSF-00455_20230726200424</t>
  </si>
  <si>
    <t>PSF-00455_20230726200457</t>
  </si>
  <si>
    <t>PSF-00455_20230726200508</t>
  </si>
  <si>
    <t>PSF-00455_20230726200520</t>
  </si>
  <si>
    <t>PSF-00455_20230726200950</t>
  </si>
  <si>
    <t>PSF-00455_20230726201000</t>
  </si>
  <si>
    <t>PSF-00455_20230726201009</t>
  </si>
  <si>
    <t>PSF-00455_20230726201019</t>
  </si>
  <si>
    <t>PSF-00455_20230726201035</t>
  </si>
  <si>
    <t>PSF-00455_20230726201720</t>
  </si>
  <si>
    <t>PSF-00455_20230726201734</t>
  </si>
  <si>
    <t>PSF-00455_20230726201816</t>
  </si>
  <si>
    <t>PSF-00455_20230726201828</t>
  </si>
  <si>
    <t>PSF-00455_20230726201837</t>
  </si>
  <si>
    <t>id arbol#</t>
  </si>
  <si>
    <t>Vuelta</t>
  </si>
  <si>
    <t>Pt1</t>
  </si>
  <si>
    <t>hora</t>
  </si>
  <si>
    <t>Pt2</t>
  </si>
  <si>
    <t>Pt3</t>
  </si>
  <si>
    <t>Pt4</t>
  </si>
  <si>
    <t>Pt5</t>
  </si>
  <si>
    <t>gs1</t>
  </si>
  <si>
    <t>gs2</t>
  </si>
  <si>
    <t>gs3</t>
  </si>
  <si>
    <t>gs4</t>
  </si>
  <si>
    <t>gs5</t>
  </si>
  <si>
    <t>gs6</t>
  </si>
  <si>
    <t>gs7</t>
  </si>
  <si>
    <t>VPD1</t>
  </si>
  <si>
    <t>VPD2</t>
  </si>
  <si>
    <t>VPD3</t>
  </si>
  <si>
    <t>VPD4</t>
  </si>
  <si>
    <t>VPD5</t>
  </si>
  <si>
    <t>VPD6</t>
  </si>
  <si>
    <t>VPD7</t>
  </si>
  <si>
    <t>Hora promedio</t>
  </si>
  <si>
    <t>Pt promedio</t>
  </si>
  <si>
    <t>Pt ES</t>
  </si>
  <si>
    <t>gs promedio</t>
  </si>
  <si>
    <t>gs ES</t>
  </si>
  <si>
    <t>VPD hoja promedio</t>
  </si>
  <si>
    <t>VPD hoja ES</t>
  </si>
  <si>
    <t>FP promedio</t>
  </si>
  <si>
    <t>ent</t>
  </si>
  <si>
    <t>sup</t>
  </si>
  <si>
    <t>DateTime</t>
  </si>
  <si>
    <t>FloraPulse - WP - RGA</t>
  </si>
  <si>
    <t>FLORAPULSE T1.2</t>
  </si>
  <si>
    <t>FLORAPULSE T4.1</t>
  </si>
  <si>
    <t>FLORAPULSE T3.1</t>
  </si>
  <si>
    <t>FLORAPULSE T2.2</t>
  </si>
  <si>
    <t>FLORAPULSE T4.2</t>
  </si>
  <si>
    <t>FLORAPULSE T2.1</t>
  </si>
  <si>
    <t>FLORAPULSE T3.2</t>
  </si>
  <si>
    <t>FLORAPULSE T1.1</t>
  </si>
  <si>
    <t>Id arbol</t>
  </si>
  <si>
    <t>vuelta</t>
  </si>
  <si>
    <t>GSW promedio</t>
  </si>
  <si>
    <t>VPD promedio</t>
  </si>
  <si>
    <t>LEAF_ANGLE</t>
  </si>
  <si>
    <t>GPS</t>
  </si>
  <si>
    <t>pitch</t>
  </si>
  <si>
    <t>roll</t>
  </si>
  <si>
    <t>heading</t>
  </si>
  <si>
    <t>angle_inc_leaf</t>
  </si>
  <si>
    <t>direct_pct</t>
  </si>
  <si>
    <t>slope_leaf</t>
  </si>
  <si>
    <t>az_leaf</t>
  </si>
  <si>
    <t>dec_solar</t>
  </si>
  <si>
    <t>az_solar</t>
  </si>
  <si>
    <t>zenith_solar</t>
  </si>
  <si>
    <t>gps_time</t>
  </si>
  <si>
    <t>gps_date</t>
  </si>
  <si>
    <t>latitude</t>
  </si>
  <si>
    <t>longitude</t>
  </si>
  <si>
    <t>altitude</t>
  </si>
  <si>
    <t>gps_sats</t>
  </si>
  <si>
    <t>gps_HDOP</t>
  </si>
  <si>
    <t>degrees</t>
  </si>
  <si>
    <t>m</t>
  </si>
  <si>
    <t>PSF-01113_20230811005155</t>
  </si>
  <si>
    <t>0000-00-00</t>
  </si>
  <si>
    <t>nan</t>
  </si>
  <si>
    <t>PFA-00967</t>
  </si>
  <si>
    <t>PSA-00967</t>
  </si>
  <si>
    <t>PSF-01113</t>
  </si>
  <si>
    <t>RHS-01617</t>
  </si>
  <si>
    <t>2023-03-15T15:28:20.994Z</t>
  </si>
  <si>
    <t>PSF-01113_20230811005230</t>
  </si>
  <si>
    <t>PSF-01113_20230811010510</t>
  </si>
  <si>
    <t>PSF-01113_20230811010547</t>
  </si>
  <si>
    <t>PSF-01113_20230811010602</t>
  </si>
  <si>
    <t>PSF-01113_20230811010617</t>
  </si>
  <si>
    <t>PSF-01113_20230811010635</t>
  </si>
  <si>
    <t>PSF-01113_20230811011139</t>
  </si>
  <si>
    <t>PSF-01113_20230811011158</t>
  </si>
  <si>
    <t>PSF-01113_20230811011218</t>
  </si>
  <si>
    <t>PSF-01113_20230811011234</t>
  </si>
  <si>
    <t>PSF-01113_20230811011916</t>
  </si>
  <si>
    <t>PSF-01113_20230811011931</t>
  </si>
  <si>
    <t>PSF-01113_20230811011951</t>
  </si>
  <si>
    <t>PSF-01113_20230811012007</t>
  </si>
  <si>
    <t>PSF-01113_20230811012509</t>
  </si>
  <si>
    <t>PSF-01113_20230811012542</t>
  </si>
  <si>
    <t>PSF-01113_20230811012605</t>
  </si>
  <si>
    <t>PSF-01113_20230811012630</t>
  </si>
  <si>
    <t>PSF-01113_20230811012650</t>
  </si>
  <si>
    <t>PSF-01113_20230811013211</t>
  </si>
  <si>
    <t>PSF-01113_20230811013224</t>
  </si>
  <si>
    <t>PSF-01113_20230811013238</t>
  </si>
  <si>
    <t>PSF-01113_20230811013258</t>
  </si>
  <si>
    <t>PSF-01113_20230811013746</t>
  </si>
  <si>
    <t>PSF-01113_20230811013758</t>
  </si>
  <si>
    <t>PSF-01113_20230811013811</t>
  </si>
  <si>
    <t>PSF-01113_20230811013843</t>
  </si>
  <si>
    <t>PSF-01113_20230811013859</t>
  </si>
  <si>
    <t>PSF-01113_20230811014553</t>
  </si>
  <si>
    <t>PSF-01113_20230811014607</t>
  </si>
  <si>
    <t>PSF-01113_20230811014628</t>
  </si>
  <si>
    <t>PSF-01113_20230811014644</t>
  </si>
  <si>
    <t>PSF-01113_20230811015044</t>
  </si>
  <si>
    <t>PSF-01113_20230811015054</t>
  </si>
  <si>
    <t>PSF-01113_20230811015104</t>
  </si>
  <si>
    <t>PSF-01113_20230811015120</t>
  </si>
  <si>
    <t>PSF-01113_20230811020004</t>
  </si>
  <si>
    <t>PSF-01113_20230811020025</t>
  </si>
  <si>
    <t>PSF-01113_20230811020044</t>
  </si>
  <si>
    <t>PSF-01113_20230811020114</t>
  </si>
  <si>
    <t>PSF-01113_20230811020138</t>
  </si>
  <si>
    <t>PSF-01113_20230811020150</t>
  </si>
  <si>
    <t>PSF-01113_20230811020207</t>
  </si>
  <si>
    <t>PSF-01113_20230811020218</t>
  </si>
  <si>
    <t>PSF-01113_20230811020245</t>
  </si>
  <si>
    <t>PSF-01113_20230811020300</t>
  </si>
  <si>
    <t>PSF-01113_20230811020340</t>
  </si>
  <si>
    <t>PSF-01113_20230811020355</t>
  </si>
  <si>
    <t>PSF-01113_20230811040753</t>
  </si>
  <si>
    <t>PSF-01113_20230811040808</t>
  </si>
  <si>
    <t>PSF-01113_20230811040827</t>
  </si>
  <si>
    <t>PSF-01113_20230811040845</t>
  </si>
  <si>
    <t>PSF-01113_20230811041415</t>
  </si>
  <si>
    <t>PSF-01113_20230811041427</t>
  </si>
  <si>
    <t>PSF-01113_20230811041448</t>
  </si>
  <si>
    <t>PSF-01113_20230811041501</t>
  </si>
  <si>
    <t>PSF-01113_20230811042113</t>
  </si>
  <si>
    <t>PSF-01113_20230811042127</t>
  </si>
  <si>
    <t>PSF-01113_20230811042140</t>
  </si>
  <si>
    <t>PSF-01113_20230811042154</t>
  </si>
  <si>
    <t>PSF-01113_20230811042210</t>
  </si>
  <si>
    <t>PSF-01113_20230811042541</t>
  </si>
  <si>
    <t>PSF-01113_20230811042602</t>
  </si>
  <si>
    <t>PSF-01113_20230811042624</t>
  </si>
  <si>
    <t>PSF-01113_20230811042644</t>
  </si>
  <si>
    <t>PSF-01113_20230811043051</t>
  </si>
  <si>
    <t>PSF-01113_20230811043137</t>
  </si>
  <si>
    <t>PSF-01113_20230811043201</t>
  </si>
  <si>
    <t>PSF-01113_20230811043225</t>
  </si>
  <si>
    <t>PSF-01113_20230811043535</t>
  </si>
  <si>
    <t>PSF-01113_20230811043550</t>
  </si>
  <si>
    <t>PSF-01113_20230811043610</t>
  </si>
  <si>
    <t>PSF-01113_20230811043631</t>
  </si>
  <si>
    <t>PSF-01113_20230811044350</t>
  </si>
  <si>
    <t>PSF-01113_20230811044401</t>
  </si>
  <si>
    <t>PSF-01113_20230811044416</t>
  </si>
  <si>
    <t>PSF-01113_20230811044428</t>
  </si>
  <si>
    <t>PSF-01113_20230811044846</t>
  </si>
  <si>
    <t>PSF-01113_20230811044917</t>
  </si>
  <si>
    <t>PSF-01113_20230811044932</t>
  </si>
  <si>
    <t>PSF-01113_20230811044952</t>
  </si>
  <si>
    <t>PSF-01113_20230811045937</t>
  </si>
  <si>
    <t>PSF-01113_20230811045957</t>
  </si>
  <si>
    <t>PSF-01113_20230811050016</t>
  </si>
  <si>
    <t>PSF-01113_20230811050028</t>
  </si>
  <si>
    <t>PSF-01113_20230811050124</t>
  </si>
  <si>
    <t>PSF-01113_20230811050135</t>
  </si>
  <si>
    <t>PSF-01113_20230811050154</t>
  </si>
  <si>
    <t>PSF-01113_20230811050212</t>
  </si>
  <si>
    <t>PSF-01113_20230811050427</t>
  </si>
  <si>
    <t>PSF-01113_20230811050443</t>
  </si>
  <si>
    <t>PSF-01113_20230811050459</t>
  </si>
  <si>
    <t>PSF-01113_20230811050510</t>
  </si>
  <si>
    <t>PSF-01113_20230811064128</t>
  </si>
  <si>
    <t>PSF-01113_20230811064152</t>
  </si>
  <si>
    <t>PSF-01113_20230811064205</t>
  </si>
  <si>
    <t>PSF-01113_20230811064228</t>
  </si>
  <si>
    <t>PSF-01113_20230811064645</t>
  </si>
  <si>
    <t>PSF-01113_20230811064706</t>
  </si>
  <si>
    <t>PSF-01113_20230811064719</t>
  </si>
  <si>
    <t>PSF-01113_20230811064737</t>
  </si>
  <si>
    <t>PSF-01113_20230811065317</t>
  </si>
  <si>
    <t>PSF-01113_20230811065327</t>
  </si>
  <si>
    <t>PSF-01113_20230811065342</t>
  </si>
  <si>
    <t>PSF-01113_20230811065354</t>
  </si>
  <si>
    <t>PSF-01113_20230811065842</t>
  </si>
  <si>
    <t>PSF-01113_20230811065858</t>
  </si>
  <si>
    <t>PSF-01113_20230811065923</t>
  </si>
  <si>
    <t>PSF-01113_20230811070006</t>
  </si>
  <si>
    <t>PSF-01113_20230811070352</t>
  </si>
  <si>
    <t>PSF-01113_20230811070409</t>
  </si>
  <si>
    <t>PSF-01113_20230811070423</t>
  </si>
  <si>
    <t>PSF-01113_20230811070436</t>
  </si>
  <si>
    <t>PSF-01113_20230811070457</t>
  </si>
  <si>
    <t>PSF-01113_20230811070937</t>
  </si>
  <si>
    <t>PSF-01113_20230811071011</t>
  </si>
  <si>
    <t>PSF-01113_20230811071029</t>
  </si>
  <si>
    <t>PSF-01113_20230811071048</t>
  </si>
  <si>
    <t>PSF-01113_20230811071745</t>
  </si>
  <si>
    <t>PSF-01113_20230811071818</t>
  </si>
  <si>
    <t>PSF-01113_20230811071831</t>
  </si>
  <si>
    <t>PSF-01113_20230811071932</t>
  </si>
  <si>
    <t>PSF-01113_20230811071941</t>
  </si>
  <si>
    <t>PSF-01113_20230811072332</t>
  </si>
  <si>
    <t>PSF-01113_20230811072342</t>
  </si>
  <si>
    <t>PSF-01113_20230811072356</t>
  </si>
  <si>
    <t>PSF-01113_20230811072418</t>
  </si>
  <si>
    <t>PSF-01113_20230811073229</t>
  </si>
  <si>
    <t>PSF-01113_20230811073243</t>
  </si>
  <si>
    <t>PSF-01113_20230811073305</t>
  </si>
  <si>
    <t>PSF-01113_20230811073321</t>
  </si>
  <si>
    <t>PSF-01113_20230811073341</t>
  </si>
  <si>
    <t>PSF-01113_20230811073357</t>
  </si>
  <si>
    <t>PSF-01113_20230811073408</t>
  </si>
  <si>
    <t>PSF-01113_20230811073420</t>
  </si>
  <si>
    <t>PSF-01113_20230811073445</t>
  </si>
  <si>
    <t>PSF-01113_20230811073458</t>
  </si>
  <si>
    <t>PSF-01113_20230811073513</t>
  </si>
  <si>
    <t>PSF-01113_20230811073534</t>
  </si>
  <si>
    <t>PSF-01113_20230811103913</t>
  </si>
  <si>
    <t>PSF-01113_20230811103928</t>
  </si>
  <si>
    <t>PSF-01113_20230811103941</t>
  </si>
  <si>
    <t>PSF-01113_20230811103956</t>
  </si>
  <si>
    <t>PSF-01113_20230811104418</t>
  </si>
  <si>
    <t>PSF-01113_20230811104434</t>
  </si>
  <si>
    <t>PSF-01113_20230811104447</t>
  </si>
  <si>
    <t>PSF-01113_20230811104501</t>
  </si>
  <si>
    <t>PSF-01113_20230811105329</t>
  </si>
  <si>
    <t>PSF-01113_20230811105340</t>
  </si>
  <si>
    <t>PSF-01113_20230811105407</t>
  </si>
  <si>
    <t>PSF-01113_20230811105417</t>
  </si>
  <si>
    <t>PSF-01113_20230811105431</t>
  </si>
  <si>
    <t>PSF-01113_20230811105936</t>
  </si>
  <si>
    <t>PSF-01113_20230811105944</t>
  </si>
  <si>
    <t>PSF-01113_20230811105955</t>
  </si>
  <si>
    <t>PSF-01113_20230811110005</t>
  </si>
  <si>
    <t>PSF-01113_20230811110504</t>
  </si>
  <si>
    <t>PSF-01113_20230811110517</t>
  </si>
  <si>
    <t>PSF-01113_20230811110533</t>
  </si>
  <si>
    <t>PSF-01113_20230811110545</t>
  </si>
  <si>
    <t>PSF-01113_20230811110558</t>
  </si>
  <si>
    <t>PSF-01113_20230811111131</t>
  </si>
  <si>
    <t>PSF-01113_20230811111155</t>
  </si>
  <si>
    <t>PSF-01113_20230811111214</t>
  </si>
  <si>
    <t>PSF-01113_20230811111231</t>
  </si>
  <si>
    <t>PSF-01113_20230811112115</t>
  </si>
  <si>
    <t>PSF-01113_20230811112135</t>
  </si>
  <si>
    <t>PSF-01113_20230811112148</t>
  </si>
  <si>
    <t>PSF-01113_20230811112206</t>
  </si>
  <si>
    <t>PSF-01113_20230811112637</t>
  </si>
  <si>
    <t>PSF-01113_20230811112657</t>
  </si>
  <si>
    <t>PSF-01113_20230811112707</t>
  </si>
  <si>
    <t>PSF-01113_20230811112717</t>
  </si>
  <si>
    <t>PSF-01113_20230811113842</t>
  </si>
  <si>
    <t>PSF-01113_20230811113857</t>
  </si>
  <si>
    <t>PSF-01113_20230811113917</t>
  </si>
  <si>
    <t>PSF-01113_20230811113929</t>
  </si>
  <si>
    <t>PSF-01113_20230811113939</t>
  </si>
  <si>
    <t>PSF-01113_20230811114006</t>
  </si>
  <si>
    <t>PSF-01113_20230811114027</t>
  </si>
  <si>
    <t>PSF-01113_20230811114041</t>
  </si>
  <si>
    <t>PSF-01113_20230811114057</t>
  </si>
  <si>
    <t>PSF-01113_20230811114108</t>
  </si>
  <si>
    <t>PSF-01113_20230811114126</t>
  </si>
  <si>
    <t>PSF-01113_20230811114139</t>
  </si>
  <si>
    <t>PSF-01113_20230811114206</t>
  </si>
  <si>
    <t>PSF-01113_20230811114224</t>
  </si>
  <si>
    <t>PSF-01113_20230811122236</t>
  </si>
  <si>
    <t>PSF-01113_20230811122253</t>
  </si>
  <si>
    <t>PSF-01113_20230811122304</t>
  </si>
  <si>
    <t>PSF-01113_20230811122321</t>
  </si>
  <si>
    <t>PSF-01113_20230811122329</t>
  </si>
  <si>
    <t>PSF-01113_20230811122338</t>
  </si>
  <si>
    <t>PSF-01113_20230811122354</t>
  </si>
  <si>
    <t>PSF-01113_20230811122402</t>
  </si>
  <si>
    <t>PSF-01113_20230811122411</t>
  </si>
  <si>
    <t>PSF-01113_20230811122424</t>
  </si>
  <si>
    <t>PSF-01113_20230811122432</t>
  </si>
  <si>
    <t>PSF-01113_20230811122440</t>
  </si>
  <si>
    <t>PSF-01113_20230811122452</t>
  </si>
  <si>
    <t>PSF-01113_20230811122500</t>
  </si>
  <si>
    <t>PSF-01113_20230811122507</t>
  </si>
  <si>
    <t>PSF-01113_20230811122527</t>
  </si>
  <si>
    <t>PSF-01113_20230811122535</t>
  </si>
  <si>
    <t>PSF-01113_20230811122543</t>
  </si>
  <si>
    <t>PSF-01113_20230811122553</t>
  </si>
  <si>
    <t>PSF-01113_20230811122601</t>
  </si>
  <si>
    <t>PSF-01113_20230811122621</t>
  </si>
  <si>
    <t>PSF-01113_20230811122704</t>
  </si>
  <si>
    <t>PSF-01113_20230811122712</t>
  </si>
  <si>
    <t>PSF-01113_20230811122719</t>
  </si>
  <si>
    <t>PSF-01113_20230811122730</t>
  </si>
  <si>
    <t>PSF-01113_20230811122738</t>
  </si>
  <si>
    <t>PSF-01113_20230811122746</t>
  </si>
  <si>
    <t>PSF-01113_20230811122754</t>
  </si>
  <si>
    <t>PSF-01113_20230811122804</t>
  </si>
  <si>
    <t>PSF-01113_20230811122815</t>
  </si>
  <si>
    <t>PSF-01113_20230811122845</t>
  </si>
  <si>
    <t>PSF-01113_20230811122852</t>
  </si>
  <si>
    <t>PSF-01113_20230811122900</t>
  </si>
  <si>
    <t>PSF-01113_20230811122912</t>
  </si>
  <si>
    <t>PSF-01113_20230811122920</t>
  </si>
  <si>
    <t>PSF-01113_20230811122928</t>
  </si>
  <si>
    <t>PSF-01113_20230811122940</t>
  </si>
  <si>
    <t>PSF-01113_20230811122947</t>
  </si>
  <si>
    <t>PSF-01113_20230811122959</t>
  </si>
  <si>
    <t>PSF-01113_20230811123010</t>
  </si>
  <si>
    <t>PSF-01113_20230811123021</t>
  </si>
  <si>
    <t>PSF-01113_20230811123029</t>
  </si>
  <si>
    <t>PSF-01113_20230811123042</t>
  </si>
  <si>
    <t>PSF-01113_20230811123049</t>
  </si>
  <si>
    <t>PSF-01113_20230811123058</t>
  </si>
  <si>
    <t>PSF-01113_20230811123114</t>
  </si>
  <si>
    <t>PSF-01113_20230811123122</t>
  </si>
  <si>
    <t>PSF-01113_20230811123131</t>
  </si>
  <si>
    <t>PSF-01113_20230811123141</t>
  </si>
  <si>
    <t>PSF-01113_20230811123149</t>
  </si>
  <si>
    <t>PSF-01113_20230811123157</t>
  </si>
  <si>
    <t>PSF-01113_20230811123214</t>
  </si>
  <si>
    <t>PSF-01113_20230811123225</t>
  </si>
  <si>
    <t>PSF-01113_20230811123256</t>
  </si>
  <si>
    <t>PSF-01113_20230811123307</t>
  </si>
  <si>
    <t>PSF-01113_20230811123314</t>
  </si>
  <si>
    <t>PSF-01113_20230811123323</t>
  </si>
  <si>
    <t>PSF-01113_20230811123337</t>
  </si>
  <si>
    <t>PSF-01113_20230811123345</t>
  </si>
  <si>
    <t>PSF-01113_20230811123353</t>
  </si>
  <si>
    <t>PSF-01113_20230811123950</t>
  </si>
  <si>
    <t>PSF-01113_20230811124001</t>
  </si>
  <si>
    <t>PSF-01113_20230811124022</t>
  </si>
  <si>
    <t>PSF-01113_20230811124033</t>
  </si>
  <si>
    <t>PSF-01113_20230811124107</t>
  </si>
  <si>
    <t>PSF-01113_20230811124620</t>
  </si>
  <si>
    <t>PSF-01113_20230811124642</t>
  </si>
  <si>
    <t>PSF-01113_20230811124713</t>
  </si>
  <si>
    <t>PSF-01113_20230811124729</t>
  </si>
  <si>
    <t>PSF-01113_20230811124745</t>
  </si>
  <si>
    <t>PSF-01113_20230811125425</t>
  </si>
  <si>
    <t>PSF-01113_20230811125438</t>
  </si>
  <si>
    <t>PSF-01113_20230811125454</t>
  </si>
  <si>
    <t>PSF-01113_20230811125515</t>
  </si>
  <si>
    <t>PSF-01113_20230811125607</t>
  </si>
  <si>
    <t>PSF-01113_20230811125618</t>
  </si>
  <si>
    <t>PSF-01113_20230811125628</t>
  </si>
  <si>
    <t>PSF-01113_20230811125645</t>
  </si>
  <si>
    <t>PSF-01113_20230811125858</t>
  </si>
  <si>
    <t>PSF-01113_20230811125910</t>
  </si>
  <si>
    <t>PSF-01113_20230811125922</t>
  </si>
  <si>
    <t>PSF-01113_20230811125937</t>
  </si>
  <si>
    <t>PSF-01113_20230811130024</t>
  </si>
  <si>
    <t>PSF-01113_20230811130039</t>
  </si>
  <si>
    <t>PSF-01113_20230811130110</t>
  </si>
  <si>
    <t>PSF-01113_20230811130122</t>
  </si>
  <si>
    <t>PSF-01113_20230811131859</t>
  </si>
  <si>
    <t>PSF-01113_20230811131910</t>
  </si>
  <si>
    <t>PSF-01113_20230811131925</t>
  </si>
  <si>
    <t>PSF-01113_20230811131940</t>
  </si>
  <si>
    <t>PSF-01113_20230811132035</t>
  </si>
  <si>
    <t>PSF-01113_20230811132046</t>
  </si>
  <si>
    <t>PSF-01113_20230811132058</t>
  </si>
  <si>
    <t>PSF-01113_20230811132109</t>
  </si>
  <si>
    <t>PSF-01113_20230811132121</t>
  </si>
  <si>
    <t>PSF-01113_20230811133347</t>
  </si>
  <si>
    <t>PSF-01113_20230811133400</t>
  </si>
  <si>
    <t>PSF-01113_20230811133417</t>
  </si>
  <si>
    <t>PSF-01113_20230811133435</t>
  </si>
  <si>
    <t>id arbol</t>
  </si>
  <si>
    <t>Ref</t>
  </si>
  <si>
    <t>Ref der</t>
  </si>
  <si>
    <t>Ref izq</t>
  </si>
  <si>
    <t>-15,6</t>
  </si>
  <si>
    <t>-14,27</t>
  </si>
  <si>
    <t>-15,75</t>
  </si>
  <si>
    <t>-17,62</t>
  </si>
  <si>
    <t>-15,35</t>
  </si>
  <si>
    <t>-13,69</t>
  </si>
  <si>
    <t>-14,89</t>
  </si>
  <si>
    <t>-17,65</t>
  </si>
  <si>
    <t>-14,84</t>
  </si>
  <si>
    <t>-13,22</t>
  </si>
  <si>
    <t>-15,21</t>
  </si>
  <si>
    <t>-17,07</t>
  </si>
  <si>
    <t>-14,67</t>
  </si>
  <si>
    <t>-13,01</t>
  </si>
  <si>
    <t>-13,9</t>
  </si>
  <si>
    <t>-16,97</t>
  </si>
  <si>
    <t>-14,44</t>
  </si>
  <si>
    <t>-12,62</t>
  </si>
  <si>
    <t>-14,79</t>
  </si>
  <si>
    <t>-16,61</t>
  </si>
  <si>
    <t>-14,1</t>
  </si>
  <si>
    <t>-12,57</t>
  </si>
  <si>
    <t>-13,16</t>
  </si>
  <si>
    <t>-16,42</t>
  </si>
  <si>
    <t>-13,94</t>
  </si>
  <si>
    <t>-12,07</t>
  </si>
  <si>
    <t>-14,39</t>
  </si>
  <si>
    <t>-16,15</t>
  </si>
  <si>
    <t>-13,53</t>
  </si>
  <si>
    <t>-12,09</t>
  </si>
  <si>
    <t>-12,53</t>
  </si>
  <si>
    <t>-15,86</t>
  </si>
  <si>
    <t>-13,52</t>
  </si>
  <si>
    <t>-11,65</t>
  </si>
  <si>
    <t>-14,04</t>
  </si>
  <si>
    <t>-15,71</t>
  </si>
  <si>
    <t>-13,04</t>
  </si>
  <si>
    <t>-11,72</t>
  </si>
  <si>
    <t>-15,39</t>
  </si>
  <si>
    <t>-13,18</t>
  </si>
  <si>
    <t>-11,23</t>
  </si>
  <si>
    <t>-13,7</t>
  </si>
  <si>
    <t>-15,36</t>
  </si>
  <si>
    <t>-12,61</t>
  </si>
  <si>
    <t>-11,42</t>
  </si>
  <si>
    <t>-11,59</t>
  </si>
  <si>
    <t>-14,93</t>
  </si>
  <si>
    <t>-12,87</t>
  </si>
  <si>
    <t>-10,84</t>
  </si>
  <si>
    <t>-13,37</t>
  </si>
  <si>
    <t>-15,02</t>
  </si>
  <si>
    <t>-12,19</t>
  </si>
  <si>
    <t>-11,13</t>
  </si>
  <si>
    <t>-11,16</t>
  </si>
  <si>
    <t>-14,51</t>
  </si>
  <si>
    <t>-12,49</t>
  </si>
  <si>
    <t>-10,52</t>
  </si>
  <si>
    <t>-13,08</t>
  </si>
  <si>
    <t>-11,81</t>
  </si>
  <si>
    <t>-10,87</t>
  </si>
  <si>
    <t>-10,74</t>
  </si>
  <si>
    <t>-14,14</t>
  </si>
  <si>
    <t>-12,22</t>
  </si>
  <si>
    <t>-10,28</t>
  </si>
  <si>
    <t>-12,79</t>
  </si>
  <si>
    <t>-14,37</t>
  </si>
  <si>
    <t>-11,51</t>
  </si>
  <si>
    <t>-10,58</t>
  </si>
  <si>
    <t>-10,42</t>
  </si>
  <si>
    <t>-11,84</t>
  </si>
  <si>
    <t>-10,04</t>
  </si>
  <si>
    <t>-14,07</t>
  </si>
  <si>
    <t>-11,2</t>
  </si>
  <si>
    <t>-10,29</t>
  </si>
  <si>
    <t>-10,02</t>
  </si>
  <si>
    <t>-13,32</t>
  </si>
  <si>
    <t>-9,71</t>
  </si>
  <si>
    <t>-11,49</t>
  </si>
  <si>
    <t>-12,26</t>
  </si>
  <si>
    <t>-13,78</t>
  </si>
  <si>
    <t>-10,92</t>
  </si>
  <si>
    <t>-10,07</t>
  </si>
  <si>
    <t>-9,7</t>
  </si>
  <si>
    <t>-13,03</t>
  </si>
  <si>
    <t>-11,22</t>
  </si>
  <si>
    <t>-9,47</t>
  </si>
  <si>
    <t>-12,04</t>
  </si>
  <si>
    <t>-10,65</t>
  </si>
  <si>
    <t>-9,86</t>
  </si>
  <si>
    <t>-9,45</t>
  </si>
  <si>
    <t>-12,74</t>
  </si>
  <si>
    <t>-10,95</t>
  </si>
  <si>
    <t>-9,29</t>
  </si>
  <si>
    <t>-11,82</t>
  </si>
  <si>
    <t>-13,28</t>
  </si>
  <si>
    <t>-10,38</t>
  </si>
  <si>
    <t>-9,63</t>
  </si>
  <si>
    <t>-9,21</t>
  </si>
  <si>
    <t>-12,47</t>
  </si>
  <si>
    <t>-10,78</t>
  </si>
  <si>
    <t>-9,16</t>
  </si>
  <si>
    <t>-11,62</t>
  </si>
  <si>
    <t>-13,07</t>
  </si>
  <si>
    <t>-10,16</t>
  </si>
  <si>
    <t>-9,48</t>
  </si>
  <si>
    <t>-9,06</t>
  </si>
  <si>
    <t>-12,25</t>
  </si>
  <si>
    <t>-10,61</t>
  </si>
  <si>
    <t>-11,44</t>
  </si>
  <si>
    <t>-9,96</t>
  </si>
  <si>
    <t>-9,36</t>
  </si>
  <si>
    <t>-8,95</t>
  </si>
  <si>
    <t>-8,9</t>
  </si>
  <si>
    <t>-10,36</t>
  </si>
  <si>
    <t>-11,25</t>
  </si>
  <si>
    <t>-12,66</t>
  </si>
  <si>
    <t>-9,18</t>
  </si>
  <si>
    <t>-8,78</t>
  </si>
  <si>
    <t>-8,81</t>
  </si>
  <si>
    <t>-10,23</t>
  </si>
  <si>
    <t>-11,11</t>
  </si>
  <si>
    <t>-9,59</t>
  </si>
  <si>
    <t>-8,62</t>
  </si>
  <si>
    <t>-11,6</t>
  </si>
  <si>
    <t>-8,58</t>
  </si>
  <si>
    <t>-12,29</t>
  </si>
  <si>
    <t>-9,37</t>
  </si>
  <si>
    <t>-8,83</t>
  </si>
  <si>
    <t>-8,4</t>
  </si>
  <si>
    <t>-11,4</t>
  </si>
  <si>
    <t>-8,43</t>
  </si>
  <si>
    <t>-10,75</t>
  </si>
  <si>
    <t>-12,13</t>
  </si>
  <si>
    <t>-8,69</t>
  </si>
  <si>
    <t>-8,2</t>
  </si>
  <si>
    <t>-9,64</t>
  </si>
  <si>
    <t>-8,3</t>
  </si>
  <si>
    <t>-10,59</t>
  </si>
  <si>
    <t>-11,96</t>
  </si>
  <si>
    <t>-8,99</t>
  </si>
  <si>
    <t>-8,53</t>
  </si>
  <si>
    <t>-7,97</t>
  </si>
  <si>
    <t>-11,03</t>
  </si>
  <si>
    <t>-8,04</t>
  </si>
  <si>
    <t>-9,44</t>
  </si>
  <si>
    <t>-10,44</t>
  </si>
  <si>
    <t>-11,8</t>
  </si>
  <si>
    <t>-8,82</t>
  </si>
  <si>
    <t>-8,35</t>
  </si>
  <si>
    <t>-7,75</t>
  </si>
  <si>
    <t>-7,8</t>
  </si>
  <si>
    <t>-9,22</t>
  </si>
  <si>
    <t>-10,26</t>
  </si>
  <si>
    <t>-8,65</t>
  </si>
  <si>
    <t>-8,18</t>
  </si>
  <si>
    <t>-7,52</t>
  </si>
  <si>
    <t>-10,68</t>
  </si>
  <si>
    <t>-9,11</t>
  </si>
  <si>
    <t>-7,69</t>
  </si>
  <si>
    <t>-10,12</t>
  </si>
  <si>
    <t>-8,5</t>
  </si>
  <si>
    <t>-8,07</t>
  </si>
  <si>
    <t>-7,36</t>
  </si>
  <si>
    <t>-10,57</t>
  </si>
  <si>
    <t>-9,12</t>
  </si>
  <si>
    <t>-7,32</t>
  </si>
  <si>
    <t>-10,46</t>
  </si>
  <si>
    <t>-7,64</t>
  </si>
  <si>
    <t>-9,93</t>
  </si>
  <si>
    <t>-11,3</t>
  </si>
  <si>
    <t>-8,31</t>
  </si>
  <si>
    <t>-7,96</t>
  </si>
  <si>
    <t>-7,26</t>
  </si>
  <si>
    <t>-8,87</t>
  </si>
  <si>
    <t>-7,49</t>
  </si>
  <si>
    <t>-9,79</t>
  </si>
  <si>
    <t>-8,17</t>
  </si>
  <si>
    <t>-10,33</t>
  </si>
  <si>
    <t>-11,19</t>
  </si>
  <si>
    <t>-7,15</t>
  </si>
  <si>
    <t>-7,45</t>
  </si>
  <si>
    <t>-9,69</t>
  </si>
  <si>
    <t>-11,1</t>
  </si>
  <si>
    <t>-8,06</t>
  </si>
  <si>
    <t>-7,77</t>
  </si>
  <si>
    <t>-7,12</t>
  </si>
  <si>
    <t>-8,79</t>
  </si>
  <si>
    <t>-9,61</t>
  </si>
  <si>
    <t>-7,98</t>
  </si>
  <si>
    <t>-8,75</t>
  </si>
  <si>
    <t>-7,48</t>
  </si>
  <si>
    <t>-9,53</t>
  </si>
  <si>
    <t>-10,97</t>
  </si>
  <si>
    <t>-7,91</t>
  </si>
  <si>
    <t>-7,18</t>
  </si>
  <si>
    <t>-10,9</t>
  </si>
  <si>
    <t>-7,84</t>
  </si>
  <si>
    <t>-7,62</t>
  </si>
  <si>
    <t>-7,16</t>
  </si>
  <si>
    <t>-8,71</t>
  </si>
  <si>
    <t>-7,4</t>
  </si>
  <si>
    <t>-9,94</t>
  </si>
  <si>
    <t>-10,86</t>
  </si>
  <si>
    <t>-7,61</t>
  </si>
  <si>
    <t>-7,22</t>
  </si>
  <si>
    <t>-7,56</t>
  </si>
  <si>
    <t>-9,51</t>
  </si>
  <si>
    <t>-10,88</t>
  </si>
  <si>
    <t>-7,82</t>
  </si>
  <si>
    <t>-7,73</t>
  </si>
  <si>
    <t>-7,43</t>
  </si>
  <si>
    <t>-7,9</t>
  </si>
  <si>
    <t>-10,03</t>
  </si>
  <si>
    <t>-9,27</t>
  </si>
  <si>
    <t>-9,83</t>
  </si>
  <si>
    <t>-11,06</t>
  </si>
  <si>
    <t>-7,93</t>
  </si>
  <si>
    <t>-7,85</t>
  </si>
  <si>
    <t>-10,19</t>
  </si>
  <si>
    <t>-9,6</t>
  </si>
  <si>
    <t>-8,44</t>
  </si>
  <si>
    <t>-10,2</t>
  </si>
  <si>
    <t>-8,41</t>
  </si>
  <si>
    <t>-8,11</t>
  </si>
  <si>
    <t>-9,2</t>
  </si>
  <si>
    <t>-11,55</t>
  </si>
  <si>
    <t>-8,89</t>
  </si>
  <si>
    <t>-8,39</t>
  </si>
  <si>
    <t>-9,78</t>
  </si>
  <si>
    <t>-9,92</t>
  </si>
  <si>
    <t>-10,34</t>
  </si>
  <si>
    <t>-11,57</t>
  </si>
  <si>
    <t>-9,17</t>
  </si>
  <si>
    <t>-9,3</t>
  </si>
  <si>
    <t>-11,54</t>
  </si>
  <si>
    <t>-10,51</t>
  </si>
  <si>
    <t>-10,5</t>
  </si>
  <si>
    <t>-11,64</t>
  </si>
  <si>
    <t>-9,57</t>
  </si>
  <si>
    <t>-13,27</t>
  </si>
  <si>
    <t>-11,35</t>
  </si>
  <si>
    <t>-11,73</t>
  </si>
  <si>
    <t>-11,89</t>
  </si>
  <si>
    <t>-12,99</t>
  </si>
  <si>
    <t>-11,47</t>
  </si>
  <si>
    <t>-10,11</t>
  </si>
  <si>
    <t>-11,75</t>
  </si>
  <si>
    <t>-12,17</t>
  </si>
  <si>
    <t>-14,28</t>
  </si>
  <si>
    <t>-14,2</t>
  </si>
  <si>
    <t>-11,56</t>
  </si>
  <si>
    <t>-10,31</t>
  </si>
  <si>
    <t>-14,3</t>
  </si>
  <si>
    <t>-15,1</t>
  </si>
  <si>
    <t>-14,16</t>
  </si>
  <si>
    <t>-11,63</t>
  </si>
  <si>
    <t>-10,56</t>
  </si>
  <si>
    <t>-12,8</t>
  </si>
  <si>
    <t>-12,67</t>
  </si>
  <si>
    <t>-11,38</t>
  </si>
  <si>
    <t>-14,95</t>
  </si>
  <si>
    <t>-15,16</t>
  </si>
  <si>
    <t>-13,29</t>
  </si>
  <si>
    <t>-15,41</t>
  </si>
  <si>
    <t>-11,79</t>
  </si>
  <si>
    <t>-10,91</t>
  </si>
  <si>
    <t>-15,61</t>
  </si>
  <si>
    <t>-15,28</t>
  </si>
  <si>
    <t>-15,47</t>
  </si>
  <si>
    <t>-12,02</t>
  </si>
  <si>
    <t>-11,15</t>
  </si>
  <si>
    <t>-13,68</t>
  </si>
  <si>
    <t>-12,95</t>
  </si>
  <si>
    <t>-15,66</t>
  </si>
  <si>
    <t>-14,55</t>
  </si>
  <si>
    <t>-15,23</t>
  </si>
  <si>
    <t>-11,36</t>
  </si>
  <si>
    <t>-11,97</t>
  </si>
  <si>
    <t>-15,99</t>
  </si>
  <si>
    <t>-14,06</t>
  </si>
  <si>
    <t>-14,85</t>
  </si>
  <si>
    <t>-16,02</t>
  </si>
  <si>
    <t>-14,32</t>
  </si>
  <si>
    <t>-13,14</t>
  </si>
  <si>
    <t>-13,82</t>
  </si>
  <si>
    <t>-12,41</t>
  </si>
  <si>
    <t>-12,01</t>
  </si>
  <si>
    <t>-16,13</t>
  </si>
  <si>
    <t>-14,54</t>
  </si>
  <si>
    <t>-13,25</t>
  </si>
  <si>
    <t>-14,75</t>
  </si>
  <si>
    <t>-13,74</t>
  </si>
  <si>
    <t>-12,55</t>
  </si>
  <si>
    <t>-12,5</t>
  </si>
  <si>
    <t>-13,21</t>
  </si>
  <si>
    <t>-16,82</t>
  </si>
  <si>
    <t>-13,38</t>
  </si>
  <si>
    <t>-13,85</t>
  </si>
  <si>
    <t>-12,71</t>
  </si>
  <si>
    <t>-13,02</t>
  </si>
  <si>
    <t>-14,08</t>
  </si>
  <si>
    <t>-13,54</t>
  </si>
  <si>
    <t>-16,77</t>
  </si>
  <si>
    <t>-15,09</t>
  </si>
  <si>
    <t>-12,9</t>
  </si>
  <si>
    <t>-13,63</t>
  </si>
  <si>
    <t>-14,74</t>
  </si>
  <si>
    <t>-13,75</t>
  </si>
  <si>
    <t>-16,6</t>
  </si>
  <si>
    <t>-15,44</t>
  </si>
  <si>
    <t>-14,24</t>
  </si>
  <si>
    <t>-15,13</t>
  </si>
  <si>
    <t>-14,22</t>
  </si>
  <si>
    <t>-13,99</t>
  </si>
  <si>
    <t>-15,43</t>
  </si>
  <si>
    <t>-16,53</t>
  </si>
  <si>
    <t>-15,73</t>
  </si>
  <si>
    <t>-14,4</t>
  </si>
  <si>
    <t>-13,24</t>
  </si>
  <si>
    <t>-15,62</t>
  </si>
  <si>
    <t>-16,52</t>
  </si>
  <si>
    <t>-14,23</t>
  </si>
  <si>
    <t>-15,96</t>
  </si>
  <si>
    <t>-16,26</t>
  </si>
  <si>
    <t>-14,53</t>
  </si>
  <si>
    <t>-13,44</t>
  </si>
  <si>
    <t>-16,51</t>
  </si>
  <si>
    <t>-16,73</t>
  </si>
  <si>
    <t>-14,8</t>
  </si>
  <si>
    <t>-15,04</t>
  </si>
  <si>
    <t>-16,89</t>
  </si>
  <si>
    <t>-13,95</t>
  </si>
  <si>
    <t>-16,11</t>
  </si>
  <si>
    <t>-17,32</t>
  </si>
  <si>
    <t>-15,27</t>
  </si>
  <si>
    <t>-16,68</t>
  </si>
  <si>
    <t>-15,58</t>
  </si>
  <si>
    <t>-17,44</t>
  </si>
  <si>
    <t>-14,42</t>
  </si>
  <si>
    <t>-16,66</t>
  </si>
  <si>
    <t>-17,9</t>
  </si>
  <si>
    <t>-16,08</t>
  </si>
  <si>
    <t>-16,05</t>
  </si>
  <si>
    <t>-17,75</t>
  </si>
  <si>
    <t>-17,24</t>
  </si>
  <si>
    <t>-18,39</t>
  </si>
  <si>
    <t>-17,2</t>
  </si>
  <si>
    <t>-15,95</t>
  </si>
  <si>
    <t>-18,19</t>
  </si>
  <si>
    <t>-18,76</t>
  </si>
  <si>
    <t>-16,28</t>
  </si>
  <si>
    <t>-17,92</t>
  </si>
  <si>
    <t>-17,43</t>
  </si>
  <si>
    <t>-16,36</t>
  </si>
  <si>
    <t>-18,89</t>
  </si>
  <si>
    <t>-16,93</t>
  </si>
  <si>
    <t>-16,54</t>
  </si>
  <si>
    <t>-18,62</t>
  </si>
  <si>
    <t>-19,25</t>
  </si>
  <si>
    <t>-15,67</t>
  </si>
  <si>
    <t>-16,74</t>
  </si>
  <si>
    <t>-17,7</t>
  </si>
  <si>
    <t>-17,03</t>
  </si>
  <si>
    <t>-19,43</t>
  </si>
  <si>
    <t>-19,3</t>
  </si>
  <si>
    <t>-19,71</t>
  </si>
  <si>
    <t>-17,13</t>
  </si>
  <si>
    <t>-17,87</t>
  </si>
  <si>
    <t>-17,78</t>
  </si>
  <si>
    <t>-17,51</t>
  </si>
  <si>
    <t>-20,06</t>
  </si>
  <si>
    <t>-20,23</t>
  </si>
  <si>
    <t>-18,09</t>
  </si>
  <si>
    <t>-18,2</t>
  </si>
  <si>
    <t>-17,82</t>
  </si>
  <si>
    <t>-20,48</t>
  </si>
  <si>
    <t>-20,83</t>
  </si>
  <si>
    <t>-20,78</t>
  </si>
  <si>
    <t>-16,58</t>
  </si>
  <si>
    <t>-18,41</t>
  </si>
  <si>
    <t>-18,61</t>
  </si>
  <si>
    <t>-17,96</t>
  </si>
  <si>
    <t>-20,82</t>
  </si>
  <si>
    <t>-18,16</t>
  </si>
  <si>
    <t>-16,84</t>
  </si>
  <si>
    <t>-21,53</t>
  </si>
  <si>
    <t>-18,69</t>
  </si>
  <si>
    <t>-21,22</t>
  </si>
  <si>
    <t>-21,09</t>
  </si>
  <si>
    <t>-19,02</t>
  </si>
  <si>
    <t>-18,46</t>
  </si>
  <si>
    <t>-22,08</t>
  </si>
  <si>
    <t>-21,57</t>
  </si>
  <si>
    <t>-18,48</t>
  </si>
  <si>
    <t>-19,14</t>
  </si>
  <si>
    <t>-21,64</t>
  </si>
  <si>
    <t>-18,82</t>
  </si>
  <si>
    <t>-22,65</t>
  </si>
  <si>
    <t>-21,99</t>
  </si>
  <si>
    <t>-17,53</t>
  </si>
  <si>
    <t>-18,75</t>
  </si>
  <si>
    <t>-19,58</t>
  </si>
  <si>
    <t>-19,81</t>
  </si>
  <si>
    <t>-19,08</t>
  </si>
  <si>
    <t>-22,15</t>
  </si>
  <si>
    <t>-23,18</t>
  </si>
  <si>
    <t>-22,38</t>
  </si>
  <si>
    <t>-17,8</t>
  </si>
  <si>
    <t>-19,01</t>
  </si>
  <si>
    <t>-19,82</t>
  </si>
  <si>
    <t>-20,2</t>
  </si>
  <si>
    <t>-19,27</t>
  </si>
  <si>
    <t>-22,53</t>
  </si>
  <si>
    <t>-23,68</t>
  </si>
  <si>
    <t>-18,06</t>
  </si>
  <si>
    <t>-19,94</t>
  </si>
  <si>
    <t>-22,83</t>
  </si>
  <si>
    <t>-20,56</t>
  </si>
  <si>
    <t>-23,13</t>
  </si>
  <si>
    <t>-18,28</t>
  </si>
  <si>
    <t>-24,2</t>
  </si>
  <si>
    <t>-20,02</t>
  </si>
  <si>
    <t>-23,14</t>
  </si>
  <si>
    <t>-19,56</t>
  </si>
  <si>
    <t>-23,75</t>
  </si>
  <si>
    <t>-20,95</t>
  </si>
  <si>
    <t>-19,54</t>
  </si>
  <si>
    <t>-24,65</t>
  </si>
  <si>
    <t>-23,45</t>
  </si>
  <si>
    <t>-19,74</t>
  </si>
  <si>
    <t>-20,08</t>
  </si>
  <si>
    <t>-24,13</t>
  </si>
  <si>
    <t>-21,2</t>
  </si>
  <si>
    <t>-24,94</t>
  </si>
  <si>
    <t>-23,71</t>
  </si>
  <si>
    <t>-18,6</t>
  </si>
  <si>
    <t>-20,07</t>
  </si>
  <si>
    <t>-24,52</t>
  </si>
  <si>
    <t>-21,39</t>
  </si>
  <si>
    <t>-19,62</t>
  </si>
  <si>
    <t>-25,09</t>
  </si>
  <si>
    <t>-23,83</t>
  </si>
  <si>
    <t>-19,69</t>
  </si>
  <si>
    <t>-24,68</t>
  </si>
  <si>
    <t>-25,07</t>
  </si>
  <si>
    <t>-18,92</t>
  </si>
  <si>
    <t>-23,8</t>
  </si>
  <si>
    <t>-21,73</t>
  </si>
  <si>
    <t>-19,96</t>
  </si>
  <si>
    <t>-24,71</t>
  </si>
  <si>
    <t>-19,78</t>
  </si>
  <si>
    <t>-24,89</t>
  </si>
  <si>
    <t>-24,27</t>
  </si>
  <si>
    <t>-21,83</t>
  </si>
  <si>
    <t>-24,61</t>
  </si>
  <si>
    <t>-23,5</t>
  </si>
  <si>
    <t>-19,04</t>
  </si>
  <si>
    <t>-19,29</t>
  </si>
  <si>
    <t>-23,86</t>
  </si>
  <si>
    <t>-21,89</t>
  </si>
  <si>
    <t>-24,21</t>
  </si>
  <si>
    <t>-19,55</t>
  </si>
  <si>
    <t>-19,48</t>
  </si>
  <si>
    <t>-18,84</t>
  </si>
  <si>
    <t>-23,21</t>
  </si>
  <si>
    <t>-23,56</t>
  </si>
  <si>
    <t>-21,88</t>
  </si>
  <si>
    <t>-19,23</t>
  </si>
  <si>
    <t>-19,11</t>
  </si>
  <si>
    <t>-18,49</t>
  </si>
  <si>
    <t>-22,93</t>
  </si>
  <si>
    <t>-21,81</t>
  </si>
  <si>
    <t>-23,02</t>
  </si>
  <si>
    <t>-23,16</t>
  </si>
  <si>
    <t>-18,99</t>
  </si>
  <si>
    <t>-18,94</t>
  </si>
  <si>
    <t>-18,72</t>
  </si>
  <si>
    <t>-22,54</t>
  </si>
  <si>
    <t>-21,66</t>
  </si>
  <si>
    <t>-18,04</t>
  </si>
  <si>
    <t>-22,42</t>
  </si>
  <si>
    <t>-18,77</t>
  </si>
  <si>
    <t>-22,46</t>
  </si>
  <si>
    <t>-22,06</t>
  </si>
  <si>
    <t>-18,29</t>
  </si>
  <si>
    <t>-21,46</t>
  </si>
  <si>
    <t>-17,64</t>
  </si>
  <si>
    <t>-21,63</t>
  </si>
  <si>
    <t>-18,36</t>
  </si>
  <si>
    <t>-18,54</t>
  </si>
  <si>
    <t>-21,52</t>
  </si>
  <si>
    <t>-21,15</t>
  </si>
  <si>
    <t>-21,19</t>
  </si>
  <si>
    <t>-17,19</t>
  </si>
  <si>
    <t>-20,76</t>
  </si>
  <si>
    <t>-18,25</t>
  </si>
  <si>
    <t>-17,33</t>
  </si>
  <si>
    <t>-20,93</t>
  </si>
  <si>
    <t>-20,37</t>
  </si>
  <si>
    <t>-16,72</t>
  </si>
  <si>
    <t>-19,84</t>
  </si>
  <si>
    <t>-17,89</t>
  </si>
  <si>
    <t>-16,78</t>
  </si>
  <si>
    <t>-20,31</t>
  </si>
  <si>
    <t>-19,44</t>
  </si>
  <si>
    <t>-20,44</t>
  </si>
  <si>
    <t>-16,24</t>
  </si>
  <si>
    <t>-17,23</t>
  </si>
  <si>
    <t>-17,5</t>
  </si>
  <si>
    <t>-16,23</t>
  </si>
  <si>
    <t>-19,68</t>
  </si>
  <si>
    <t>-19,85</t>
  </si>
  <si>
    <t>-16,81</t>
  </si>
  <si>
    <t>-17,06</t>
  </si>
  <si>
    <t>-18,08</t>
  </si>
  <si>
    <t>-15,68</t>
  </si>
  <si>
    <t>-17,47</t>
  </si>
  <si>
    <t>-19,35</t>
  </si>
  <si>
    <t>-15,26</t>
  </si>
  <si>
    <t>-17,28</t>
  </si>
  <si>
    <t>-16,35</t>
  </si>
  <si>
    <t>-15,15</t>
  </si>
  <si>
    <t>-18,51</t>
  </si>
  <si>
    <t>-16,59</t>
  </si>
  <si>
    <t>-14,76</t>
  </si>
  <si>
    <t>-15,9</t>
  </si>
  <si>
    <t>-17,97</t>
  </si>
  <si>
    <t>-15,77</t>
  </si>
  <si>
    <t>-14,29</t>
  </si>
  <si>
    <t>-18,34</t>
  </si>
  <si>
    <t>-15,85</t>
  </si>
  <si>
    <t>-15,74</t>
  </si>
  <si>
    <t>-17,45</t>
  </si>
  <si>
    <t>-13,87</t>
  </si>
  <si>
    <t>-17,85</t>
  </si>
  <si>
    <t>-15,32</t>
  </si>
  <si>
    <t>-13,71</t>
  </si>
  <si>
    <t>-16,94</t>
  </si>
  <si>
    <t>-17,34</t>
  </si>
  <si>
    <t>-14,49</t>
  </si>
  <si>
    <t>-13,15</t>
  </si>
  <si>
    <t>-16,39</t>
  </si>
  <si>
    <t>-12,78</t>
  </si>
  <si>
    <t>-13,83</t>
  </si>
  <si>
    <t>-15,87</t>
  </si>
  <si>
    <t>-12,42</t>
  </si>
  <si>
    <t>-12,15</t>
  </si>
  <si>
    <t>-16,32</t>
  </si>
  <si>
    <t>-14,02</t>
  </si>
  <si>
    <t>-15,38</t>
  </si>
  <si>
    <t>-13,09</t>
  </si>
  <si>
    <t>-12,76</t>
  </si>
  <si>
    <t>-11,77</t>
  </si>
  <si>
    <t>-11,37</t>
  </si>
  <si>
    <t>-11,08</t>
  </si>
  <si>
    <t>PSF-00455_20230907103340</t>
  </si>
  <si>
    <t>PSF-00455_20230907103351</t>
  </si>
  <si>
    <t>PSF-00455_20230907103430</t>
  </si>
  <si>
    <t>PSF-00455_20230907103537</t>
  </si>
  <si>
    <t>PSF-00455_20230907103550</t>
  </si>
  <si>
    <t>PSF-00455_20230907104024</t>
  </si>
  <si>
    <t>PSF-00455_20230907104033</t>
  </si>
  <si>
    <t>PSF-00455_20230907104046</t>
  </si>
  <si>
    <t>PSF-00455_20230907104055</t>
  </si>
  <si>
    <t>PSF-00455_20230907104802</t>
  </si>
  <si>
    <t>PSF-00455_20230907104820</t>
  </si>
  <si>
    <t>PSF-00455_20230907104834</t>
  </si>
  <si>
    <t>PSF-00455_20230907104847</t>
  </si>
  <si>
    <t>PSF-00455_20230907104907</t>
  </si>
  <si>
    <t>PSF-00455_20230907105358</t>
  </si>
  <si>
    <t>PSF-00455_20230907105411</t>
  </si>
  <si>
    <t>PSF-00455_20230907105436</t>
  </si>
  <si>
    <t>PSF-00455_20230907105506</t>
  </si>
  <si>
    <t>PSF-00455_20230907110201</t>
  </si>
  <si>
    <t>PSF-00455_20230907110212</t>
  </si>
  <si>
    <t>PSF-00455_20230907110227</t>
  </si>
  <si>
    <t>PSF-00455_20230907110241</t>
  </si>
  <si>
    <t>PSF-00455_20230907110715</t>
  </si>
  <si>
    <t>PSF-00455_20230907110724</t>
  </si>
  <si>
    <t>PSF-00455_20230907110736</t>
  </si>
  <si>
    <t>PSF-00455_20230907110750</t>
  </si>
  <si>
    <t>PSF-00455_20230907111720</t>
  </si>
  <si>
    <t>PSF-00455_20230907111754</t>
  </si>
  <si>
    <t>PSF-00455_20230907111809</t>
  </si>
  <si>
    <t>PSF-00455_20230907111827</t>
  </si>
  <si>
    <t>PSF-00455_20230907112653</t>
  </si>
  <si>
    <t>PSF-00455_20230907112703</t>
  </si>
  <si>
    <t>PSF-00455_20230907112716</t>
  </si>
  <si>
    <t>PSF-00455_20230907112739</t>
  </si>
  <si>
    <t>PSF-00455_20230907112754</t>
  </si>
  <si>
    <t>PSF-00455_20230907113349</t>
  </si>
  <si>
    <t>PSF-00455_20230907113358</t>
  </si>
  <si>
    <t>PSF-00455_20230907113413</t>
  </si>
  <si>
    <t>PSF-00455_20230907113424</t>
  </si>
  <si>
    <t>PSF-00455_20230907130703</t>
  </si>
  <si>
    <t>PSF-00455_20230907130713</t>
  </si>
  <si>
    <t>PSF-00455_20230907130729</t>
  </si>
  <si>
    <t>PSF-00455_20230907130749</t>
  </si>
  <si>
    <t>PSF-00455_20230907131209</t>
  </si>
  <si>
    <t>PSF-00455_20230907131223</t>
  </si>
  <si>
    <t>PSF-00455_20230907131236</t>
  </si>
  <si>
    <t>PSF-00455_20230907131257</t>
  </si>
  <si>
    <t>PSF-00455_20230907131948</t>
  </si>
  <si>
    <t>PSF-00455_20230907132001</t>
  </si>
  <si>
    <t>PSF-00455_20230907132026</t>
  </si>
  <si>
    <t>PSF-00455_20230907132036</t>
  </si>
  <si>
    <t>PSF-00455_20230907132046</t>
  </si>
  <si>
    <t>PSF-00455_20230907132057</t>
  </si>
  <si>
    <t>PSF-00455_20230907132459</t>
  </si>
  <si>
    <t>PSF-00455_20230907132511</t>
  </si>
  <si>
    <t>PSF-00455_20230907132530</t>
  </si>
  <si>
    <t>PSF-00455_20230907132546</t>
  </si>
  <si>
    <t>PSF-00455_20230907132555</t>
  </si>
  <si>
    <t>PSF-00455_20230907132602</t>
  </si>
  <si>
    <t>PSF-00455_20230907133003</t>
  </si>
  <si>
    <t>PSF-00455_20230907133014</t>
  </si>
  <si>
    <t>PSF-00455_20230907133027</t>
  </si>
  <si>
    <t>PSF-00455_20230907133037</t>
  </si>
  <si>
    <t>PSF-00455_20230907133402</t>
  </si>
  <si>
    <t>PSF-00455_20230907133409</t>
  </si>
  <si>
    <t>PSF-00455_20230907133427</t>
  </si>
  <si>
    <t>PSF-00455_20230907133437</t>
  </si>
  <si>
    <t>PSF-00455_20230907133451</t>
  </si>
  <si>
    <t>PSF-00455_20230907133501</t>
  </si>
  <si>
    <t>PSF-00455_20230907134048</t>
  </si>
  <si>
    <t>PSF-00455_20230907134104</t>
  </si>
  <si>
    <t>PSF-00455_20230907134115</t>
  </si>
  <si>
    <t>PSF-00455_20230907134127</t>
  </si>
  <si>
    <t>PSF-00455_20230907134649</t>
  </si>
  <si>
    <t>PSF-00455_20230907134700</t>
  </si>
  <si>
    <t>PSF-00455_20230907134715</t>
  </si>
  <si>
    <t>PSF-00455_20230907134727</t>
  </si>
  <si>
    <t>PSF-00455_20230907135803</t>
  </si>
  <si>
    <t>PSF-00455_20230907135815</t>
  </si>
  <si>
    <t>PSF-00455_20230907135826</t>
  </si>
  <si>
    <t>PSF-00455_20230907135842</t>
  </si>
  <si>
    <t>PSF-00455_20230907154747</t>
  </si>
  <si>
    <t>PSF-00455_20230907154759</t>
  </si>
  <si>
    <t>PSF-00455_20230907154813</t>
  </si>
  <si>
    <t>PSF-00455_20230907154829</t>
  </si>
  <si>
    <t>PSF-00455_20230907155152</t>
  </si>
  <si>
    <t>PSF-00455_20230907155201</t>
  </si>
  <si>
    <t>PSF-00455_20230907155215</t>
  </si>
  <si>
    <t>PSF-00455_20230907155225</t>
  </si>
  <si>
    <t>PSF-00455_20230907155835</t>
  </si>
  <si>
    <t>PSF-00455_20230907155844</t>
  </si>
  <si>
    <t>PSF-00455_20230907155855</t>
  </si>
  <si>
    <t>PSF-00455_20230907155903</t>
  </si>
  <si>
    <t>PSF-00455_20230907155911</t>
  </si>
  <si>
    <t>PSF-00455_20230907155921</t>
  </si>
  <si>
    <t>PSF-00455_20230907160218</t>
  </si>
  <si>
    <t>PSF-00455_20230907160232</t>
  </si>
  <si>
    <t>PSF-00455_20230907160240</t>
  </si>
  <si>
    <t>PSF-00455_20230907160253</t>
  </si>
  <si>
    <t>PSF-00455_20230907160639</t>
  </si>
  <si>
    <t>PSF-00455_20230907160652</t>
  </si>
  <si>
    <t>PSF-00455_20230907160706</t>
  </si>
  <si>
    <t>PSF-00455_20230907160715</t>
  </si>
  <si>
    <t>PSF-00455_20230907160724</t>
  </si>
  <si>
    <t>PSF-00455_20230907161121</t>
  </si>
  <si>
    <t>PSF-00455_20230907161130</t>
  </si>
  <si>
    <t>PSF-00455_20230907161139</t>
  </si>
  <si>
    <t>PSF-00455_20230907161151</t>
  </si>
  <si>
    <t>PSF-00455_20230907161914</t>
  </si>
  <si>
    <t>PSF-00455_20230907161922</t>
  </si>
  <si>
    <t>PSF-00455_20230907161940</t>
  </si>
  <si>
    <t>PSF-00455_20230907161952</t>
  </si>
  <si>
    <t>PSF-00455_20230907162249</t>
  </si>
  <si>
    <t>PSF-00455_20230907162259</t>
  </si>
  <si>
    <t>PSF-00455_20230907162307</t>
  </si>
  <si>
    <t>PSF-00455_20230907162317</t>
  </si>
  <si>
    <t>PSF-00455_20230907163659</t>
  </si>
  <si>
    <t>PSF-00455_20230907163710</t>
  </si>
  <si>
    <t>PSF-00455_20230907163721</t>
  </si>
  <si>
    <t>PSF-00455_20230907163732</t>
  </si>
  <si>
    <t>PSF-00455_20230907163745</t>
  </si>
  <si>
    <t>PSF-00455_20230907181132</t>
  </si>
  <si>
    <t>PSF-00455_20230907181145</t>
  </si>
  <si>
    <t>PSF-00455_20230907181154</t>
  </si>
  <si>
    <t>PSF-00455_20230907181203</t>
  </si>
  <si>
    <t>PSF-00455_20230907181851</t>
  </si>
  <si>
    <t>PSF-00455_20230907181900</t>
  </si>
  <si>
    <t>PSF-00455_20230907181914</t>
  </si>
  <si>
    <t>PSF-00455_20230907181925</t>
  </si>
  <si>
    <t>PSF-00455_20230907182228</t>
  </si>
  <si>
    <t>PSF-00455_20230907182239</t>
  </si>
  <si>
    <t>PSF-00455_20230907182250</t>
  </si>
  <si>
    <t>PSF-00455_20230907182300</t>
  </si>
  <si>
    <t>PSF-00455_20230907182317</t>
  </si>
  <si>
    <t>PSF-00455_20230907183031</t>
  </si>
  <si>
    <t>PSF-00455_20230907183042</t>
  </si>
  <si>
    <t>PSF-00455_20230907183052</t>
  </si>
  <si>
    <t>PSF-00455_20230907183102</t>
  </si>
  <si>
    <t>PSF-00455_20230907183312</t>
  </si>
  <si>
    <t>PSF-00455_20230907183323</t>
  </si>
  <si>
    <t>PSF-00455_20230907183340</t>
  </si>
  <si>
    <t>PSF-00455_20230907183348</t>
  </si>
  <si>
    <t>PSF-00455_20230907184039</t>
  </si>
  <si>
    <t>PSF-00455_20230907184049</t>
  </si>
  <si>
    <t>PSF-00455_20230907184057</t>
  </si>
  <si>
    <t>PSF-00455_20230907184105</t>
  </si>
  <si>
    <t>PSF-00455_20230907184259</t>
  </si>
  <si>
    <t>PSF-00455_20230907184310</t>
  </si>
  <si>
    <t>PSF-00455_20230907184319</t>
  </si>
  <si>
    <t>PSF-00455_20230907184328</t>
  </si>
  <si>
    <t>PSF-00455_20230907184341</t>
  </si>
  <si>
    <t>PSF-00455_20230907184957</t>
  </si>
  <si>
    <t>PSF-00455_20230907185005</t>
  </si>
  <si>
    <t>PSF-00455_20230907185017</t>
  </si>
  <si>
    <t>PSF-00455_20230907185024</t>
  </si>
  <si>
    <t>PSF-00455_20230907185341</t>
  </si>
  <si>
    <t>PSF-00455_20230907185350</t>
  </si>
  <si>
    <t>PSF-00455_20230907185358</t>
  </si>
  <si>
    <t>PSF-00455_20230907185406</t>
  </si>
  <si>
    <t>PSF-00455_20230907185416</t>
  </si>
  <si>
    <t>Estan las hojas mojadas y no medimos en la primera vuelta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</si>
</sst>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0.0000"/>
    <numFmt numFmtId="166" formatCode="0.0"/>
    <numFmt numFmtId="167" formatCode="0.000"/>
    <numFmt numFmtId="168" formatCode="0.00000"/>
  </numFmts>
  <fonts count="10">
    <font>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b/>
      <sz val="12"/>
      <color theme="1"/>
      <name val="Calibri"/>
      <family val="2"/>
      <scheme val="minor"/>
    </font>
    <font>
      <sz val="11"/>
      <color theme="1"/>
      <name val="Calibri"/>
      <family val="2"/>
    </font>
    <font>
      <sz val="11"/>
      <name val="Calibri"/>
      <family val="2"/>
      <scheme val="minor"/>
    </font>
    <font>
      <sz val="11"/>
      <name val="Calibri"/>
      <family val="2"/>
    </font>
    <font>
      <b/>
      <sz val="12"/>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14" fontId="0" fillId="0" borderId="0" xfId="0" applyNumberFormat="1"/>
    <xf numFmtId="20" fontId="0" fillId="0" borderId="0" xfId="0" applyNumberFormat="1"/>
    <xf numFmtId="21" fontId="0" fillId="0" borderId="0" xfId="0" applyNumberFormat="1"/>
    <xf numFmtId="0" fontId="0" fillId="2" borderId="0" xfId="0" applyFill="1"/>
    <xf numFmtId="2"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22" fontId="0" fillId="0" borderId="0" xfId="0" applyNumberFormat="1"/>
    <xf numFmtId="168" fontId="0" fillId="0" borderId="0" xfId="0" applyNumberFormat="1"/>
    <xf numFmtId="2" fontId="0" fillId="0" borderId="0" xfId="0" applyNumberFormat="1" applyAlignment="1">
      <alignment horizontal="right"/>
    </xf>
    <xf numFmtId="14" fontId="0" fillId="2" borderId="0" xfId="0" applyNumberFormat="1" applyFill="1"/>
    <xf numFmtId="0" fontId="5" fillId="0" borderId="0" xfId="0" applyFont="1" applyAlignment="1">
      <alignment horizontal="center"/>
    </xf>
    <xf numFmtId="14" fontId="0" fillId="0" borderId="0" xfId="0" applyNumberFormat="1" applyAlignment="1">
      <alignment horizontal="center"/>
    </xf>
    <xf numFmtId="0" fontId="0" fillId="0" borderId="0" xfId="0" applyAlignment="1">
      <alignment horizontal="center"/>
    </xf>
    <xf numFmtId="1" fontId="0" fillId="0" borderId="0" xfId="0" applyNumberFormat="1"/>
    <xf numFmtId="14" fontId="7" fillId="0" borderId="0" xfId="0" applyNumberFormat="1" applyFont="1" applyAlignment="1">
      <alignment horizontal="center"/>
    </xf>
    <xf numFmtId="0" fontId="7" fillId="0" borderId="0" xfId="0" applyFont="1" applyAlignment="1">
      <alignment horizontal="center"/>
    </xf>
    <xf numFmtId="165" fontId="7" fillId="0" borderId="0" xfId="0" applyNumberFormat="1" applyFont="1"/>
    <xf numFmtId="2" fontId="5" fillId="0" borderId="0" xfId="0" applyNumberFormat="1" applyFont="1" applyAlignment="1">
      <alignment horizontal="center"/>
    </xf>
    <xf numFmtId="166" fontId="9" fillId="0" borderId="0" xfId="0" applyNumberFormat="1" applyFont="1" applyAlignment="1">
      <alignment horizontal="center"/>
    </xf>
    <xf numFmtId="0" fontId="9"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97081396067395"/>
          <c:y val="0.11868699150174315"/>
          <c:w val="0.83747367916201276"/>
          <c:h val="0.6849330565221462"/>
        </c:manualLayout>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('Muestreo raíces'!$K$67:$K$69,'Muestreo raíces'!$K$75:$K$77)</c:f>
                <c:numCache>
                  <c:formatCode>0.0000</c:formatCode>
                  <c:ptCount val="6"/>
                  <c:pt idx="0">
                    <c:v>0.50990422608346553</c:v>
                  </c:pt>
                  <c:pt idx="1">
                    <c:v>0.16827918749638782</c:v>
                  </c:pt>
                  <c:pt idx="2">
                    <c:v>8.3316007532233033E-2</c:v>
                  </c:pt>
                  <c:pt idx="3">
                    <c:v>1.8626088335092442E-2</c:v>
                  </c:pt>
                  <c:pt idx="4">
                    <c:v>6.2627320981607809E-2</c:v>
                  </c:pt>
                  <c:pt idx="5">
                    <c:v>4.7454129898718434E-3</c:v>
                  </c:pt>
                </c:numCache>
              </c:numRef>
            </c:plus>
            <c:minus>
              <c:numRef>
                <c:f>('Muestreo raíces'!$K$67:$K$69,'Muestreo raíces'!$K$75:$K$77)</c:f>
                <c:numCache>
                  <c:formatCode>0.0000</c:formatCode>
                  <c:ptCount val="6"/>
                  <c:pt idx="0">
                    <c:v>0.50990422608346553</c:v>
                  </c:pt>
                  <c:pt idx="1">
                    <c:v>0.16827918749638782</c:v>
                  </c:pt>
                  <c:pt idx="2">
                    <c:v>8.3316007532233033E-2</c:v>
                  </c:pt>
                  <c:pt idx="3">
                    <c:v>1.8626088335092442E-2</c:v>
                  </c:pt>
                  <c:pt idx="4">
                    <c:v>6.2627320981607809E-2</c:v>
                  </c:pt>
                  <c:pt idx="5">
                    <c:v>4.7454129898718434E-3</c:v>
                  </c:pt>
                </c:numCache>
              </c:numRef>
            </c:minus>
            <c:spPr>
              <a:noFill/>
              <a:ln w="9525" cap="flat" cmpd="sng" algn="ctr">
                <a:solidFill>
                  <a:schemeClr val="tx1">
                    <a:lumMod val="65000"/>
                    <a:lumOff val="35000"/>
                  </a:schemeClr>
                </a:solidFill>
                <a:round/>
              </a:ln>
              <a:effectLst/>
            </c:spPr>
          </c:errBars>
          <c:cat>
            <c:multiLvlStrRef>
              <c:f>('Muestreo raíces'!$D$63:$E$65,'Muestreo raíces'!$D$71:$E$73)</c:f>
              <c:multiLvlStrCache>
                <c:ptCount val="6"/>
                <c:lvl>
                  <c:pt idx="0">
                    <c:v>0-20</c:v>
                  </c:pt>
                  <c:pt idx="1">
                    <c:v>20-40</c:v>
                  </c:pt>
                  <c:pt idx="2">
                    <c:v>&gt;40</c:v>
                  </c:pt>
                  <c:pt idx="3">
                    <c:v>0-20</c:v>
                  </c:pt>
                  <c:pt idx="4">
                    <c:v>20-40</c:v>
                  </c:pt>
                  <c:pt idx="5">
                    <c:v>&gt;40</c:v>
                  </c:pt>
                </c:lvl>
                <c:lvl>
                  <c:pt idx="0">
                    <c:v>Centro</c:v>
                  </c:pt>
                  <c:pt idx="1">
                    <c:v>Centro</c:v>
                  </c:pt>
                  <c:pt idx="2">
                    <c:v>Centro</c:v>
                  </c:pt>
                  <c:pt idx="3">
                    <c:v>Exterior</c:v>
                  </c:pt>
                  <c:pt idx="4">
                    <c:v>Exterior</c:v>
                  </c:pt>
                  <c:pt idx="5">
                    <c:v>Exterior</c:v>
                  </c:pt>
                </c:lvl>
              </c:multiLvlStrCache>
            </c:multiLvlStrRef>
          </c:cat>
          <c:val>
            <c:numRef>
              <c:f>('Muestreo raíces'!$K$63:$K$65,'Muestreo raíces'!$K$71:$K$73)</c:f>
              <c:numCache>
                <c:formatCode>0.0000</c:formatCode>
                <c:ptCount val="6"/>
                <c:pt idx="0">
                  <c:v>0.8579333333333331</c:v>
                </c:pt>
                <c:pt idx="1">
                  <c:v>0.45131666666666664</c:v>
                </c:pt>
                <c:pt idx="2">
                  <c:v>0.20226666666666668</c:v>
                </c:pt>
                <c:pt idx="3">
                  <c:v>8.9150000000000007E-2</c:v>
                </c:pt>
                <c:pt idx="4">
                  <c:v>0.1144</c:v>
                </c:pt>
                <c:pt idx="5">
                  <c:v>1.7583333333333336E-2</c:v>
                </c:pt>
              </c:numCache>
            </c:numRef>
          </c:val>
          <c:extLst>
            <c:ext xmlns:c16="http://schemas.microsoft.com/office/drawing/2014/chart" uri="{C3380CC4-5D6E-409C-BE32-E72D297353CC}">
              <c16:uniqueId val="{00000000-4BF7-4C34-BC77-BAFE4EF85434}"/>
            </c:ext>
          </c:extLst>
        </c:ser>
        <c:dLbls>
          <c:showLegendKey val="0"/>
          <c:showVal val="0"/>
          <c:showCatName val="0"/>
          <c:showSerName val="0"/>
          <c:showPercent val="0"/>
          <c:showBubbleSize val="0"/>
        </c:dLbls>
        <c:gapWidth val="219"/>
        <c:overlap val="-27"/>
        <c:axId val="256340928"/>
        <c:axId val="256348000"/>
      </c:barChart>
      <c:catAx>
        <c:axId val="25634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crossAx val="256348000"/>
        <c:crosses val="autoZero"/>
        <c:auto val="1"/>
        <c:lblAlgn val="ctr"/>
        <c:lblOffset val="100"/>
        <c:noMultiLvlLbl val="0"/>
      </c:catAx>
      <c:valAx>
        <c:axId val="25634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gps de raíz en 30 cc de suelo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5634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Tubería superficie (g ps</a:t>
            </a:r>
            <a:r>
              <a:rPr lang="es-ES" baseline="0"/>
              <a:t> raíz por volumen de suelo)</a:t>
            </a:r>
            <a:endParaRPr lang="es-ES"/>
          </a:p>
        </c:rich>
      </c:tx>
      <c:layout>
        <c:manualLayout>
          <c:xMode val="edge"/>
          <c:yMode val="edge"/>
          <c:x val="0.217075907027867"/>
          <c:y val="2.2191397600824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1088648293963255"/>
          <c:y val="0.11868699150174315"/>
          <c:w val="0.8585579615048119"/>
          <c:h val="0.73375302838314704"/>
        </c:manualLayout>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('Muestreo raíces'!$K$79:$K$81,'Muestreo raíces'!$K$87:$K$89)</c:f>
                <c:numCache>
                  <c:formatCode>0.0000</c:formatCode>
                  <c:ptCount val="6"/>
                  <c:pt idx="0">
                    <c:v>2.5675000000000003E-2</c:v>
                  </c:pt>
                  <c:pt idx="1">
                    <c:v>6.3174999999999995E-2</c:v>
                  </c:pt>
                  <c:pt idx="2">
                    <c:v>2.6275E-2</c:v>
                  </c:pt>
                  <c:pt idx="3">
                    <c:v>1.7500000000000003E-3</c:v>
                  </c:pt>
                  <c:pt idx="4">
                    <c:v>1.65E-3</c:v>
                  </c:pt>
                  <c:pt idx="5">
                    <c:v>5.0000000000000001E-4</c:v>
                  </c:pt>
                </c:numCache>
              </c:numRef>
            </c:plus>
            <c:minus>
              <c:numRef>
                <c:f>('Muestreo raíces'!$K$79:$K$81,'Muestreo raíces'!$K$87:$K$89)</c:f>
                <c:numCache>
                  <c:formatCode>0.0000</c:formatCode>
                  <c:ptCount val="6"/>
                  <c:pt idx="0">
                    <c:v>2.5675000000000003E-2</c:v>
                  </c:pt>
                  <c:pt idx="1">
                    <c:v>6.3174999999999995E-2</c:v>
                  </c:pt>
                  <c:pt idx="2">
                    <c:v>2.6275E-2</c:v>
                  </c:pt>
                  <c:pt idx="3">
                    <c:v>1.7500000000000003E-3</c:v>
                  </c:pt>
                  <c:pt idx="4">
                    <c:v>1.65E-3</c:v>
                  </c:pt>
                  <c:pt idx="5">
                    <c:v>5.0000000000000001E-4</c:v>
                  </c:pt>
                </c:numCache>
              </c:numRef>
            </c:minus>
            <c:spPr>
              <a:noFill/>
              <a:ln w="9525" cap="flat" cmpd="sng" algn="ctr">
                <a:solidFill>
                  <a:schemeClr val="tx1">
                    <a:lumMod val="65000"/>
                    <a:lumOff val="35000"/>
                  </a:schemeClr>
                </a:solidFill>
                <a:round/>
              </a:ln>
              <a:effectLst/>
            </c:spPr>
          </c:errBars>
          <c:cat>
            <c:multiLvlStrRef>
              <c:f>('Muestreo raíces'!$C$79:$E$81,'Muestreo raíces'!$C$87:$E$89)</c:f>
              <c:multiLvlStrCache>
                <c:ptCount val="6"/>
                <c:lvl>
                  <c:pt idx="0">
                    <c:v>0-20</c:v>
                  </c:pt>
                  <c:pt idx="1">
                    <c:v>20-40</c:v>
                  </c:pt>
                  <c:pt idx="2">
                    <c:v>&gt;40</c:v>
                  </c:pt>
                  <c:pt idx="3">
                    <c:v>0-20</c:v>
                  </c:pt>
                  <c:pt idx="4">
                    <c:v>20-40</c:v>
                  </c:pt>
                  <c:pt idx="5">
                    <c:v>&gt;40</c:v>
                  </c:pt>
                </c:lvl>
                <c:lvl>
                  <c:pt idx="0">
                    <c:v>Centro</c:v>
                  </c:pt>
                  <c:pt idx="1">
                    <c:v>Centro</c:v>
                  </c:pt>
                  <c:pt idx="2">
                    <c:v>Centro</c:v>
                  </c:pt>
                  <c:pt idx="3">
                    <c:v>Exterior</c:v>
                  </c:pt>
                  <c:pt idx="4">
                    <c:v>Exterior</c:v>
                  </c:pt>
                  <c:pt idx="5">
                    <c:v>Exterior</c:v>
                  </c:pt>
                </c:lvl>
                <c:lvl>
                  <c:pt idx="0">
                    <c:v>G. superficie</c:v>
                  </c:pt>
                  <c:pt idx="1">
                    <c:v>G. superficie</c:v>
                  </c:pt>
                  <c:pt idx="2">
                    <c:v>G. superficie</c:v>
                  </c:pt>
                  <c:pt idx="3">
                    <c:v>G. superficie</c:v>
                  </c:pt>
                  <c:pt idx="4">
                    <c:v>G. superficie</c:v>
                  </c:pt>
                  <c:pt idx="5">
                    <c:v>G. superficie</c:v>
                  </c:pt>
                </c:lvl>
              </c:multiLvlStrCache>
            </c:multiLvlStrRef>
          </c:cat>
          <c:val>
            <c:numRef>
              <c:f>('Muestreo raíces'!$K$79:$K$81,'Muestreo raíces'!$K$87:$K$89)</c:f>
              <c:numCache>
                <c:formatCode>0.0000</c:formatCode>
                <c:ptCount val="6"/>
                <c:pt idx="0">
                  <c:v>2.5675000000000003E-2</c:v>
                </c:pt>
                <c:pt idx="1">
                  <c:v>6.3174999999999995E-2</c:v>
                </c:pt>
                <c:pt idx="2">
                  <c:v>2.6275E-2</c:v>
                </c:pt>
                <c:pt idx="3">
                  <c:v>1.7500000000000003E-3</c:v>
                </c:pt>
                <c:pt idx="4">
                  <c:v>1.65E-3</c:v>
                </c:pt>
                <c:pt idx="5">
                  <c:v>5.0000000000000001E-4</c:v>
                </c:pt>
              </c:numCache>
            </c:numRef>
          </c:val>
          <c:extLst>
            <c:ext xmlns:c16="http://schemas.microsoft.com/office/drawing/2014/chart" uri="{C3380CC4-5D6E-409C-BE32-E72D297353CC}">
              <c16:uniqueId val="{00000000-9A6A-43C9-AD5F-873426E5ABA6}"/>
            </c:ext>
          </c:extLst>
        </c:ser>
        <c:dLbls>
          <c:showLegendKey val="0"/>
          <c:showVal val="0"/>
          <c:showCatName val="0"/>
          <c:showSerName val="0"/>
          <c:showPercent val="0"/>
          <c:showBubbleSize val="0"/>
        </c:dLbls>
        <c:gapWidth val="219"/>
        <c:overlap val="-27"/>
        <c:axId val="256340928"/>
        <c:axId val="256348000"/>
      </c:barChart>
      <c:catAx>
        <c:axId val="25634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56348000"/>
        <c:crosses val="autoZero"/>
        <c:auto val="1"/>
        <c:lblAlgn val="ctr"/>
        <c:lblOffset val="100"/>
        <c:noMultiLvlLbl val="0"/>
      </c:catAx>
      <c:valAx>
        <c:axId val="25634800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5634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719650452572956E-2"/>
          <c:y val="2.8638470203396046E-2"/>
          <c:w val="0.94228034954742701"/>
          <c:h val="0.96183267631076885"/>
        </c:manualLayout>
      </c:layout>
      <c:lineChart>
        <c:grouping val="standard"/>
        <c:varyColors val="0"/>
        <c:ser>
          <c:idx val="0"/>
          <c:order val="0"/>
          <c:tx>
            <c:v>Potencial tallo ent</c:v>
          </c:tx>
          <c:spPr>
            <a:ln w="28575" cap="rnd">
              <a:solidFill>
                <a:schemeClr val="accent1"/>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'Evolución 26.07.23'!$AC$57:$AC$61</c:f>
                <c:numCache>
                  <c:formatCode>0.00</c:formatCode>
                  <c:ptCount val="5"/>
                  <c:pt idx="0">
                    <c:v>0.44428092938780311</c:v>
                  </c:pt>
                  <c:pt idx="1">
                    <c:v>0.75652771507292849</c:v>
                  </c:pt>
                  <c:pt idx="2">
                    <c:v>0.88072991614068508</c:v>
                  </c:pt>
                  <c:pt idx="3">
                    <c:v>0.8686386533645859</c:v>
                  </c:pt>
                  <c:pt idx="4">
                    <c:v>1.107082851676513</c:v>
                  </c:pt>
                </c:numCache>
              </c:numRef>
            </c:plus>
            <c:minus>
              <c:numRef>
                <c:f>'Evolución 26.07.23'!$AC$57:$AC$61</c:f>
                <c:numCache>
                  <c:formatCode>0.00</c:formatCode>
                  <c:ptCount val="5"/>
                  <c:pt idx="0">
                    <c:v>0.44428092938780311</c:v>
                  </c:pt>
                  <c:pt idx="1">
                    <c:v>0.75652771507292849</c:v>
                  </c:pt>
                  <c:pt idx="2">
                    <c:v>0.88072991614068508</c:v>
                  </c:pt>
                  <c:pt idx="3">
                    <c:v>0.8686386533645859</c:v>
                  </c:pt>
                  <c:pt idx="4">
                    <c:v>1.107082851676513</c:v>
                  </c:pt>
                </c:numCache>
              </c:numRef>
            </c:minus>
            <c:spPr>
              <a:noFill/>
              <a:ln w="9525" cap="flat" cmpd="sng" algn="ctr">
                <a:solidFill>
                  <a:schemeClr val="tx1">
                    <a:lumMod val="65000"/>
                    <a:lumOff val="35000"/>
                  </a:schemeClr>
                </a:solidFill>
                <a:round/>
              </a:ln>
              <a:effectLst/>
            </c:spPr>
          </c:errBars>
          <c:cat>
            <c:numRef>
              <c:f>'Evolución 26.07.23'!$AB$51:$AB$55</c:f>
              <c:numCache>
                <c:formatCode>[$-F400]h:mm:ss\ AM/PM</c:formatCode>
                <c:ptCount val="5"/>
                <c:pt idx="0">
                  <c:v>0.35466269841269843</c:v>
                </c:pt>
                <c:pt idx="1">
                  <c:v>0.47744708994708995</c:v>
                </c:pt>
                <c:pt idx="2">
                  <c:v>0.56180555555555556</c:v>
                </c:pt>
                <c:pt idx="3">
                  <c:v>0.75078125000000007</c:v>
                </c:pt>
                <c:pt idx="4">
                  <c:v>0.82499999999999996</c:v>
                </c:pt>
              </c:numCache>
            </c:numRef>
          </c:cat>
          <c:val>
            <c:numRef>
              <c:f>'Evolución 26.07.23'!$AC$51:$AC$55</c:f>
              <c:numCache>
                <c:formatCode>0.00</c:formatCode>
                <c:ptCount val="5"/>
                <c:pt idx="0">
                  <c:v>-8.0221428571428568</c:v>
                </c:pt>
                <c:pt idx="1">
                  <c:v>-16.670238095238094</c:v>
                </c:pt>
                <c:pt idx="2">
                  <c:v>-14.683333333333335</c:v>
                </c:pt>
                <c:pt idx="3">
                  <c:v>-17.310416666666669</c:v>
                </c:pt>
                <c:pt idx="4">
                  <c:v>-14.687499999999998</c:v>
                </c:pt>
              </c:numCache>
            </c:numRef>
          </c:val>
          <c:smooth val="0"/>
          <c:extLst>
            <c:ext xmlns:c16="http://schemas.microsoft.com/office/drawing/2014/chart" uri="{C3380CC4-5D6E-409C-BE32-E72D297353CC}">
              <c16:uniqueId val="{00000000-257B-49F2-B5CB-FA5C63116AF8}"/>
            </c:ext>
          </c:extLst>
        </c:ser>
        <c:ser>
          <c:idx val="1"/>
          <c:order val="1"/>
          <c:tx>
            <c:v>Flora Pulse ent</c:v>
          </c:tx>
          <c:spPr>
            <a:ln w="28575"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'Evolución 26.07.23'!$AJ$57:$AJ$61</c:f>
                <c:numCache>
                  <c:formatCode>General</c:formatCode>
                  <c:ptCount val="5"/>
                  <c:pt idx="0">
                    <c:v>0.33404330787728426</c:v>
                  </c:pt>
                  <c:pt idx="1">
                    <c:v>0.61294741064081915</c:v>
                  </c:pt>
                  <c:pt idx="2">
                    <c:v>0.7068035457844094</c:v>
                  </c:pt>
                  <c:pt idx="3">
                    <c:v>0.43943962833232791</c:v>
                  </c:pt>
                  <c:pt idx="4">
                    <c:v>0.50765398977387621</c:v>
                  </c:pt>
                </c:numCache>
              </c:numRef>
            </c:plus>
            <c:minus>
              <c:numRef>
                <c:f>'Evolución 26.07.23'!$AJ$57:$AJ$61</c:f>
                <c:numCache>
                  <c:formatCode>General</c:formatCode>
                  <c:ptCount val="5"/>
                  <c:pt idx="0">
                    <c:v>0.33404330787728426</c:v>
                  </c:pt>
                  <c:pt idx="1">
                    <c:v>0.61294741064081915</c:v>
                  </c:pt>
                  <c:pt idx="2">
                    <c:v>0.7068035457844094</c:v>
                  </c:pt>
                  <c:pt idx="3">
                    <c:v>0.43943962833232791</c:v>
                  </c:pt>
                  <c:pt idx="4">
                    <c:v>0.50765398977387621</c:v>
                  </c:pt>
                </c:numCache>
              </c:numRef>
            </c:minus>
            <c:spPr>
              <a:noFill/>
              <a:ln w="9525" cap="flat" cmpd="sng" algn="ctr">
                <a:solidFill>
                  <a:schemeClr val="tx1">
                    <a:lumMod val="65000"/>
                    <a:lumOff val="35000"/>
                  </a:schemeClr>
                </a:solidFill>
                <a:round/>
              </a:ln>
              <a:effectLst/>
            </c:spPr>
          </c:errBars>
          <c:val>
            <c:numRef>
              <c:f>'Evolución 26.07.23'!$AJ$51:$AJ$55</c:f>
              <c:numCache>
                <c:formatCode>General</c:formatCode>
                <c:ptCount val="5"/>
                <c:pt idx="0">
                  <c:v>-7.9968888888888898</c:v>
                </c:pt>
                <c:pt idx="1">
                  <c:v>-13.000571428571428</c:v>
                </c:pt>
                <c:pt idx="2">
                  <c:v>-13.925675675675679</c:v>
                </c:pt>
                <c:pt idx="3">
                  <c:v>-15.666111111111112</c:v>
                </c:pt>
                <c:pt idx="4">
                  <c:v>-14.383199999999999</c:v>
                </c:pt>
              </c:numCache>
            </c:numRef>
          </c:val>
          <c:smooth val="0"/>
          <c:extLst>
            <c:ext xmlns:c16="http://schemas.microsoft.com/office/drawing/2014/chart" uri="{C3380CC4-5D6E-409C-BE32-E72D297353CC}">
              <c16:uniqueId val="{00000001-257B-49F2-B5CB-FA5C63116AF8}"/>
            </c:ext>
          </c:extLst>
        </c:ser>
        <c:ser>
          <c:idx val="2"/>
          <c:order val="2"/>
          <c:tx>
            <c:v>Potencial tallo sup</c:v>
          </c:tx>
          <c:spPr>
            <a:ln w="28575" cap="rnd">
              <a:solidFill>
                <a:schemeClr val="accent3"/>
              </a:solidFill>
              <a:round/>
            </a:ln>
            <a:effectLst/>
          </c:spPr>
          <c:marker>
            <c:symbol val="circle"/>
            <c:size val="5"/>
            <c:spPr>
              <a:solidFill>
                <a:schemeClr val="accent3"/>
              </a:solidFill>
              <a:ln w="9525">
                <a:solidFill>
                  <a:schemeClr val="accent3"/>
                </a:solidFill>
              </a:ln>
              <a:effectLst/>
            </c:spPr>
          </c:marker>
          <c:errBars>
            <c:errDir val="y"/>
            <c:errBarType val="both"/>
            <c:errValType val="cust"/>
            <c:noEndCap val="0"/>
            <c:plus>
              <c:numRef>
                <c:f>'Evolución 26.07.23'!$AC$68:$AC$71</c:f>
                <c:numCache>
                  <c:formatCode>0.0</c:formatCode>
                  <c:ptCount val="4"/>
                  <c:pt idx="0">
                    <c:v>-0.30430248109405889</c:v>
                  </c:pt>
                  <c:pt idx="1">
                    <c:v>-0.44095855184409843</c:v>
                  </c:pt>
                  <c:pt idx="2">
                    <c:v>-0.37859388972001845</c:v>
                  </c:pt>
                  <c:pt idx="3">
                    <c:v>-0.2962731472438529</c:v>
                  </c:pt>
                </c:numCache>
              </c:numRef>
            </c:plus>
            <c:minus>
              <c:numRef>
                <c:f>'Evolución 26.07.23'!$AC$68:$AC$71</c:f>
                <c:numCache>
                  <c:formatCode>0.0</c:formatCode>
                  <c:ptCount val="4"/>
                  <c:pt idx="0">
                    <c:v>-0.30430248109405889</c:v>
                  </c:pt>
                  <c:pt idx="1">
                    <c:v>-0.44095855184409843</c:v>
                  </c:pt>
                  <c:pt idx="2">
                    <c:v>-0.37859388972001845</c:v>
                  </c:pt>
                  <c:pt idx="3">
                    <c:v>-0.2962731472438529</c:v>
                  </c:pt>
                </c:numCache>
              </c:numRef>
            </c:minus>
            <c:spPr>
              <a:noFill/>
              <a:ln w="9525" cap="flat" cmpd="sng" algn="ctr">
                <a:solidFill>
                  <a:schemeClr val="tx1">
                    <a:lumMod val="65000"/>
                    <a:lumOff val="35000"/>
                  </a:schemeClr>
                </a:solidFill>
                <a:round/>
              </a:ln>
              <a:effectLst/>
            </c:spPr>
          </c:errBars>
          <c:val>
            <c:numRef>
              <c:f>'Evolución 26.07.23'!$AC$63:$AC$66</c:f>
              <c:numCache>
                <c:formatCode>0.0</c:formatCode>
                <c:ptCount val="4"/>
                <c:pt idx="0">
                  <c:v>-20.240000000000002</c:v>
                </c:pt>
                <c:pt idx="1">
                  <c:v>-25.166666666666668</c:v>
                </c:pt>
                <c:pt idx="2">
                  <c:v>-21.099999999999998</c:v>
                </c:pt>
                <c:pt idx="3">
                  <c:v>-17.366666666666664</c:v>
                </c:pt>
              </c:numCache>
            </c:numRef>
          </c:val>
          <c:smooth val="0"/>
          <c:extLst>
            <c:ext xmlns:c16="http://schemas.microsoft.com/office/drawing/2014/chart" uri="{C3380CC4-5D6E-409C-BE32-E72D297353CC}">
              <c16:uniqueId val="{00000002-257B-49F2-B5CB-FA5C63116AF8}"/>
            </c:ext>
          </c:extLst>
        </c:ser>
        <c:ser>
          <c:idx val="3"/>
          <c:order val="3"/>
          <c:tx>
            <c:v>Flora Pulse sup</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'Evolución 26.07.23'!$AJ$63:$AJ$66</c:f>
              <c:numCache>
                <c:formatCode>General</c:formatCode>
                <c:ptCount val="4"/>
                <c:pt idx="0">
                  <c:v>-14</c:v>
                </c:pt>
                <c:pt idx="1">
                  <c:v>-22</c:v>
                </c:pt>
                <c:pt idx="2">
                  <c:v>-23</c:v>
                </c:pt>
                <c:pt idx="3">
                  <c:v>-17</c:v>
                </c:pt>
              </c:numCache>
            </c:numRef>
          </c:val>
          <c:smooth val="0"/>
          <c:extLst>
            <c:ext xmlns:c16="http://schemas.microsoft.com/office/drawing/2014/chart" uri="{C3380CC4-5D6E-409C-BE32-E72D297353CC}">
              <c16:uniqueId val="{00000000-D50F-4698-90BB-11768CDB4C45}"/>
            </c:ext>
          </c:extLst>
        </c:ser>
        <c:dLbls>
          <c:showLegendKey val="0"/>
          <c:showVal val="0"/>
          <c:showCatName val="0"/>
          <c:showSerName val="0"/>
          <c:showPercent val="0"/>
          <c:showBubbleSize val="0"/>
        </c:dLbls>
        <c:marker val="1"/>
        <c:smooth val="0"/>
        <c:axId val="676503935"/>
        <c:axId val="676521407"/>
      </c:lineChart>
      <c:catAx>
        <c:axId val="676503935"/>
        <c:scaling>
          <c:orientation val="minMax"/>
        </c:scaling>
        <c:delete val="0"/>
        <c:axPos val="b"/>
        <c:numFmt formatCode="[$-F400]h:mm:ss\ AM/P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ES"/>
          </a:p>
        </c:txPr>
        <c:crossAx val="676521407"/>
        <c:crosses val="autoZero"/>
        <c:auto val="1"/>
        <c:lblAlgn val="ctr"/>
        <c:lblOffset val="100"/>
        <c:noMultiLvlLbl val="0"/>
      </c:catAx>
      <c:valAx>
        <c:axId val="676521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crossAx val="676503935"/>
        <c:crosses val="autoZero"/>
        <c:crossBetween val="between"/>
      </c:valAx>
      <c:spPr>
        <a:noFill/>
        <a:ln>
          <a:noFill/>
        </a:ln>
        <a:effectLst/>
      </c:spPr>
    </c:plotArea>
    <c:legend>
      <c:legendPos val="r"/>
      <c:layout>
        <c:manualLayout>
          <c:xMode val="edge"/>
          <c:yMode val="edge"/>
          <c:x val="0.69213306315934642"/>
          <c:y val="0.75096851710708912"/>
          <c:w val="0.20818660856150653"/>
          <c:h val="0.2078950912958183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489857</xdr:colOff>
      <xdr:row>44</xdr:row>
      <xdr:rowOff>113619</xdr:rowOff>
    </xdr:from>
    <xdr:to>
      <xdr:col>21</xdr:col>
      <xdr:colOff>400049</xdr:colOff>
      <xdr:row>63</xdr:row>
      <xdr:rowOff>136072</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81</xdr:row>
      <xdr:rowOff>4761</xdr:rowOff>
    </xdr:from>
    <xdr:to>
      <xdr:col>20</xdr:col>
      <xdr:colOff>419100</xdr:colOff>
      <xdr:row>99</xdr:row>
      <xdr:rowOff>9524</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225137</xdr:colOff>
      <xdr:row>62</xdr:row>
      <xdr:rowOff>126419</xdr:rowOff>
    </xdr:from>
    <xdr:to>
      <xdr:col>19</xdr:col>
      <xdr:colOff>484910</xdr:colOff>
      <xdr:row>101</xdr:row>
      <xdr:rowOff>69272</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opLeftCell="A7" workbookViewId="0">
      <selection activeCell="M33" sqref="M33"/>
    </sheetView>
  </sheetViews>
  <sheetFormatPr defaultColWidth="11.42578125" defaultRowHeight="15"/>
  <cols>
    <col min="1" max="1" width="12.28515625" customWidth="1"/>
    <col min="2" max="2" width="54.7109375" customWidth="1"/>
  </cols>
  <sheetData>
    <row r="1" spans="1:2">
      <c r="A1" t="s">
        <v>0</v>
      </c>
      <c r="B1" t="s">
        <v>1</v>
      </c>
    </row>
    <row r="2" spans="1:2">
      <c r="A2" s="1">
        <v>44972</v>
      </c>
      <c r="B2" t="s">
        <v>2</v>
      </c>
    </row>
    <row r="3" spans="1:2">
      <c r="A3" s="1">
        <v>45006</v>
      </c>
      <c r="B3" t="s">
        <v>3</v>
      </c>
    </row>
    <row r="4" spans="1:2">
      <c r="A4" s="1">
        <v>45015</v>
      </c>
      <c r="B4" t="s">
        <v>4</v>
      </c>
    </row>
    <row r="6" spans="1:2">
      <c r="A6" s="1">
        <v>45016</v>
      </c>
      <c r="B6" t="s">
        <v>5</v>
      </c>
    </row>
    <row r="7" spans="1:2">
      <c r="A7" s="1">
        <v>45012</v>
      </c>
      <c r="B7" t="s">
        <v>6</v>
      </c>
    </row>
    <row r="9" spans="1:2">
      <c r="A9" s="1">
        <v>45026</v>
      </c>
      <c r="B9" t="s">
        <v>7</v>
      </c>
    </row>
    <row r="10" spans="1:2">
      <c r="A10" s="1">
        <v>45038</v>
      </c>
      <c r="B10" t="s">
        <v>8</v>
      </c>
    </row>
    <row r="11" spans="1:2">
      <c r="A11" s="1">
        <v>45049</v>
      </c>
      <c r="B11" t="s">
        <v>9</v>
      </c>
    </row>
    <row r="12" spans="1:2">
      <c r="A12" s="1">
        <v>45054</v>
      </c>
      <c r="B12" t="s">
        <v>10</v>
      </c>
    </row>
    <row r="14" spans="1:2">
      <c r="A14" s="1">
        <v>45068</v>
      </c>
      <c r="B14" t="s">
        <v>11</v>
      </c>
    </row>
    <row r="15" spans="1:2">
      <c r="A15" s="1">
        <v>45078</v>
      </c>
      <c r="B15" t="s">
        <v>12</v>
      </c>
    </row>
    <row r="16" spans="1:2">
      <c r="A16" s="1">
        <v>45120</v>
      </c>
      <c r="B16" t="s">
        <v>13</v>
      </c>
    </row>
    <row r="17" spans="1:2">
      <c r="A17" s="1">
        <v>45128</v>
      </c>
      <c r="B17" t="s">
        <v>14</v>
      </c>
    </row>
    <row r="18" spans="1:2">
      <c r="A18" s="1">
        <v>45133</v>
      </c>
      <c r="B18" t="s">
        <v>15</v>
      </c>
    </row>
    <row r="19" spans="1:2">
      <c r="A19" s="1">
        <v>45149</v>
      </c>
      <c r="B19" t="s">
        <v>16</v>
      </c>
    </row>
    <row r="20" spans="1:2">
      <c r="A20" s="1">
        <v>45176</v>
      </c>
      <c r="B20" t="s">
        <v>17</v>
      </c>
    </row>
    <row r="21" spans="1:2">
      <c r="A21" s="1">
        <v>45307</v>
      </c>
      <c r="B2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9"/>
  <sheetViews>
    <sheetView workbookViewId="0">
      <pane xSplit="4" ySplit="1" topLeftCell="E23" activePane="bottomRight" state="frozen"/>
      <selection pane="bottomRight" activeCell="F76" sqref="F76"/>
      <selection pane="bottomLeft" activeCell="A2" sqref="A2"/>
      <selection pane="topRight" activeCell="D1" sqref="D1"/>
    </sheetView>
  </sheetViews>
  <sheetFormatPr defaultColWidth="9.140625" defaultRowHeight="15"/>
  <cols>
    <col min="1" max="1" width="10.7109375" bestFit="1" customWidth="1"/>
    <col min="2" max="2" width="14.7109375" customWidth="1"/>
    <col min="3" max="3" width="14.28515625" customWidth="1"/>
    <col min="4" max="4" width="11.42578125" customWidth="1"/>
    <col min="5" max="5" width="10.42578125" customWidth="1"/>
    <col min="6" max="6" width="12" customWidth="1"/>
    <col min="7" max="7" width="12.85546875" customWidth="1"/>
    <col min="9" max="9" width="10.7109375" bestFit="1" customWidth="1"/>
    <col min="10" max="10" width="14" customWidth="1"/>
    <col min="11" max="11" width="15.85546875" bestFit="1" customWidth="1"/>
    <col min="12" max="12" width="13" customWidth="1"/>
    <col min="13" max="13" width="10.42578125" customWidth="1"/>
    <col min="14" max="14" width="14" customWidth="1"/>
    <col min="15" max="15" width="10.7109375" bestFit="1" customWidth="1"/>
  </cols>
  <sheetData>
    <row r="1" spans="1:15">
      <c r="A1" t="s">
        <v>0</v>
      </c>
      <c r="B1" t="s">
        <v>19</v>
      </c>
      <c r="C1" t="s">
        <v>20</v>
      </c>
      <c r="D1" t="s">
        <v>21</v>
      </c>
      <c r="E1" t="s">
        <v>22</v>
      </c>
      <c r="F1" t="s">
        <v>23</v>
      </c>
      <c r="G1" t="s">
        <v>24</v>
      </c>
      <c r="I1" t="s">
        <v>0</v>
      </c>
      <c r="J1" t="s">
        <v>19</v>
      </c>
      <c r="K1" t="s">
        <v>20</v>
      </c>
      <c r="L1" t="s">
        <v>21</v>
      </c>
      <c r="M1" t="s">
        <v>22</v>
      </c>
      <c r="N1" t="s">
        <v>23</v>
      </c>
      <c r="O1" t="s">
        <v>24</v>
      </c>
    </row>
    <row r="2" spans="1:15">
      <c r="A2" s="1">
        <v>45042</v>
      </c>
      <c r="B2" s="1" t="s">
        <v>25</v>
      </c>
      <c r="C2">
        <v>3</v>
      </c>
      <c r="D2">
        <v>1</v>
      </c>
      <c r="E2" s="2">
        <v>0.54722222222222217</v>
      </c>
      <c r="F2">
        <v>14</v>
      </c>
      <c r="G2">
        <v>3</v>
      </c>
      <c r="I2" s="1">
        <v>45118</v>
      </c>
      <c r="J2" s="1" t="s">
        <v>25</v>
      </c>
      <c r="K2">
        <v>1</v>
      </c>
      <c r="L2">
        <v>2</v>
      </c>
      <c r="M2" s="2">
        <v>0.45833333333333331</v>
      </c>
      <c r="N2">
        <v>11.5</v>
      </c>
    </row>
    <row r="3" spans="1:15">
      <c r="A3" s="1">
        <v>45042</v>
      </c>
      <c r="B3" s="1" t="s">
        <v>25</v>
      </c>
      <c r="C3">
        <v>3</v>
      </c>
      <c r="D3">
        <v>1</v>
      </c>
      <c r="E3" s="2">
        <v>0.54999999999999993</v>
      </c>
      <c r="F3">
        <v>16.5</v>
      </c>
      <c r="G3">
        <v>4.5</v>
      </c>
      <c r="I3" s="1">
        <v>45118</v>
      </c>
      <c r="J3" s="1" t="s">
        <v>25</v>
      </c>
      <c r="K3">
        <v>1</v>
      </c>
      <c r="L3">
        <v>2</v>
      </c>
      <c r="N3">
        <v>11.5</v>
      </c>
    </row>
    <row r="4" spans="1:15">
      <c r="A4" s="1">
        <v>45042</v>
      </c>
      <c r="B4" s="1" t="s">
        <v>25</v>
      </c>
      <c r="C4">
        <v>4</v>
      </c>
      <c r="D4">
        <v>1</v>
      </c>
      <c r="E4" s="2">
        <v>0.55972222222222223</v>
      </c>
      <c r="F4">
        <v>14.5</v>
      </c>
      <c r="G4">
        <v>14</v>
      </c>
      <c r="I4" s="1">
        <v>45118</v>
      </c>
      <c r="J4" s="1" t="s">
        <v>25</v>
      </c>
      <c r="K4">
        <v>1</v>
      </c>
      <c r="L4">
        <v>2</v>
      </c>
      <c r="N4">
        <v>14.2</v>
      </c>
    </row>
    <row r="5" spans="1:15">
      <c r="A5" s="1">
        <v>45042</v>
      </c>
      <c r="B5" s="1" t="s">
        <v>25</v>
      </c>
      <c r="C5">
        <v>4</v>
      </c>
      <c r="D5">
        <v>1</v>
      </c>
      <c r="F5">
        <v>15.5</v>
      </c>
      <c r="G5">
        <v>12.5</v>
      </c>
      <c r="I5" s="1">
        <v>45118</v>
      </c>
      <c r="J5" s="1" t="s">
        <v>25</v>
      </c>
      <c r="K5">
        <v>1</v>
      </c>
      <c r="L5">
        <v>2</v>
      </c>
      <c r="N5">
        <v>13</v>
      </c>
    </row>
    <row r="6" spans="1:15">
      <c r="A6" s="1">
        <v>45042</v>
      </c>
      <c r="B6" s="1" t="s">
        <v>25</v>
      </c>
      <c r="C6">
        <v>4</v>
      </c>
      <c r="D6">
        <v>1</v>
      </c>
      <c r="E6" s="2">
        <v>0.56527777777777777</v>
      </c>
      <c r="G6">
        <v>11.5</v>
      </c>
      <c r="I6" s="1">
        <v>45118</v>
      </c>
      <c r="J6" s="1" t="s">
        <v>25</v>
      </c>
      <c r="K6">
        <v>2</v>
      </c>
      <c r="L6">
        <v>1</v>
      </c>
      <c r="N6">
        <v>13.5</v>
      </c>
    </row>
    <row r="7" spans="1:15">
      <c r="A7" s="1">
        <v>45042</v>
      </c>
      <c r="B7" s="1" t="s">
        <v>25</v>
      </c>
      <c r="C7">
        <v>3</v>
      </c>
      <c r="D7">
        <v>2</v>
      </c>
      <c r="E7" s="2">
        <v>0.56874999999999998</v>
      </c>
      <c r="F7">
        <v>17.5</v>
      </c>
      <c r="G7">
        <v>16.5</v>
      </c>
      <c r="I7" s="1">
        <v>45118</v>
      </c>
      <c r="J7" s="1" t="s">
        <v>25</v>
      </c>
      <c r="K7">
        <v>2</v>
      </c>
      <c r="L7">
        <v>1</v>
      </c>
      <c r="N7">
        <v>13</v>
      </c>
    </row>
    <row r="8" spans="1:15">
      <c r="A8" s="1">
        <v>45042</v>
      </c>
      <c r="B8" s="1" t="s">
        <v>25</v>
      </c>
      <c r="C8">
        <v>3</v>
      </c>
      <c r="D8">
        <v>2</v>
      </c>
      <c r="F8">
        <v>21</v>
      </c>
      <c r="G8">
        <v>15</v>
      </c>
      <c r="I8" s="1">
        <v>45118</v>
      </c>
      <c r="J8" s="1" t="s">
        <v>25</v>
      </c>
      <c r="K8">
        <v>2</v>
      </c>
      <c r="L8">
        <v>1</v>
      </c>
      <c r="N8">
        <v>13</v>
      </c>
    </row>
    <row r="9" spans="1:15">
      <c r="A9" s="1">
        <v>45042</v>
      </c>
      <c r="B9" s="1" t="s">
        <v>25</v>
      </c>
      <c r="C9">
        <v>3</v>
      </c>
      <c r="D9">
        <v>2</v>
      </c>
      <c r="E9" s="2">
        <v>0.57013888888888886</v>
      </c>
      <c r="G9">
        <v>15</v>
      </c>
      <c r="I9" s="1">
        <v>45118</v>
      </c>
      <c r="J9" s="1" t="s">
        <v>25</v>
      </c>
      <c r="K9">
        <v>2</v>
      </c>
      <c r="L9">
        <v>1</v>
      </c>
      <c r="N9">
        <v>12</v>
      </c>
    </row>
    <row r="10" spans="1:15">
      <c r="A10" s="1">
        <v>45042</v>
      </c>
      <c r="B10" s="1" t="s">
        <v>25</v>
      </c>
      <c r="C10">
        <v>4</v>
      </c>
      <c r="D10">
        <v>2</v>
      </c>
      <c r="E10" s="2">
        <v>0.5756944444444444</v>
      </c>
      <c r="F10">
        <v>20.5</v>
      </c>
      <c r="G10">
        <v>1.35</v>
      </c>
      <c r="I10" s="1">
        <v>45118</v>
      </c>
      <c r="J10" s="1" t="s">
        <v>25</v>
      </c>
      <c r="K10">
        <v>3</v>
      </c>
      <c r="L10">
        <v>2</v>
      </c>
      <c r="N10">
        <v>15.5</v>
      </c>
    </row>
    <row r="11" spans="1:15">
      <c r="A11" s="1">
        <v>45042</v>
      </c>
      <c r="B11" s="1" t="s">
        <v>25</v>
      </c>
      <c r="C11">
        <v>4</v>
      </c>
      <c r="D11">
        <v>2</v>
      </c>
      <c r="F11">
        <v>16.5</v>
      </c>
      <c r="G11">
        <v>11.5</v>
      </c>
      <c r="I11" s="1">
        <v>45118</v>
      </c>
      <c r="J11" s="1" t="s">
        <v>25</v>
      </c>
      <c r="K11">
        <v>3</v>
      </c>
      <c r="L11">
        <v>2</v>
      </c>
      <c r="N11">
        <v>11</v>
      </c>
    </row>
    <row r="12" spans="1:15">
      <c r="A12" s="1">
        <v>45042</v>
      </c>
      <c r="B12" s="1" t="s">
        <v>25</v>
      </c>
      <c r="C12">
        <v>4</v>
      </c>
      <c r="D12">
        <v>2</v>
      </c>
      <c r="E12" s="2">
        <v>0.5805555555555556</v>
      </c>
      <c r="G12">
        <v>11.5</v>
      </c>
      <c r="I12" s="1">
        <v>45118</v>
      </c>
      <c r="J12" s="1" t="s">
        <v>25</v>
      </c>
      <c r="K12">
        <v>3</v>
      </c>
      <c r="L12">
        <v>2</v>
      </c>
      <c r="N12">
        <v>15.5</v>
      </c>
    </row>
    <row r="13" spans="1:15">
      <c r="A13" s="1">
        <v>45042</v>
      </c>
      <c r="B13" s="1" t="s">
        <v>25</v>
      </c>
      <c r="C13">
        <v>2</v>
      </c>
      <c r="D13">
        <v>2</v>
      </c>
      <c r="E13" s="2">
        <v>0.58333333333333337</v>
      </c>
      <c r="F13">
        <v>16.5</v>
      </c>
      <c r="G13">
        <v>13.5</v>
      </c>
      <c r="I13" s="1">
        <v>45118</v>
      </c>
      <c r="J13" s="1" t="s">
        <v>25</v>
      </c>
      <c r="K13">
        <v>3</v>
      </c>
      <c r="L13">
        <v>2</v>
      </c>
      <c r="N13">
        <v>16</v>
      </c>
    </row>
    <row r="14" spans="1:15">
      <c r="A14" s="1">
        <v>45042</v>
      </c>
      <c r="B14" s="1" t="s">
        <v>25</v>
      </c>
      <c r="C14">
        <v>2</v>
      </c>
      <c r="D14">
        <v>2</v>
      </c>
      <c r="F14">
        <v>21.5</v>
      </c>
      <c r="G14">
        <v>16.5</v>
      </c>
      <c r="I14" s="1">
        <v>45118</v>
      </c>
      <c r="J14" s="1" t="s">
        <v>25</v>
      </c>
      <c r="K14">
        <v>4</v>
      </c>
      <c r="L14">
        <v>2</v>
      </c>
      <c r="N14">
        <v>13.5</v>
      </c>
    </row>
    <row r="15" spans="1:15">
      <c r="A15" s="1">
        <v>45042</v>
      </c>
      <c r="B15" s="1" t="s">
        <v>25</v>
      </c>
      <c r="C15">
        <v>2</v>
      </c>
      <c r="D15">
        <v>2</v>
      </c>
      <c r="E15" s="2">
        <v>0.58680555555555558</v>
      </c>
      <c r="G15">
        <v>14.5</v>
      </c>
      <c r="I15" s="1">
        <v>45118</v>
      </c>
      <c r="J15" s="1" t="s">
        <v>25</v>
      </c>
      <c r="K15">
        <v>4</v>
      </c>
      <c r="L15">
        <v>2</v>
      </c>
      <c r="N15">
        <v>13.5</v>
      </c>
    </row>
    <row r="16" spans="1:15">
      <c r="A16" s="1">
        <v>45042</v>
      </c>
      <c r="B16" s="1" t="s">
        <v>25</v>
      </c>
      <c r="C16">
        <v>1</v>
      </c>
      <c r="D16">
        <v>1</v>
      </c>
      <c r="E16" s="2">
        <v>0.59513888888888888</v>
      </c>
      <c r="F16">
        <v>19.5</v>
      </c>
      <c r="G16">
        <v>16</v>
      </c>
      <c r="I16" s="1">
        <v>45118</v>
      </c>
      <c r="J16" s="1" t="s">
        <v>25</v>
      </c>
      <c r="K16">
        <v>4</v>
      </c>
      <c r="L16">
        <v>2</v>
      </c>
      <c r="N16">
        <v>16</v>
      </c>
    </row>
    <row r="17" spans="1:14">
      <c r="A17" s="1">
        <v>45042</v>
      </c>
      <c r="B17" s="1" t="s">
        <v>25</v>
      </c>
      <c r="C17">
        <v>1</v>
      </c>
      <c r="D17">
        <v>1</v>
      </c>
      <c r="F17">
        <v>18</v>
      </c>
      <c r="G17">
        <v>15.5</v>
      </c>
      <c r="I17" s="1">
        <v>45118</v>
      </c>
      <c r="J17" s="1" t="s">
        <v>25</v>
      </c>
      <c r="K17">
        <v>4</v>
      </c>
      <c r="L17">
        <v>2</v>
      </c>
      <c r="N17">
        <v>11.5</v>
      </c>
    </row>
    <row r="18" spans="1:14">
      <c r="A18" s="1">
        <v>45042</v>
      </c>
      <c r="B18" s="1" t="s">
        <v>25</v>
      </c>
      <c r="C18">
        <v>1</v>
      </c>
      <c r="D18">
        <v>1</v>
      </c>
      <c r="E18" s="2">
        <v>0.59722222222222221</v>
      </c>
      <c r="G18">
        <v>15</v>
      </c>
      <c r="I18" s="1">
        <v>45118</v>
      </c>
      <c r="J18" s="1" t="s">
        <v>25</v>
      </c>
      <c r="K18">
        <v>2</v>
      </c>
      <c r="L18">
        <v>2</v>
      </c>
      <c r="N18">
        <v>21.5</v>
      </c>
    </row>
    <row r="19" spans="1:14">
      <c r="A19" s="1">
        <v>45042</v>
      </c>
      <c r="B19" s="1" t="s">
        <v>25</v>
      </c>
      <c r="C19">
        <v>2</v>
      </c>
      <c r="D19">
        <v>1</v>
      </c>
      <c r="E19" s="2">
        <v>0.60416666666666663</v>
      </c>
      <c r="F19">
        <v>20.5</v>
      </c>
      <c r="G19">
        <v>16.5</v>
      </c>
      <c r="I19" s="1">
        <v>45118</v>
      </c>
      <c r="J19" s="1" t="s">
        <v>25</v>
      </c>
      <c r="K19">
        <v>2</v>
      </c>
      <c r="L19">
        <v>2</v>
      </c>
      <c r="N19">
        <v>10</v>
      </c>
    </row>
    <row r="20" spans="1:14">
      <c r="A20" s="1">
        <v>45042</v>
      </c>
      <c r="B20" s="1" t="s">
        <v>25</v>
      </c>
      <c r="C20">
        <v>2</v>
      </c>
      <c r="D20">
        <v>1</v>
      </c>
      <c r="F20">
        <v>20.5</v>
      </c>
      <c r="G20">
        <v>14</v>
      </c>
      <c r="I20" s="1">
        <v>45118</v>
      </c>
      <c r="J20" s="1" t="s">
        <v>25</v>
      </c>
      <c r="K20">
        <v>2</v>
      </c>
      <c r="L20">
        <v>2</v>
      </c>
      <c r="N20">
        <v>13.5</v>
      </c>
    </row>
    <row r="21" spans="1:14">
      <c r="A21" s="1">
        <v>45042</v>
      </c>
      <c r="B21" s="1" t="s">
        <v>25</v>
      </c>
      <c r="C21">
        <v>2</v>
      </c>
      <c r="D21">
        <v>1</v>
      </c>
      <c r="E21" s="2">
        <v>0.60625000000000007</v>
      </c>
      <c r="G21">
        <v>15</v>
      </c>
      <c r="I21" s="1">
        <v>45118</v>
      </c>
      <c r="J21" s="1" t="s">
        <v>25</v>
      </c>
      <c r="K21">
        <v>2</v>
      </c>
      <c r="L21">
        <v>2</v>
      </c>
      <c r="N21">
        <v>16.5</v>
      </c>
    </row>
    <row r="22" spans="1:14">
      <c r="A22" s="1">
        <v>45042</v>
      </c>
      <c r="B22" s="1" t="s">
        <v>25</v>
      </c>
      <c r="C22">
        <v>1</v>
      </c>
      <c r="D22">
        <v>2</v>
      </c>
      <c r="E22" s="2">
        <v>0.61249999999999993</v>
      </c>
      <c r="F22">
        <v>16</v>
      </c>
      <c r="G22">
        <v>15.5</v>
      </c>
      <c r="I22" s="1">
        <v>45118</v>
      </c>
      <c r="J22" s="1" t="s">
        <v>25</v>
      </c>
      <c r="K22">
        <v>1</v>
      </c>
      <c r="L22">
        <v>1</v>
      </c>
      <c r="N22">
        <v>19</v>
      </c>
    </row>
    <row r="23" spans="1:14">
      <c r="A23" s="1">
        <v>45042</v>
      </c>
      <c r="B23" s="1" t="s">
        <v>25</v>
      </c>
      <c r="C23">
        <v>1</v>
      </c>
      <c r="D23">
        <v>2</v>
      </c>
      <c r="F23">
        <v>16.5</v>
      </c>
      <c r="G23">
        <v>15</v>
      </c>
      <c r="I23" s="1">
        <v>45118</v>
      </c>
      <c r="J23" s="1" t="s">
        <v>25</v>
      </c>
      <c r="K23">
        <v>1</v>
      </c>
      <c r="L23">
        <v>1</v>
      </c>
      <c r="N23">
        <v>15</v>
      </c>
    </row>
    <row r="24" spans="1:14">
      <c r="A24" s="1">
        <v>45042</v>
      </c>
      <c r="B24" s="1" t="s">
        <v>25</v>
      </c>
      <c r="C24">
        <v>1</v>
      </c>
      <c r="D24">
        <v>2</v>
      </c>
      <c r="E24" s="2">
        <v>0.61388888888888882</v>
      </c>
      <c r="G24">
        <v>12.5</v>
      </c>
      <c r="I24" s="1">
        <v>45118</v>
      </c>
      <c r="J24" s="1" t="s">
        <v>25</v>
      </c>
      <c r="K24">
        <v>1</v>
      </c>
      <c r="L24">
        <v>1</v>
      </c>
      <c r="N24">
        <v>11</v>
      </c>
    </row>
    <row r="25" spans="1:14">
      <c r="I25" s="1">
        <v>45118</v>
      </c>
      <c r="J25" s="1" t="s">
        <v>25</v>
      </c>
      <c r="K25">
        <v>1</v>
      </c>
      <c r="L25">
        <v>1</v>
      </c>
      <c r="N25">
        <v>13.5</v>
      </c>
    </row>
    <row r="26" spans="1:14">
      <c r="I26" s="1">
        <v>45118</v>
      </c>
      <c r="J26" s="1" t="s">
        <v>25</v>
      </c>
      <c r="K26">
        <v>3</v>
      </c>
      <c r="L26">
        <v>1</v>
      </c>
      <c r="N26">
        <v>13</v>
      </c>
    </row>
    <row r="27" spans="1:14">
      <c r="I27" s="1">
        <v>45118</v>
      </c>
      <c r="J27" s="1" t="s">
        <v>25</v>
      </c>
      <c r="K27">
        <v>3</v>
      </c>
      <c r="L27">
        <v>1</v>
      </c>
      <c r="N27">
        <v>15</v>
      </c>
    </row>
    <row r="28" spans="1:14">
      <c r="I28" s="1">
        <v>45118</v>
      </c>
      <c r="J28" s="1" t="s">
        <v>25</v>
      </c>
      <c r="K28">
        <v>3</v>
      </c>
      <c r="L28">
        <v>1</v>
      </c>
      <c r="N28">
        <v>17.5</v>
      </c>
    </row>
    <row r="29" spans="1:14">
      <c r="I29" s="1">
        <v>45118</v>
      </c>
      <c r="J29" s="1" t="s">
        <v>25</v>
      </c>
      <c r="K29">
        <v>3</v>
      </c>
      <c r="L29">
        <v>1</v>
      </c>
      <c r="N29">
        <v>13</v>
      </c>
    </row>
    <row r="30" spans="1:14">
      <c r="I30" s="1">
        <v>45118</v>
      </c>
      <c r="J30" s="1" t="s">
        <v>25</v>
      </c>
      <c r="K30">
        <v>4</v>
      </c>
      <c r="L30">
        <v>1</v>
      </c>
      <c r="N30">
        <v>13.5</v>
      </c>
    </row>
    <row r="31" spans="1:14">
      <c r="I31" s="1">
        <v>45118</v>
      </c>
      <c r="J31" s="1" t="s">
        <v>25</v>
      </c>
      <c r="K31">
        <v>4</v>
      </c>
      <c r="L31">
        <v>1</v>
      </c>
      <c r="N31">
        <v>15</v>
      </c>
    </row>
    <row r="32" spans="1:14">
      <c r="I32" s="1">
        <v>45118</v>
      </c>
      <c r="J32" s="1" t="s">
        <v>25</v>
      </c>
      <c r="K32">
        <v>4</v>
      </c>
      <c r="L32">
        <v>1</v>
      </c>
      <c r="N32">
        <v>14.5</v>
      </c>
    </row>
    <row r="33" spans="9:14">
      <c r="I33" s="1">
        <v>45118</v>
      </c>
      <c r="J33" s="1" t="s">
        <v>25</v>
      </c>
      <c r="K33">
        <v>4</v>
      </c>
      <c r="L33">
        <v>1</v>
      </c>
      <c r="N33">
        <v>13</v>
      </c>
    </row>
    <row r="34" spans="9:14">
      <c r="I34" s="1">
        <v>45118</v>
      </c>
      <c r="J34" s="1" t="s">
        <v>26</v>
      </c>
      <c r="K34">
        <v>1</v>
      </c>
      <c r="L34">
        <v>1</v>
      </c>
      <c r="N34">
        <v>13.5</v>
      </c>
    </row>
    <row r="35" spans="9:14">
      <c r="I35" s="1">
        <v>45118</v>
      </c>
      <c r="J35" s="1" t="s">
        <v>26</v>
      </c>
      <c r="K35">
        <v>1</v>
      </c>
      <c r="L35">
        <v>1</v>
      </c>
      <c r="N35">
        <v>12.5</v>
      </c>
    </row>
    <row r="36" spans="9:14">
      <c r="I36" s="1">
        <v>45118</v>
      </c>
      <c r="J36" s="1" t="s">
        <v>26</v>
      </c>
      <c r="K36">
        <v>1</v>
      </c>
      <c r="L36">
        <v>1</v>
      </c>
      <c r="N36">
        <v>15.5</v>
      </c>
    </row>
    <row r="37" spans="9:14">
      <c r="I37" s="1">
        <v>45118</v>
      </c>
      <c r="J37" s="1" t="s">
        <v>26</v>
      </c>
      <c r="K37">
        <v>1</v>
      </c>
      <c r="L37">
        <v>1</v>
      </c>
      <c r="N37">
        <v>17</v>
      </c>
    </row>
    <row r="38" spans="9:14">
      <c r="I38" s="1">
        <v>45118</v>
      </c>
      <c r="J38" s="1" t="s">
        <v>26</v>
      </c>
      <c r="K38">
        <v>2</v>
      </c>
      <c r="L38">
        <v>2</v>
      </c>
      <c r="N38">
        <v>14.5</v>
      </c>
    </row>
    <row r="39" spans="9:14">
      <c r="I39" s="1">
        <v>45118</v>
      </c>
      <c r="J39" s="1" t="s">
        <v>26</v>
      </c>
      <c r="K39">
        <v>2</v>
      </c>
      <c r="L39">
        <v>2</v>
      </c>
      <c r="N39">
        <v>15</v>
      </c>
    </row>
    <row r="40" spans="9:14">
      <c r="I40" s="1">
        <v>45118</v>
      </c>
      <c r="J40" s="1" t="s">
        <v>26</v>
      </c>
      <c r="K40">
        <v>2</v>
      </c>
      <c r="L40">
        <v>2</v>
      </c>
      <c r="N40">
        <v>15</v>
      </c>
    </row>
    <row r="41" spans="9:14">
      <c r="I41" s="1">
        <v>45118</v>
      </c>
      <c r="J41" s="1" t="s">
        <v>26</v>
      </c>
      <c r="K41">
        <v>2</v>
      </c>
      <c r="L41">
        <v>2</v>
      </c>
      <c r="N41">
        <v>17</v>
      </c>
    </row>
    <row r="42" spans="9:14">
      <c r="I42" s="1">
        <v>45118</v>
      </c>
      <c r="J42" s="1" t="s">
        <v>26</v>
      </c>
      <c r="K42">
        <v>3</v>
      </c>
      <c r="L42">
        <v>3</v>
      </c>
      <c r="N42">
        <v>19</v>
      </c>
    </row>
    <row r="43" spans="9:14">
      <c r="I43" s="1">
        <v>45118</v>
      </c>
      <c r="J43" s="1" t="s">
        <v>26</v>
      </c>
      <c r="K43">
        <v>3</v>
      </c>
      <c r="L43">
        <v>3</v>
      </c>
      <c r="N43">
        <v>15</v>
      </c>
    </row>
    <row r="44" spans="9:14">
      <c r="I44" s="1">
        <v>45118</v>
      </c>
      <c r="J44" s="1" t="s">
        <v>26</v>
      </c>
      <c r="K44">
        <v>3</v>
      </c>
      <c r="L44">
        <v>3</v>
      </c>
      <c r="N44">
        <v>18</v>
      </c>
    </row>
    <row r="45" spans="9:14">
      <c r="I45" s="1">
        <v>45118</v>
      </c>
      <c r="J45" s="1" t="s">
        <v>26</v>
      </c>
      <c r="K45">
        <v>3</v>
      </c>
      <c r="L45">
        <v>3</v>
      </c>
      <c r="N45">
        <v>17.5</v>
      </c>
    </row>
    <row r="46" spans="9:14">
      <c r="I46" s="1">
        <v>45118</v>
      </c>
      <c r="J46" s="1" t="s">
        <v>26</v>
      </c>
      <c r="K46">
        <v>4</v>
      </c>
      <c r="L46">
        <v>4</v>
      </c>
    </row>
    <row r="47" spans="9:14">
      <c r="I47" s="1">
        <v>45118</v>
      </c>
      <c r="J47" s="1" t="s">
        <v>26</v>
      </c>
      <c r="K47">
        <v>4</v>
      </c>
      <c r="L47">
        <v>4</v>
      </c>
      <c r="N47">
        <v>14</v>
      </c>
    </row>
    <row r="48" spans="9:14">
      <c r="I48" s="1">
        <v>45118</v>
      </c>
      <c r="J48" s="1" t="s">
        <v>26</v>
      </c>
      <c r="K48">
        <v>4</v>
      </c>
      <c r="L48">
        <v>4</v>
      </c>
      <c r="N48">
        <v>20</v>
      </c>
    </row>
    <row r="49" spans="9:16">
      <c r="I49" s="1">
        <v>45118</v>
      </c>
      <c r="J49" s="1" t="s">
        <v>26</v>
      </c>
      <c r="K49">
        <v>4</v>
      </c>
      <c r="L49">
        <v>4</v>
      </c>
      <c r="M49" s="2">
        <v>0.5625</v>
      </c>
      <c r="N49">
        <v>16.5</v>
      </c>
    </row>
    <row r="51" spans="9:16">
      <c r="J51" s="1">
        <v>45118</v>
      </c>
      <c r="K51">
        <v>1.1000000000000001</v>
      </c>
      <c r="L51" t="s">
        <v>27</v>
      </c>
      <c r="N51" s="5">
        <f>AVERAGE(N22:N25)</f>
        <v>14.625</v>
      </c>
      <c r="P51">
        <f>N51*-1</f>
        <v>-14.625</v>
      </c>
    </row>
    <row r="52" spans="9:16">
      <c r="J52" s="1">
        <v>45118</v>
      </c>
      <c r="K52">
        <v>1.2</v>
      </c>
      <c r="L52" t="s">
        <v>27</v>
      </c>
      <c r="N52" s="5">
        <f>AVERAGE(N2:N5)</f>
        <v>12.55</v>
      </c>
      <c r="P52">
        <f t="shared" ref="P52:P59" si="0">N52*-1</f>
        <v>-12.55</v>
      </c>
    </row>
    <row r="53" spans="9:16">
      <c r="J53" s="1">
        <v>45118</v>
      </c>
      <c r="K53">
        <v>2.1</v>
      </c>
      <c r="L53" t="s">
        <v>27</v>
      </c>
      <c r="N53" s="5">
        <f>AVERAGE(N6:N9)</f>
        <v>12.875</v>
      </c>
      <c r="P53">
        <f t="shared" si="0"/>
        <v>-12.875</v>
      </c>
    </row>
    <row r="54" spans="9:16">
      <c r="J54" s="1">
        <v>45118</v>
      </c>
      <c r="K54">
        <v>2.2000000000000002</v>
      </c>
      <c r="L54" t="s">
        <v>27</v>
      </c>
      <c r="N54" s="5">
        <f>AVERAGE(N18:N21)</f>
        <v>15.375</v>
      </c>
      <c r="P54">
        <f t="shared" si="0"/>
        <v>-15.375</v>
      </c>
    </row>
    <row r="55" spans="9:16">
      <c r="J55" s="1">
        <v>45118</v>
      </c>
      <c r="K55">
        <v>3.1</v>
      </c>
      <c r="L55" t="s">
        <v>27</v>
      </c>
      <c r="N55" s="5">
        <f>AVERAGE(N26:N29)</f>
        <v>14.625</v>
      </c>
      <c r="P55">
        <f t="shared" si="0"/>
        <v>-14.625</v>
      </c>
    </row>
    <row r="56" spans="9:16">
      <c r="J56" s="1">
        <v>45118</v>
      </c>
      <c r="K56">
        <v>3.2</v>
      </c>
      <c r="L56" t="s">
        <v>27</v>
      </c>
      <c r="N56" s="5">
        <f>AVERAGE(N10:N13)</f>
        <v>14.5</v>
      </c>
      <c r="P56">
        <f t="shared" si="0"/>
        <v>-14.5</v>
      </c>
    </row>
    <row r="57" spans="9:16">
      <c r="J57" s="1">
        <v>45118</v>
      </c>
      <c r="K57">
        <v>4.0999999999999996</v>
      </c>
      <c r="L57" t="s">
        <v>27</v>
      </c>
      <c r="N57" s="5">
        <f>AVERAGE(N30:N33)</f>
        <v>14</v>
      </c>
      <c r="P57">
        <f t="shared" si="0"/>
        <v>-14</v>
      </c>
    </row>
    <row r="58" spans="9:16">
      <c r="J58" s="1">
        <v>45118</v>
      </c>
      <c r="K58">
        <v>4.2</v>
      </c>
      <c r="L58" t="s">
        <v>27</v>
      </c>
      <c r="N58" s="5">
        <f>AVERAGE(N14:N17)</f>
        <v>13.625</v>
      </c>
      <c r="P58">
        <f t="shared" si="0"/>
        <v>-13.625</v>
      </c>
    </row>
    <row r="59" spans="9:16">
      <c r="J59" s="1">
        <v>45118</v>
      </c>
      <c r="K59" t="s">
        <v>28</v>
      </c>
      <c r="L59" t="s">
        <v>27</v>
      </c>
      <c r="N59" s="5">
        <f>AVERAGE(N34:N49)</f>
        <v>16</v>
      </c>
      <c r="P59">
        <f t="shared" si="0"/>
        <v>-16</v>
      </c>
    </row>
    <row r="61" spans="9:16">
      <c r="J61" s="1">
        <v>45118</v>
      </c>
      <c r="K61">
        <v>1.1000000000000001</v>
      </c>
      <c r="L61" t="s">
        <v>29</v>
      </c>
      <c r="N61" s="5">
        <f>STDEV(N22:N25)/SQRT(COUNT(N22:N25))</f>
        <v>1.6754974385735917</v>
      </c>
    </row>
    <row r="62" spans="9:16">
      <c r="J62" s="1">
        <v>45118</v>
      </c>
      <c r="K62">
        <v>1.2</v>
      </c>
      <c r="L62" t="s">
        <v>29</v>
      </c>
      <c r="N62" s="5">
        <f>STDEV(N2:N5)/SQRT(COUNT(N2:N5))</f>
        <v>0.65383484153110094</v>
      </c>
    </row>
    <row r="63" spans="9:16">
      <c r="J63" s="1">
        <v>45118</v>
      </c>
      <c r="K63">
        <v>2.1</v>
      </c>
      <c r="L63" t="s">
        <v>29</v>
      </c>
      <c r="N63" s="5">
        <f>STDEV(N6:N9)/SQRT(COUNT(N6:N9))</f>
        <v>0.31457643480294789</v>
      </c>
    </row>
    <row r="64" spans="9:16">
      <c r="J64" s="1">
        <v>45118</v>
      </c>
      <c r="K64">
        <v>2.2000000000000002</v>
      </c>
      <c r="L64" t="s">
        <v>29</v>
      </c>
      <c r="N64" s="5">
        <f>STDEV(N18:N21)/SQRT(COUNT(N18:N21))</f>
        <v>2.435629624279247</v>
      </c>
    </row>
    <row r="65" spans="10:14">
      <c r="J65" s="1">
        <v>45118</v>
      </c>
      <c r="K65">
        <v>3.1</v>
      </c>
      <c r="L65" t="s">
        <v>29</v>
      </c>
      <c r="N65" s="5">
        <f>STDEV(N26:N29)/SQRT(COUNT(N26:N29))</f>
        <v>1.0680004681646913</v>
      </c>
    </row>
    <row r="66" spans="10:14">
      <c r="J66" s="1">
        <v>45118</v>
      </c>
      <c r="K66">
        <v>3.2</v>
      </c>
      <c r="L66" t="s">
        <v>29</v>
      </c>
      <c r="N66" s="5">
        <f>STDEV(N10:N13)/SQRT(COUNT(N10:N13))</f>
        <v>1.1726039399558574</v>
      </c>
    </row>
    <row r="67" spans="10:14">
      <c r="J67" s="1">
        <v>45118</v>
      </c>
      <c r="K67">
        <v>4.0999999999999996</v>
      </c>
      <c r="L67" t="s">
        <v>29</v>
      </c>
      <c r="N67" s="5">
        <f>STDEV(N30:N33)/SQRT(COUNT(N30:N33))</f>
        <v>0.45643546458763845</v>
      </c>
    </row>
    <row r="68" spans="10:14">
      <c r="J68" s="1">
        <v>45118</v>
      </c>
      <c r="K68">
        <v>4.2</v>
      </c>
      <c r="L68" t="s">
        <v>29</v>
      </c>
      <c r="N68" s="5">
        <f>STDEV(N14:N17)/SQRT(COUNT(N14:N17))</f>
        <v>0.9213893494789992</v>
      </c>
    </row>
    <row r="69" spans="10:14">
      <c r="J69" s="1">
        <v>45118</v>
      </c>
      <c r="K69" t="s">
        <v>28</v>
      </c>
      <c r="L69" t="s">
        <v>29</v>
      </c>
      <c r="N69" s="5">
        <f>STDEV(N34:N49)/SQRT(COUNT(N34:N49))</f>
        <v>0.541162769282166</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8"/>
  <sheetViews>
    <sheetView zoomScale="70" zoomScaleNormal="70" workbookViewId="0">
      <selection activeCell="F49" sqref="F49"/>
    </sheetView>
  </sheetViews>
  <sheetFormatPr defaultColWidth="11.42578125" defaultRowHeight="15"/>
  <cols>
    <col min="1" max="1" width="13.5703125" customWidth="1"/>
    <col min="2" max="2" width="13.7109375" customWidth="1"/>
    <col min="3" max="9" width="18" bestFit="1" customWidth="1"/>
    <col min="11" max="16" width="20.28515625" bestFit="1" customWidth="1"/>
    <col min="17" max="17" width="20.28515625" customWidth="1"/>
    <col min="19" max="19" width="12.85546875" bestFit="1" customWidth="1"/>
  </cols>
  <sheetData>
    <row r="1" spans="1:19">
      <c r="A1" t="s">
        <v>19</v>
      </c>
      <c r="B1" t="s">
        <v>30</v>
      </c>
      <c r="C1" t="s">
        <v>31</v>
      </c>
      <c r="D1" t="s">
        <v>31</v>
      </c>
      <c r="E1" t="s">
        <v>31</v>
      </c>
      <c r="F1" t="s">
        <v>31</v>
      </c>
      <c r="G1" t="s">
        <v>31</v>
      </c>
      <c r="H1" t="s">
        <v>31</v>
      </c>
      <c r="I1" t="s">
        <v>31</v>
      </c>
      <c r="K1" t="s">
        <v>31</v>
      </c>
      <c r="L1" t="s">
        <v>31</v>
      </c>
      <c r="M1" t="s">
        <v>31</v>
      </c>
      <c r="N1" t="s">
        <v>31</v>
      </c>
      <c r="O1" t="s">
        <v>31</v>
      </c>
      <c r="P1" t="s">
        <v>31</v>
      </c>
      <c r="Q1" t="s">
        <v>31</v>
      </c>
      <c r="S1" t="s">
        <v>32</v>
      </c>
    </row>
    <row r="2" spans="1:19" s="4" customFormat="1">
      <c r="A2" s="4">
        <v>1.1000000000000001</v>
      </c>
      <c r="B2" s="13">
        <v>45104</v>
      </c>
      <c r="C2" s="4">
        <v>7.6</v>
      </c>
      <c r="K2" s="4">
        <f>C2-1</f>
        <v>6.6</v>
      </c>
      <c r="S2" s="4">
        <f>SUM(K2:Q2)/4</f>
        <v>1.65</v>
      </c>
    </row>
    <row r="3" spans="1:19">
      <c r="A3">
        <v>1.2</v>
      </c>
      <c r="B3" s="1">
        <v>45104</v>
      </c>
      <c r="C3">
        <v>9.6999999999999993</v>
      </c>
      <c r="K3">
        <f t="shared" ref="K3:K31" si="0">C3-1</f>
        <v>8.6999999999999993</v>
      </c>
      <c r="S3">
        <f t="shared" ref="S3:S31" si="1">SUM(K3:Q3)/4</f>
        <v>2.1749999999999998</v>
      </c>
    </row>
    <row r="4" spans="1:19">
      <c r="A4">
        <v>2.1</v>
      </c>
      <c r="B4" s="1">
        <v>45104</v>
      </c>
      <c r="C4">
        <v>11.2</v>
      </c>
      <c r="K4">
        <f t="shared" si="0"/>
        <v>10.199999999999999</v>
      </c>
      <c r="S4">
        <f t="shared" si="1"/>
        <v>2.5499999999999998</v>
      </c>
    </row>
    <row r="5" spans="1:19">
      <c r="A5">
        <v>2.2000000000000002</v>
      </c>
      <c r="B5" s="1">
        <v>45104</v>
      </c>
      <c r="C5">
        <v>20</v>
      </c>
      <c r="K5">
        <f t="shared" si="0"/>
        <v>19</v>
      </c>
      <c r="S5">
        <f t="shared" si="1"/>
        <v>4.75</v>
      </c>
    </row>
    <row r="6" spans="1:19">
      <c r="A6">
        <v>3.1</v>
      </c>
      <c r="B6" s="1">
        <v>45104</v>
      </c>
      <c r="C6">
        <v>9.5</v>
      </c>
      <c r="K6">
        <f t="shared" si="0"/>
        <v>8.5</v>
      </c>
      <c r="S6">
        <f t="shared" si="1"/>
        <v>2.125</v>
      </c>
    </row>
    <row r="7" spans="1:19">
      <c r="A7">
        <v>3.2</v>
      </c>
      <c r="B7" s="1">
        <v>45104</v>
      </c>
      <c r="C7">
        <v>9</v>
      </c>
      <c r="K7">
        <f t="shared" si="0"/>
        <v>8</v>
      </c>
      <c r="S7">
        <f t="shared" si="1"/>
        <v>2</v>
      </c>
    </row>
    <row r="8" spans="1:19" s="4" customFormat="1">
      <c r="A8" s="4">
        <v>1.1000000000000001</v>
      </c>
      <c r="B8" s="13">
        <v>45107</v>
      </c>
      <c r="C8" s="4">
        <v>14.5</v>
      </c>
      <c r="D8" s="4">
        <v>13</v>
      </c>
      <c r="K8" s="4">
        <f t="shared" si="0"/>
        <v>13.5</v>
      </c>
      <c r="L8" s="4">
        <f t="shared" ref="L8:L31" si="2">D8-1</f>
        <v>12</v>
      </c>
      <c r="S8" s="4">
        <f t="shared" si="1"/>
        <v>6.375</v>
      </c>
    </row>
    <row r="9" spans="1:19">
      <c r="A9">
        <v>1.2</v>
      </c>
      <c r="B9" s="1">
        <v>45107</v>
      </c>
      <c r="C9">
        <v>12.6</v>
      </c>
      <c r="D9">
        <v>13</v>
      </c>
      <c r="E9">
        <v>12.8</v>
      </c>
      <c r="F9">
        <v>13.4</v>
      </c>
      <c r="G9">
        <v>12</v>
      </c>
      <c r="K9">
        <f t="shared" si="0"/>
        <v>11.6</v>
      </c>
      <c r="L9">
        <f t="shared" si="2"/>
        <v>12</v>
      </c>
      <c r="M9">
        <f t="shared" ref="M9:M31" si="3">E9-1</f>
        <v>11.8</v>
      </c>
      <c r="N9">
        <f t="shared" ref="N9:N27" si="4">F9-1</f>
        <v>12.4</v>
      </c>
      <c r="O9">
        <f t="shared" ref="O9:O25" si="5">G9-1</f>
        <v>11</v>
      </c>
      <c r="S9">
        <f t="shared" si="1"/>
        <v>14.700000000000001</v>
      </c>
    </row>
    <row r="10" spans="1:19">
      <c r="A10">
        <v>2.1</v>
      </c>
      <c r="B10" s="1">
        <v>45107</v>
      </c>
      <c r="C10">
        <v>12</v>
      </c>
      <c r="D10">
        <v>12.38</v>
      </c>
      <c r="E10">
        <v>11.5</v>
      </c>
      <c r="K10">
        <f t="shared" si="0"/>
        <v>11</v>
      </c>
      <c r="L10">
        <f t="shared" si="2"/>
        <v>11.38</v>
      </c>
      <c r="M10">
        <f t="shared" si="3"/>
        <v>10.5</v>
      </c>
      <c r="S10">
        <f t="shared" si="1"/>
        <v>8.2200000000000006</v>
      </c>
    </row>
    <row r="11" spans="1:19">
      <c r="A11">
        <v>2.2000000000000002</v>
      </c>
      <c r="B11" s="1">
        <v>45107</v>
      </c>
      <c r="C11">
        <v>11.8</v>
      </c>
      <c r="D11">
        <v>11.55</v>
      </c>
      <c r="E11">
        <v>13.5</v>
      </c>
      <c r="F11">
        <v>13</v>
      </c>
      <c r="G11">
        <v>11.4</v>
      </c>
      <c r="H11">
        <v>4.55</v>
      </c>
      <c r="K11">
        <f t="shared" si="0"/>
        <v>10.8</v>
      </c>
      <c r="L11">
        <f t="shared" si="2"/>
        <v>10.55</v>
      </c>
      <c r="M11">
        <f t="shared" si="3"/>
        <v>12.5</v>
      </c>
      <c r="N11">
        <f t="shared" si="4"/>
        <v>12</v>
      </c>
      <c r="O11">
        <f t="shared" si="5"/>
        <v>10.4</v>
      </c>
      <c r="P11">
        <f>H11-1</f>
        <v>3.55</v>
      </c>
      <c r="S11">
        <f t="shared" si="1"/>
        <v>14.95</v>
      </c>
    </row>
    <row r="12" spans="1:19">
      <c r="A12">
        <v>3.1</v>
      </c>
      <c r="B12" s="1">
        <v>45107</v>
      </c>
      <c r="C12">
        <v>9.5</v>
      </c>
      <c r="D12">
        <v>11.5</v>
      </c>
      <c r="E12">
        <v>6.95</v>
      </c>
      <c r="K12">
        <f t="shared" si="0"/>
        <v>8.5</v>
      </c>
      <c r="L12">
        <f t="shared" si="2"/>
        <v>10.5</v>
      </c>
      <c r="M12">
        <f t="shared" si="3"/>
        <v>5.95</v>
      </c>
      <c r="S12">
        <f t="shared" si="1"/>
        <v>6.2374999999999998</v>
      </c>
    </row>
    <row r="13" spans="1:19">
      <c r="A13">
        <v>3.2</v>
      </c>
      <c r="B13" s="1">
        <v>45107</v>
      </c>
      <c r="C13">
        <v>9</v>
      </c>
      <c r="D13">
        <v>10.65</v>
      </c>
      <c r="K13">
        <f t="shared" si="0"/>
        <v>8</v>
      </c>
      <c r="L13">
        <f t="shared" si="2"/>
        <v>9.65</v>
      </c>
      <c r="S13">
        <f t="shared" si="1"/>
        <v>4.4124999999999996</v>
      </c>
    </row>
    <row r="14" spans="1:19" s="4" customFormat="1">
      <c r="A14" s="4">
        <v>1.1000000000000001</v>
      </c>
      <c r="B14" s="13">
        <v>45111</v>
      </c>
      <c r="C14" s="4">
        <v>11.72</v>
      </c>
      <c r="D14" s="4">
        <v>13.5</v>
      </c>
      <c r="E14" s="4">
        <v>11.6</v>
      </c>
      <c r="F14" s="4">
        <v>3.3</v>
      </c>
      <c r="G14" s="4">
        <v>12.25</v>
      </c>
      <c r="K14" s="4">
        <f t="shared" si="0"/>
        <v>10.72</v>
      </c>
      <c r="L14" s="4">
        <f t="shared" si="2"/>
        <v>12.5</v>
      </c>
      <c r="M14" s="4">
        <f t="shared" si="3"/>
        <v>10.6</v>
      </c>
      <c r="N14" s="4">
        <f t="shared" si="4"/>
        <v>2.2999999999999998</v>
      </c>
      <c r="O14" s="4">
        <f t="shared" si="5"/>
        <v>11.25</v>
      </c>
      <c r="S14" s="4">
        <f t="shared" si="1"/>
        <v>11.842499999999999</v>
      </c>
    </row>
    <row r="15" spans="1:19">
      <c r="A15">
        <v>1.2</v>
      </c>
      <c r="B15" s="1">
        <v>45111</v>
      </c>
      <c r="C15">
        <v>13.5</v>
      </c>
      <c r="D15">
        <v>15.25</v>
      </c>
      <c r="E15">
        <v>13.15</v>
      </c>
      <c r="F15">
        <v>16</v>
      </c>
      <c r="G15">
        <v>13.95</v>
      </c>
      <c r="H15">
        <v>12.05</v>
      </c>
      <c r="K15">
        <f t="shared" si="0"/>
        <v>12.5</v>
      </c>
      <c r="L15">
        <f t="shared" si="2"/>
        <v>14.25</v>
      </c>
      <c r="M15">
        <f t="shared" si="3"/>
        <v>12.15</v>
      </c>
      <c r="N15">
        <f t="shared" si="4"/>
        <v>15</v>
      </c>
      <c r="O15">
        <f t="shared" si="5"/>
        <v>12.95</v>
      </c>
      <c r="P15">
        <f>H15-1</f>
        <v>11.05</v>
      </c>
      <c r="S15">
        <f t="shared" si="1"/>
        <v>19.474999999999998</v>
      </c>
    </row>
    <row r="16" spans="1:19">
      <c r="A16">
        <v>2.1</v>
      </c>
      <c r="B16" s="1">
        <v>45111</v>
      </c>
      <c r="C16">
        <v>11.1</v>
      </c>
      <c r="D16">
        <v>13.55</v>
      </c>
      <c r="E16">
        <v>13.05</v>
      </c>
      <c r="F16">
        <v>7.15</v>
      </c>
      <c r="G16">
        <v>13.25</v>
      </c>
      <c r="K16">
        <f t="shared" si="0"/>
        <v>10.1</v>
      </c>
      <c r="L16">
        <f t="shared" si="2"/>
        <v>12.55</v>
      </c>
      <c r="M16">
        <f t="shared" si="3"/>
        <v>12.05</v>
      </c>
      <c r="N16">
        <f t="shared" si="4"/>
        <v>6.15</v>
      </c>
      <c r="O16">
        <f t="shared" si="5"/>
        <v>12.25</v>
      </c>
      <c r="S16">
        <f t="shared" si="1"/>
        <v>13.275</v>
      </c>
    </row>
    <row r="17" spans="1:19">
      <c r="A17">
        <v>2.2000000000000002</v>
      </c>
      <c r="B17" s="1">
        <v>45111</v>
      </c>
      <c r="C17">
        <v>12.34</v>
      </c>
      <c r="D17">
        <v>15.06</v>
      </c>
      <c r="E17">
        <v>11.5</v>
      </c>
      <c r="F17">
        <v>14.8</v>
      </c>
      <c r="G17">
        <v>14.62</v>
      </c>
      <c r="K17">
        <f t="shared" si="0"/>
        <v>11.34</v>
      </c>
      <c r="L17">
        <f t="shared" si="2"/>
        <v>14.06</v>
      </c>
      <c r="M17">
        <f t="shared" si="3"/>
        <v>10.5</v>
      </c>
      <c r="N17">
        <f t="shared" si="4"/>
        <v>13.8</v>
      </c>
      <c r="O17">
        <f t="shared" si="5"/>
        <v>13.62</v>
      </c>
      <c r="S17">
        <f t="shared" si="1"/>
        <v>15.83</v>
      </c>
    </row>
    <row r="18" spans="1:19">
      <c r="A18">
        <v>3.1</v>
      </c>
      <c r="B18" s="1">
        <v>45111</v>
      </c>
      <c r="C18">
        <v>10.24</v>
      </c>
      <c r="D18">
        <v>9.98</v>
      </c>
      <c r="E18">
        <v>14.6</v>
      </c>
      <c r="F18">
        <v>11.3</v>
      </c>
      <c r="G18">
        <v>12.38</v>
      </c>
      <c r="H18">
        <v>7.08</v>
      </c>
      <c r="K18">
        <f t="shared" si="0"/>
        <v>9.24</v>
      </c>
      <c r="L18">
        <f t="shared" si="2"/>
        <v>8.98</v>
      </c>
      <c r="M18">
        <f t="shared" si="3"/>
        <v>13.6</v>
      </c>
      <c r="N18">
        <f t="shared" si="4"/>
        <v>10.3</v>
      </c>
      <c r="O18">
        <f t="shared" si="5"/>
        <v>11.38</v>
      </c>
      <c r="P18">
        <f>H18-1</f>
        <v>6.08</v>
      </c>
      <c r="S18">
        <f t="shared" si="1"/>
        <v>14.895000000000001</v>
      </c>
    </row>
    <row r="19" spans="1:19">
      <c r="A19">
        <v>3.2</v>
      </c>
      <c r="B19" s="1">
        <v>45111</v>
      </c>
      <c r="C19">
        <v>11.7</v>
      </c>
      <c r="D19">
        <v>9.6199999999999992</v>
      </c>
      <c r="E19">
        <v>13.6</v>
      </c>
      <c r="F19">
        <v>9.8000000000000007</v>
      </c>
      <c r="G19">
        <v>10.4</v>
      </c>
      <c r="H19">
        <v>13.5</v>
      </c>
      <c r="K19">
        <f t="shared" si="0"/>
        <v>10.7</v>
      </c>
      <c r="L19">
        <f t="shared" si="2"/>
        <v>8.6199999999999992</v>
      </c>
      <c r="M19">
        <f t="shared" si="3"/>
        <v>12.6</v>
      </c>
      <c r="N19">
        <f t="shared" si="4"/>
        <v>8.8000000000000007</v>
      </c>
      <c r="O19">
        <f t="shared" si="5"/>
        <v>9.4</v>
      </c>
      <c r="P19">
        <f>H19-1</f>
        <v>12.5</v>
      </c>
      <c r="S19">
        <f t="shared" si="1"/>
        <v>15.654999999999999</v>
      </c>
    </row>
    <row r="20" spans="1:19" s="4" customFormat="1">
      <c r="A20" s="4">
        <v>1.1000000000000001</v>
      </c>
      <c r="B20" s="13">
        <v>45114</v>
      </c>
      <c r="C20" s="4">
        <v>12.8</v>
      </c>
      <c r="D20" s="4">
        <v>13.8</v>
      </c>
      <c r="E20" s="4">
        <v>13.35</v>
      </c>
      <c r="F20" s="4">
        <v>12.3</v>
      </c>
      <c r="G20" s="4">
        <v>8.15</v>
      </c>
      <c r="H20" s="4">
        <v>11.45</v>
      </c>
      <c r="K20" s="4">
        <f t="shared" si="0"/>
        <v>11.8</v>
      </c>
      <c r="L20" s="4">
        <f t="shared" si="2"/>
        <v>12.8</v>
      </c>
      <c r="M20" s="4">
        <f t="shared" si="3"/>
        <v>12.35</v>
      </c>
      <c r="N20" s="4">
        <f t="shared" si="4"/>
        <v>11.3</v>
      </c>
      <c r="O20" s="4">
        <f t="shared" si="5"/>
        <v>7.15</v>
      </c>
      <c r="P20" s="4">
        <f>H20-1</f>
        <v>10.45</v>
      </c>
      <c r="S20" s="4">
        <f t="shared" si="1"/>
        <v>16.462499999999999</v>
      </c>
    </row>
    <row r="21" spans="1:19">
      <c r="A21">
        <v>1.2</v>
      </c>
      <c r="B21" s="1">
        <v>45114</v>
      </c>
      <c r="C21">
        <v>10.199999999999999</v>
      </c>
      <c r="D21">
        <v>11.8</v>
      </c>
      <c r="E21">
        <v>11.5</v>
      </c>
      <c r="F21">
        <v>5.85</v>
      </c>
      <c r="K21">
        <f t="shared" si="0"/>
        <v>9.1999999999999993</v>
      </c>
      <c r="L21">
        <f t="shared" si="2"/>
        <v>10.8</v>
      </c>
      <c r="M21">
        <f t="shared" si="3"/>
        <v>10.5</v>
      </c>
      <c r="N21">
        <f t="shared" si="4"/>
        <v>4.8499999999999996</v>
      </c>
      <c r="S21">
        <f t="shared" si="1"/>
        <v>8.8375000000000004</v>
      </c>
    </row>
    <row r="22" spans="1:19">
      <c r="A22">
        <v>2.1</v>
      </c>
      <c r="B22" s="1">
        <v>45114</v>
      </c>
      <c r="C22">
        <v>13.3</v>
      </c>
      <c r="D22">
        <v>13.35</v>
      </c>
      <c r="E22">
        <v>14.1</v>
      </c>
      <c r="F22">
        <v>8.1999999999999993</v>
      </c>
      <c r="K22">
        <f t="shared" si="0"/>
        <v>12.3</v>
      </c>
      <c r="L22">
        <f t="shared" si="2"/>
        <v>12.35</v>
      </c>
      <c r="M22">
        <f t="shared" si="3"/>
        <v>13.1</v>
      </c>
      <c r="N22">
        <f t="shared" si="4"/>
        <v>7.1999999999999993</v>
      </c>
      <c r="S22">
        <f t="shared" si="1"/>
        <v>11.237500000000001</v>
      </c>
    </row>
    <row r="23" spans="1:19">
      <c r="A23">
        <v>2.2000000000000002</v>
      </c>
      <c r="B23" s="1">
        <v>45114</v>
      </c>
      <c r="C23">
        <v>10.35</v>
      </c>
      <c r="D23">
        <v>13.65</v>
      </c>
      <c r="K23">
        <f t="shared" si="0"/>
        <v>9.35</v>
      </c>
      <c r="L23">
        <f t="shared" si="2"/>
        <v>12.65</v>
      </c>
      <c r="S23">
        <f t="shared" si="1"/>
        <v>5.5</v>
      </c>
    </row>
    <row r="24" spans="1:19">
      <c r="A24">
        <v>3.1</v>
      </c>
      <c r="B24" s="1">
        <v>45114</v>
      </c>
      <c r="C24">
        <v>13.85</v>
      </c>
      <c r="D24">
        <v>13.5</v>
      </c>
      <c r="K24">
        <f t="shared" si="0"/>
        <v>12.85</v>
      </c>
      <c r="L24">
        <f t="shared" si="2"/>
        <v>12.5</v>
      </c>
      <c r="S24">
        <f t="shared" si="1"/>
        <v>6.3375000000000004</v>
      </c>
    </row>
    <row r="25" spans="1:19">
      <c r="A25">
        <v>3.2</v>
      </c>
      <c r="B25" s="1">
        <v>45114</v>
      </c>
      <c r="C25">
        <v>13.75</v>
      </c>
      <c r="D25">
        <v>12.65</v>
      </c>
      <c r="E25">
        <v>13.45</v>
      </c>
      <c r="F25">
        <v>13.1</v>
      </c>
      <c r="G25">
        <v>11.65</v>
      </c>
      <c r="H25">
        <v>9.1</v>
      </c>
      <c r="K25">
        <f t="shared" si="0"/>
        <v>12.75</v>
      </c>
      <c r="L25">
        <f t="shared" si="2"/>
        <v>11.65</v>
      </c>
      <c r="M25">
        <f t="shared" si="3"/>
        <v>12.45</v>
      </c>
      <c r="N25">
        <f t="shared" si="4"/>
        <v>12.1</v>
      </c>
      <c r="O25">
        <f t="shared" si="5"/>
        <v>10.65</v>
      </c>
      <c r="P25">
        <f>H25-1</f>
        <v>8.1</v>
      </c>
      <c r="S25">
        <f t="shared" si="1"/>
        <v>16.924999999999997</v>
      </c>
    </row>
    <row r="26" spans="1:19" s="4" customFormat="1">
      <c r="A26" s="4">
        <v>1.1000000000000001</v>
      </c>
      <c r="B26" s="13">
        <v>45118</v>
      </c>
      <c r="C26" s="4">
        <v>7.3</v>
      </c>
      <c r="K26" s="4">
        <f t="shared" si="0"/>
        <v>6.3</v>
      </c>
      <c r="S26" s="4">
        <f t="shared" si="1"/>
        <v>1.575</v>
      </c>
    </row>
    <row r="27" spans="1:19">
      <c r="A27">
        <v>1.2</v>
      </c>
      <c r="B27" s="1">
        <v>45118</v>
      </c>
      <c r="C27">
        <v>7.9</v>
      </c>
      <c r="D27">
        <v>5.25</v>
      </c>
      <c r="E27">
        <v>8</v>
      </c>
      <c r="F27">
        <v>3.3</v>
      </c>
      <c r="K27">
        <f t="shared" si="0"/>
        <v>6.9</v>
      </c>
      <c r="L27">
        <f t="shared" si="2"/>
        <v>4.25</v>
      </c>
      <c r="M27">
        <f t="shared" si="3"/>
        <v>7</v>
      </c>
      <c r="N27">
        <f t="shared" si="4"/>
        <v>2.2999999999999998</v>
      </c>
      <c r="S27">
        <f t="shared" si="1"/>
        <v>5.1124999999999998</v>
      </c>
    </row>
    <row r="28" spans="1:19">
      <c r="A28">
        <v>2.1</v>
      </c>
      <c r="B28" s="1">
        <v>45118</v>
      </c>
      <c r="C28">
        <v>12.16</v>
      </c>
      <c r="D28">
        <v>10</v>
      </c>
      <c r="E28">
        <v>6.85</v>
      </c>
      <c r="K28">
        <f t="shared" si="0"/>
        <v>11.16</v>
      </c>
      <c r="L28">
        <f t="shared" si="2"/>
        <v>9</v>
      </c>
      <c r="M28">
        <f t="shared" si="3"/>
        <v>5.85</v>
      </c>
      <c r="S28">
        <f t="shared" si="1"/>
        <v>6.5024999999999995</v>
      </c>
    </row>
    <row r="29" spans="1:19">
      <c r="A29">
        <v>2.2000000000000002</v>
      </c>
      <c r="B29" s="1">
        <v>45118</v>
      </c>
      <c r="C29">
        <v>3.75</v>
      </c>
      <c r="D29">
        <v>6.05</v>
      </c>
      <c r="K29">
        <f t="shared" si="0"/>
        <v>2.75</v>
      </c>
      <c r="L29">
        <f t="shared" si="2"/>
        <v>5.05</v>
      </c>
      <c r="S29">
        <f t="shared" si="1"/>
        <v>1.95</v>
      </c>
    </row>
    <row r="30" spans="1:19">
      <c r="A30">
        <v>3.1</v>
      </c>
      <c r="B30" s="1">
        <v>45118</v>
      </c>
      <c r="C30">
        <v>6.35</v>
      </c>
      <c r="K30">
        <f t="shared" si="0"/>
        <v>5.35</v>
      </c>
      <c r="S30">
        <f t="shared" si="1"/>
        <v>1.3374999999999999</v>
      </c>
    </row>
    <row r="31" spans="1:19">
      <c r="A31">
        <v>3.2</v>
      </c>
      <c r="B31" s="1">
        <v>45118</v>
      </c>
      <c r="C31">
        <v>7.8</v>
      </c>
      <c r="D31">
        <v>7.8</v>
      </c>
      <c r="E31">
        <v>5.7</v>
      </c>
      <c r="K31">
        <f t="shared" si="0"/>
        <v>6.8</v>
      </c>
      <c r="L31">
        <f t="shared" si="2"/>
        <v>6.8</v>
      </c>
      <c r="M31">
        <f t="shared" si="3"/>
        <v>4.7</v>
      </c>
      <c r="S31">
        <f t="shared" si="1"/>
        <v>4.5750000000000002</v>
      </c>
    </row>
    <row r="33" spans="1:20">
      <c r="A33">
        <v>1.1000000000000001</v>
      </c>
      <c r="B33" t="s">
        <v>27</v>
      </c>
      <c r="S33" s="5">
        <f t="shared" ref="S33:S38" si="6">SUM(S2+S8+S14+S20+S26)</f>
        <v>37.905000000000001</v>
      </c>
      <c r="T33">
        <f>AVERAGE(S2,S8,S14,S20,S26)</f>
        <v>7.5810000000000004</v>
      </c>
    </row>
    <row r="34" spans="1:20">
      <c r="A34">
        <v>1.2</v>
      </c>
      <c r="B34" t="s">
        <v>27</v>
      </c>
      <c r="S34" s="5">
        <f t="shared" si="6"/>
        <v>50.29999999999999</v>
      </c>
      <c r="T34">
        <f t="shared" ref="T34:T38" si="7">AVERAGE(S3,S9,S15,S21,S27)</f>
        <v>10.059999999999999</v>
      </c>
    </row>
    <row r="35" spans="1:20">
      <c r="A35">
        <v>2.1</v>
      </c>
      <c r="B35" t="s">
        <v>27</v>
      </c>
      <c r="S35" s="5">
        <f t="shared" si="6"/>
        <v>41.784999999999997</v>
      </c>
      <c r="T35">
        <f t="shared" si="7"/>
        <v>8.3569999999999993</v>
      </c>
    </row>
    <row r="36" spans="1:20">
      <c r="A36">
        <v>2.2000000000000002</v>
      </c>
      <c r="B36" t="s">
        <v>27</v>
      </c>
      <c r="S36" s="5">
        <f t="shared" si="6"/>
        <v>42.980000000000004</v>
      </c>
      <c r="T36">
        <f t="shared" si="7"/>
        <v>8.5960000000000001</v>
      </c>
    </row>
    <row r="37" spans="1:20">
      <c r="A37">
        <v>3.1</v>
      </c>
      <c r="B37" t="s">
        <v>27</v>
      </c>
      <c r="S37" s="5">
        <f t="shared" si="6"/>
        <v>30.932499999999997</v>
      </c>
      <c r="T37">
        <f t="shared" si="7"/>
        <v>6.1864999999999997</v>
      </c>
    </row>
    <row r="38" spans="1:20">
      <c r="A38">
        <v>3.2</v>
      </c>
      <c r="B38" t="s">
        <v>27</v>
      </c>
      <c r="S38" s="5">
        <f t="shared" si="6"/>
        <v>43.567499999999995</v>
      </c>
      <c r="T38">
        <f t="shared" si="7"/>
        <v>8.7134999999999998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79"/>
  <sheetViews>
    <sheetView workbookViewId="0">
      <selection activeCell="L19" sqref="L19"/>
    </sheetView>
  </sheetViews>
  <sheetFormatPr defaultColWidth="11.42578125" defaultRowHeight="15"/>
  <cols>
    <col min="1" max="1" width="10.7109375" bestFit="1" customWidth="1"/>
    <col min="2" max="2" width="13.140625" bestFit="1" customWidth="1"/>
    <col min="3" max="3" width="10.28515625" bestFit="1" customWidth="1"/>
    <col min="4" max="4" width="8.7109375" bestFit="1" customWidth="1"/>
    <col min="6" max="6" width="7.28515625" bestFit="1" customWidth="1"/>
    <col min="7" max="7" width="9.140625" bestFit="1" customWidth="1"/>
    <col min="8" max="8" width="13" bestFit="1" customWidth="1"/>
    <col min="9" max="9" width="10.85546875" bestFit="1" customWidth="1"/>
  </cols>
  <sheetData>
    <row r="1" spans="1:25" ht="15.75">
      <c r="A1" s="14" t="s">
        <v>0</v>
      </c>
      <c r="B1" s="14" t="s">
        <v>20</v>
      </c>
      <c r="C1" s="14" t="s">
        <v>33</v>
      </c>
      <c r="D1" s="14" t="s">
        <v>34</v>
      </c>
      <c r="E1" s="14" t="s">
        <v>35</v>
      </c>
      <c r="F1" s="21" t="s">
        <v>36</v>
      </c>
      <c r="G1" s="22" t="s">
        <v>37</v>
      </c>
      <c r="H1" s="23" t="s">
        <v>38</v>
      </c>
      <c r="I1" s="23" t="s">
        <v>39</v>
      </c>
      <c r="M1" t="s">
        <v>34</v>
      </c>
      <c r="N1" t="s">
        <v>35</v>
      </c>
      <c r="O1" t="s">
        <v>36</v>
      </c>
      <c r="P1" t="s">
        <v>37</v>
      </c>
      <c r="Q1" t="s">
        <v>38</v>
      </c>
      <c r="R1" t="s">
        <v>39</v>
      </c>
    </row>
    <row r="2" spans="1:25">
      <c r="A2" s="1">
        <v>45104</v>
      </c>
      <c r="B2" s="16" t="s">
        <v>40</v>
      </c>
      <c r="C2">
        <v>29</v>
      </c>
      <c r="D2">
        <v>5059.5</v>
      </c>
      <c r="F2" s="5"/>
      <c r="G2" s="8"/>
      <c r="L2" t="s">
        <v>41</v>
      </c>
      <c r="M2" s="12">
        <v>171.64390000000003</v>
      </c>
      <c r="N2" s="12">
        <v>91.95</v>
      </c>
      <c r="O2" s="12">
        <v>0.52900000000000014</v>
      </c>
      <c r="P2" s="12">
        <v>11.635000000000002</v>
      </c>
      <c r="Q2" s="12">
        <v>69.306000000000012</v>
      </c>
      <c r="R2" s="12">
        <v>66.404499999999999</v>
      </c>
      <c r="T2" s="12">
        <v>3.4414651174857847</v>
      </c>
      <c r="U2" s="12">
        <v>2.1946759587926823</v>
      </c>
      <c r="V2" s="12">
        <v>9.4516312525050935E-3</v>
      </c>
      <c r="W2" s="12">
        <v>0.26480641211540978</v>
      </c>
      <c r="X2" s="12">
        <v>0.52632845355884084</v>
      </c>
      <c r="Y2" s="12">
        <v>0.59119088309649215</v>
      </c>
    </row>
    <row r="3" spans="1:25">
      <c r="A3" s="1">
        <v>45104</v>
      </c>
      <c r="B3" s="16" t="s">
        <v>40</v>
      </c>
      <c r="C3">
        <v>1</v>
      </c>
      <c r="D3">
        <v>183.35400000000001</v>
      </c>
      <c r="E3">
        <v>95</v>
      </c>
      <c r="F3" s="5">
        <v>0.54</v>
      </c>
      <c r="G3" s="8">
        <v>13.8</v>
      </c>
      <c r="H3" s="5">
        <v>71.84</v>
      </c>
      <c r="I3" s="5">
        <v>69.66</v>
      </c>
      <c r="L3" t="s">
        <v>41</v>
      </c>
      <c r="M3" s="12">
        <v>204.13142499999998</v>
      </c>
      <c r="N3" s="12">
        <v>88.575000000000003</v>
      </c>
      <c r="O3" s="12">
        <v>0.54300000000000004</v>
      </c>
      <c r="P3" s="12">
        <v>11.865000000000002</v>
      </c>
      <c r="Q3" s="12">
        <v>73.67600000000003</v>
      </c>
      <c r="R3" s="12">
        <v>70.062000000000012</v>
      </c>
      <c r="T3" s="12">
        <v>5.4080101628649393</v>
      </c>
      <c r="U3" s="12">
        <v>0.85025448679068583</v>
      </c>
      <c r="V3" s="12">
        <v>1.4867793449307824E-2</v>
      </c>
      <c r="W3" s="12">
        <v>0.13604062364621569</v>
      </c>
      <c r="X3" s="12">
        <v>0.75733149941092492</v>
      </c>
      <c r="Y3" s="12">
        <v>0.71795053754348159</v>
      </c>
    </row>
    <row r="4" spans="1:25">
      <c r="A4" s="1">
        <v>45104</v>
      </c>
      <c r="B4" s="16" t="s">
        <v>40</v>
      </c>
      <c r="C4">
        <v>2</v>
      </c>
      <c r="D4">
        <v>222.04300000000001</v>
      </c>
      <c r="E4">
        <v>98</v>
      </c>
      <c r="F4" s="5">
        <v>0.52</v>
      </c>
      <c r="G4" s="8">
        <v>12.9</v>
      </c>
      <c r="H4" s="5">
        <v>76.08</v>
      </c>
      <c r="I4" s="5">
        <v>72.63</v>
      </c>
      <c r="L4" t="s">
        <v>41</v>
      </c>
      <c r="M4" s="5">
        <v>160.35525000000001</v>
      </c>
      <c r="N4" s="5">
        <v>93.05</v>
      </c>
      <c r="O4" s="5">
        <v>0.46250000000000002</v>
      </c>
      <c r="P4" s="5">
        <v>11.3125</v>
      </c>
      <c r="Q4" s="5">
        <v>67.126999999999995</v>
      </c>
      <c r="R4" s="5">
        <v>62.572750000000006</v>
      </c>
      <c r="T4" s="5">
        <v>6.9031389180194243</v>
      </c>
      <c r="U4" s="5">
        <v>0.9309149070149022</v>
      </c>
      <c r="V4" s="5">
        <v>8.8632777406382601E-3</v>
      </c>
      <c r="W4" s="5">
        <v>0.30181475682262049</v>
      </c>
      <c r="X4" s="5">
        <v>0.96963793136856913</v>
      </c>
      <c r="Y4" s="5">
        <v>0.87556955730512187</v>
      </c>
    </row>
    <row r="5" spans="1:25">
      <c r="A5" s="1">
        <v>45104</v>
      </c>
      <c r="B5" s="16" t="s">
        <v>40</v>
      </c>
      <c r="C5">
        <v>3</v>
      </c>
      <c r="D5">
        <v>196.43299999999999</v>
      </c>
      <c r="E5">
        <v>98</v>
      </c>
      <c r="F5" s="5">
        <v>0.44</v>
      </c>
      <c r="G5" s="8">
        <v>16.399999999999999</v>
      </c>
      <c r="H5" s="5">
        <v>72.489999999999995</v>
      </c>
      <c r="I5" s="5">
        <v>70.34</v>
      </c>
      <c r="L5" t="s">
        <v>42</v>
      </c>
      <c r="M5" s="12">
        <v>203.04789999999991</v>
      </c>
      <c r="N5" s="12">
        <v>94.95</v>
      </c>
      <c r="O5" s="12">
        <v>0.58574999999999988</v>
      </c>
      <c r="P5" s="12">
        <v>11.715</v>
      </c>
      <c r="Q5" s="12">
        <v>72.666500000000013</v>
      </c>
      <c r="R5" s="12">
        <v>68.092750000000009</v>
      </c>
      <c r="T5" s="12">
        <v>6.3313789878829558</v>
      </c>
      <c r="U5" s="12">
        <v>0.62833724408767344</v>
      </c>
      <c r="V5" s="12">
        <v>1.6298055177354873E-2</v>
      </c>
      <c r="W5" s="12">
        <v>0.19243880146086106</v>
      </c>
      <c r="X5" s="12">
        <v>0.83698624119439224</v>
      </c>
      <c r="Y5" s="12">
        <v>1.075053009277408</v>
      </c>
    </row>
    <row r="6" spans="1:25">
      <c r="A6" s="1">
        <v>45104</v>
      </c>
      <c r="B6" s="16" t="s">
        <v>40</v>
      </c>
      <c r="C6">
        <v>4</v>
      </c>
      <c r="D6">
        <v>155.363</v>
      </c>
      <c r="E6">
        <v>89</v>
      </c>
      <c r="F6" s="5">
        <v>0.67</v>
      </c>
      <c r="G6" s="8">
        <v>13.5</v>
      </c>
      <c r="H6" s="5">
        <v>69.94</v>
      </c>
      <c r="I6" s="5">
        <v>58.88</v>
      </c>
      <c r="L6" t="s">
        <v>42</v>
      </c>
      <c r="M6" s="12">
        <v>196.69137499999997</v>
      </c>
      <c r="N6" s="12">
        <v>89.924999999999997</v>
      </c>
      <c r="O6" s="12">
        <v>0.55349999999999999</v>
      </c>
      <c r="P6" s="12">
        <v>11.6675</v>
      </c>
      <c r="Q6" s="12">
        <v>72.982500000000002</v>
      </c>
      <c r="R6" s="12">
        <v>68.8</v>
      </c>
      <c r="T6" s="12">
        <v>4.6619623973677928</v>
      </c>
      <c r="U6" s="12">
        <v>0.78722777142486788</v>
      </c>
      <c r="V6" s="12">
        <v>1.117202320817957E-2</v>
      </c>
      <c r="W6" s="12">
        <v>0.13883154799233749</v>
      </c>
      <c r="X6" s="12">
        <v>0.73264543056179432</v>
      </c>
      <c r="Y6" s="12">
        <v>0.59342800310719668</v>
      </c>
    </row>
    <row r="7" spans="1:25">
      <c r="A7" s="1">
        <v>45104</v>
      </c>
      <c r="B7" s="16" t="s">
        <v>40</v>
      </c>
      <c r="C7">
        <v>5</v>
      </c>
      <c r="D7">
        <v>196.053</v>
      </c>
      <c r="E7">
        <v>93</v>
      </c>
      <c r="F7" s="5">
        <v>0.45</v>
      </c>
      <c r="G7" s="8">
        <v>10.3</v>
      </c>
      <c r="H7" s="5">
        <v>72.48</v>
      </c>
      <c r="I7" s="5">
        <v>70.459999999999994</v>
      </c>
      <c r="L7" t="s">
        <v>42</v>
      </c>
      <c r="M7" s="5">
        <v>148.57675</v>
      </c>
      <c r="N7" s="5">
        <v>90.825000000000003</v>
      </c>
      <c r="O7" s="5">
        <v>0.43675000000000008</v>
      </c>
      <c r="P7" s="5">
        <v>11.239999999999998</v>
      </c>
      <c r="Q7" s="5">
        <v>66.031499999999994</v>
      </c>
      <c r="R7" s="5">
        <v>60.001750000000001</v>
      </c>
      <c r="T7" s="5">
        <v>6.4488625153578285</v>
      </c>
      <c r="U7" s="5">
        <v>2.2167449860850814</v>
      </c>
      <c r="V7" s="5">
        <v>1.1290951107992393E-2</v>
      </c>
      <c r="W7" s="5">
        <v>0.24188893403844972</v>
      </c>
      <c r="X7" s="5">
        <v>0.96800134760978462</v>
      </c>
      <c r="Y7" s="5">
        <v>1.0528243995777107</v>
      </c>
    </row>
    <row r="8" spans="1:25">
      <c r="A8" s="1">
        <v>45104</v>
      </c>
      <c r="B8" s="16" t="s">
        <v>40</v>
      </c>
      <c r="C8">
        <v>6</v>
      </c>
      <c r="D8">
        <v>146.39400000000001</v>
      </c>
      <c r="E8">
        <v>90</v>
      </c>
      <c r="F8" s="5">
        <v>0.52</v>
      </c>
      <c r="G8" s="8">
        <v>14.5</v>
      </c>
      <c r="H8" s="5">
        <v>65.91</v>
      </c>
      <c r="I8" s="5">
        <v>67.08</v>
      </c>
      <c r="L8" t="s">
        <v>43</v>
      </c>
      <c r="M8" s="12">
        <v>209.18190000000004</v>
      </c>
      <c r="N8" s="12">
        <v>97.125</v>
      </c>
      <c r="O8" s="12">
        <v>0.6057499999999999</v>
      </c>
      <c r="P8" s="12">
        <v>11.775000000000002</v>
      </c>
      <c r="Q8" s="12">
        <v>74.399500000000018</v>
      </c>
      <c r="R8" s="12">
        <v>71.116250000000008</v>
      </c>
      <c r="T8" s="12">
        <v>4.2941493648558557</v>
      </c>
      <c r="U8" s="12">
        <v>0.41785088126550479</v>
      </c>
      <c r="V8" s="12">
        <v>1.2162824296675489E-2</v>
      </c>
      <c r="W8" s="12">
        <v>0.10793813517770731</v>
      </c>
      <c r="X8" s="12">
        <v>0.64740546780482933</v>
      </c>
      <c r="Y8" s="12">
        <v>0.44276486893910932</v>
      </c>
    </row>
    <row r="9" spans="1:25">
      <c r="A9" s="1">
        <v>45104</v>
      </c>
      <c r="B9" s="16" t="s">
        <v>40</v>
      </c>
      <c r="C9">
        <v>7</v>
      </c>
      <c r="D9">
        <v>177.88200000000001</v>
      </c>
      <c r="E9">
        <v>98</v>
      </c>
      <c r="F9" s="5">
        <v>0.55000000000000004</v>
      </c>
      <c r="G9" s="8">
        <v>12.5</v>
      </c>
      <c r="H9" s="5">
        <v>69.42</v>
      </c>
      <c r="I9" s="5">
        <v>71.31</v>
      </c>
      <c r="L9" t="s">
        <v>43</v>
      </c>
      <c r="M9" s="12">
        <v>201.24565000000001</v>
      </c>
      <c r="N9" s="12">
        <v>92.85</v>
      </c>
      <c r="O9" s="12">
        <v>0.56249999999999978</v>
      </c>
      <c r="P9" s="12">
        <v>11.898500000000002</v>
      </c>
      <c r="Q9" s="12">
        <v>73.898749999999964</v>
      </c>
      <c r="R9" s="12">
        <v>70.143500000000003</v>
      </c>
      <c r="T9" s="12">
        <v>3.4515634988512223</v>
      </c>
      <c r="U9" s="12">
        <v>0.62792903404355471</v>
      </c>
      <c r="V9" s="12">
        <v>1.4870164587919028E-2</v>
      </c>
      <c r="W9" s="12">
        <v>0.13717738376053323</v>
      </c>
      <c r="X9" s="12">
        <v>0.47160095412954534</v>
      </c>
      <c r="Y9" s="12">
        <v>0.54506592755795646</v>
      </c>
    </row>
    <row r="10" spans="1:25">
      <c r="A10" s="1">
        <v>45104</v>
      </c>
      <c r="B10" s="16" t="s">
        <v>40</v>
      </c>
      <c r="C10">
        <v>8</v>
      </c>
      <c r="D10">
        <v>157.78899999999999</v>
      </c>
      <c r="E10">
        <v>93</v>
      </c>
      <c r="F10" s="5">
        <v>0.43</v>
      </c>
      <c r="G10" s="8">
        <v>12.2</v>
      </c>
      <c r="H10" s="5">
        <v>68.010000000000005</v>
      </c>
      <c r="I10" s="5">
        <v>64.5</v>
      </c>
      <c r="L10" t="s">
        <v>43</v>
      </c>
      <c r="M10" s="5">
        <v>144.27249999999998</v>
      </c>
      <c r="N10" s="5">
        <v>91.724999999999994</v>
      </c>
      <c r="O10" s="5">
        <v>0.46500000000000014</v>
      </c>
      <c r="P10" s="5">
        <v>10.702499999999999</v>
      </c>
      <c r="Q10" s="5">
        <v>64.765000000000001</v>
      </c>
      <c r="R10" s="5">
        <v>60.194250000000011</v>
      </c>
      <c r="T10" s="5">
        <v>7.7886957759965068</v>
      </c>
      <c r="U10" s="5">
        <v>1.0960228216789216</v>
      </c>
      <c r="V10" s="5">
        <v>1.0371311516105326E-2</v>
      </c>
      <c r="W10" s="5">
        <v>0.21666136581287274</v>
      </c>
      <c r="X10" s="5">
        <v>1.1924456123704519</v>
      </c>
      <c r="Y10" s="5">
        <v>0.97265008646743689</v>
      </c>
    </row>
    <row r="11" spans="1:25">
      <c r="A11" s="1">
        <v>45104</v>
      </c>
      <c r="B11" s="16" t="s">
        <v>40</v>
      </c>
      <c r="C11">
        <v>9</v>
      </c>
      <c r="D11">
        <v>151.505</v>
      </c>
      <c r="E11">
        <v>98</v>
      </c>
      <c r="F11" s="5">
        <v>0.44</v>
      </c>
      <c r="G11" s="8">
        <v>12.1</v>
      </c>
      <c r="H11" s="5">
        <v>64.55</v>
      </c>
      <c r="I11" s="5">
        <v>62.92</v>
      </c>
    </row>
    <row r="12" spans="1:25">
      <c r="A12" s="1">
        <v>45104</v>
      </c>
      <c r="B12" s="16" t="s">
        <v>40</v>
      </c>
      <c r="C12">
        <v>10</v>
      </c>
      <c r="D12">
        <v>195.684</v>
      </c>
      <c r="E12">
        <v>10</v>
      </c>
      <c r="F12" s="5">
        <v>0.46</v>
      </c>
      <c r="G12" s="8">
        <v>12.1</v>
      </c>
      <c r="H12" s="5">
        <v>71.900000000000006</v>
      </c>
      <c r="I12" s="5">
        <v>68.3</v>
      </c>
    </row>
    <row r="13" spans="1:25">
      <c r="A13" s="1">
        <v>45104</v>
      </c>
      <c r="B13" s="16" t="s">
        <v>40</v>
      </c>
      <c r="C13">
        <v>11</v>
      </c>
      <c r="D13">
        <v>180.25399999999999</v>
      </c>
      <c r="E13">
        <v>100</v>
      </c>
      <c r="F13" s="5">
        <v>0.47</v>
      </c>
      <c r="G13" s="8">
        <v>11.5</v>
      </c>
      <c r="H13" s="5">
        <v>69.760000000000005</v>
      </c>
      <c r="I13" s="5">
        <v>69.209999999999994</v>
      </c>
    </row>
    <row r="14" spans="1:25">
      <c r="A14" s="1">
        <v>45104</v>
      </c>
      <c r="B14" s="16" t="s">
        <v>40</v>
      </c>
      <c r="C14">
        <v>12</v>
      </c>
      <c r="D14">
        <v>154.70599999999999</v>
      </c>
      <c r="E14">
        <v>93</v>
      </c>
      <c r="F14" s="5">
        <v>0.51</v>
      </c>
      <c r="G14" s="8">
        <v>12.3</v>
      </c>
      <c r="H14" s="5">
        <v>66.34</v>
      </c>
      <c r="I14" s="5">
        <v>63.22</v>
      </c>
    </row>
    <row r="15" spans="1:25">
      <c r="A15" s="1">
        <v>45104</v>
      </c>
      <c r="B15" s="16" t="s">
        <v>40</v>
      </c>
      <c r="C15">
        <v>13</v>
      </c>
      <c r="D15">
        <v>137.036</v>
      </c>
      <c r="E15">
        <v>95</v>
      </c>
      <c r="F15" s="5">
        <v>0.52</v>
      </c>
      <c r="G15" s="8">
        <v>12.8</v>
      </c>
      <c r="H15" s="5">
        <v>62.7</v>
      </c>
      <c r="I15" s="5">
        <v>62.08</v>
      </c>
    </row>
    <row r="16" spans="1:25">
      <c r="A16" s="1">
        <v>45104</v>
      </c>
      <c r="B16" s="16" t="s">
        <v>40</v>
      </c>
      <c r="C16">
        <v>14</v>
      </c>
      <c r="D16">
        <v>159.74799999999999</v>
      </c>
      <c r="E16">
        <v>90</v>
      </c>
      <c r="F16" s="5">
        <v>0.53</v>
      </c>
      <c r="G16" s="8">
        <v>11.8</v>
      </c>
      <c r="H16" s="5">
        <v>67.37</v>
      </c>
      <c r="I16" s="5">
        <v>62.38</v>
      </c>
    </row>
    <row r="17" spans="1:9">
      <c r="A17" s="1">
        <v>45104</v>
      </c>
      <c r="B17" s="16" t="s">
        <v>40</v>
      </c>
      <c r="C17">
        <v>15</v>
      </c>
      <c r="D17">
        <v>178.40100000000001</v>
      </c>
      <c r="E17">
        <v>94</v>
      </c>
      <c r="F17" s="5">
        <v>0.53</v>
      </c>
      <c r="G17" s="8">
        <v>10.7</v>
      </c>
      <c r="H17" s="5">
        <v>71.010000000000005</v>
      </c>
      <c r="I17" s="5">
        <v>66.709999999999994</v>
      </c>
    </row>
    <row r="18" spans="1:9">
      <c r="A18" s="1">
        <v>45104</v>
      </c>
      <c r="B18" s="16" t="s">
        <v>40</v>
      </c>
      <c r="C18">
        <v>16</v>
      </c>
      <c r="D18">
        <v>207.44399999999999</v>
      </c>
      <c r="E18">
        <v>93</v>
      </c>
      <c r="F18" s="5">
        <v>0.62</v>
      </c>
      <c r="G18" s="8">
        <v>12.2</v>
      </c>
      <c r="H18" s="5">
        <v>72.84</v>
      </c>
      <c r="I18" s="5">
        <v>71.510000000000005</v>
      </c>
    </row>
    <row r="19" spans="1:9">
      <c r="A19" s="1">
        <v>45104</v>
      </c>
      <c r="B19" s="16" t="s">
        <v>40</v>
      </c>
      <c r="C19">
        <v>17</v>
      </c>
      <c r="D19">
        <v>158.48400000000001</v>
      </c>
      <c r="E19">
        <v>94</v>
      </c>
      <c r="F19" s="5">
        <v>0.54</v>
      </c>
      <c r="G19" s="8">
        <v>11.3</v>
      </c>
      <c r="H19" s="5">
        <v>66.89</v>
      </c>
      <c r="I19" s="5">
        <v>60.61</v>
      </c>
    </row>
    <row r="20" spans="1:9">
      <c r="A20" s="1">
        <v>45104</v>
      </c>
      <c r="B20" s="16" t="s">
        <v>40</v>
      </c>
      <c r="C20">
        <v>18</v>
      </c>
      <c r="D20">
        <v>157.78399999999999</v>
      </c>
      <c r="E20">
        <v>90</v>
      </c>
      <c r="F20" s="5">
        <v>0.5</v>
      </c>
      <c r="G20" s="8">
        <v>11.4</v>
      </c>
      <c r="H20" s="5">
        <v>67.33</v>
      </c>
      <c r="I20" s="5">
        <v>67.400000000000006</v>
      </c>
    </row>
    <row r="21" spans="1:9">
      <c r="A21" s="1">
        <v>45104</v>
      </c>
      <c r="B21" s="16" t="s">
        <v>40</v>
      </c>
      <c r="C21">
        <v>19</v>
      </c>
      <c r="D21">
        <v>216.80099999999999</v>
      </c>
      <c r="E21">
        <v>95</v>
      </c>
      <c r="F21" s="5">
        <v>0.49</v>
      </c>
      <c r="G21" s="8">
        <v>12.3</v>
      </c>
      <c r="H21" s="5">
        <v>77.25</v>
      </c>
      <c r="I21" s="5">
        <v>72.510000000000005</v>
      </c>
    </row>
    <row r="22" spans="1:9">
      <c r="A22" s="1">
        <v>45104</v>
      </c>
      <c r="B22" s="16" t="s">
        <v>40</v>
      </c>
      <c r="C22">
        <v>20</v>
      </c>
      <c r="D22">
        <v>184.52500000000001</v>
      </c>
      <c r="E22">
        <v>94</v>
      </c>
      <c r="F22" s="5">
        <v>0.51</v>
      </c>
      <c r="G22" s="8">
        <v>11.4</v>
      </c>
      <c r="H22" s="5">
        <v>70.540000000000006</v>
      </c>
      <c r="I22" s="5">
        <v>66.52</v>
      </c>
    </row>
    <row r="23" spans="1:9">
      <c r="A23" s="1">
        <v>45104</v>
      </c>
      <c r="B23" s="16" t="s">
        <v>44</v>
      </c>
      <c r="C23">
        <v>35</v>
      </c>
      <c r="D23">
        <v>6101</v>
      </c>
      <c r="F23" s="5"/>
      <c r="G23" s="8"/>
    </row>
    <row r="24" spans="1:9">
      <c r="A24" s="1">
        <v>45104</v>
      </c>
      <c r="B24" s="16" t="s">
        <v>44</v>
      </c>
      <c r="C24">
        <v>1</v>
      </c>
      <c r="D24">
        <v>150.07599999999999</v>
      </c>
      <c r="E24">
        <v>92</v>
      </c>
      <c r="F24" s="5">
        <v>0.52</v>
      </c>
      <c r="G24" s="8">
        <v>11.3</v>
      </c>
      <c r="H24" s="5">
        <v>65.069999999999993</v>
      </c>
      <c r="I24" s="5">
        <v>59.11</v>
      </c>
    </row>
    <row r="25" spans="1:9">
      <c r="A25" s="1">
        <v>45104</v>
      </c>
      <c r="B25" s="16" t="s">
        <v>44</v>
      </c>
      <c r="C25">
        <v>2</v>
      </c>
      <c r="D25">
        <v>176.58099999999999</v>
      </c>
      <c r="E25">
        <v>100</v>
      </c>
      <c r="F25" s="5">
        <v>0.51</v>
      </c>
      <c r="G25" s="8">
        <v>9.3000000000000007</v>
      </c>
      <c r="H25" s="5">
        <v>69.97</v>
      </c>
      <c r="I25" s="5">
        <v>67.709999999999994</v>
      </c>
    </row>
    <row r="26" spans="1:9">
      <c r="A26" s="1">
        <v>45104</v>
      </c>
      <c r="B26" s="16" t="s">
        <v>44</v>
      </c>
      <c r="C26">
        <v>3</v>
      </c>
      <c r="D26">
        <v>147.65899999999999</v>
      </c>
      <c r="E26">
        <v>86</v>
      </c>
      <c r="F26" s="5">
        <v>0.52</v>
      </c>
      <c r="G26" s="8">
        <v>11.7</v>
      </c>
      <c r="H26" s="5">
        <v>67.290000000000006</v>
      </c>
      <c r="I26" s="5">
        <v>62.64</v>
      </c>
    </row>
    <row r="27" spans="1:9">
      <c r="A27" s="1">
        <v>45104</v>
      </c>
      <c r="B27" s="16" t="s">
        <v>44</v>
      </c>
      <c r="C27">
        <v>4</v>
      </c>
      <c r="D27">
        <v>166.648</v>
      </c>
      <c r="E27">
        <v>100</v>
      </c>
      <c r="F27" s="5">
        <v>0.64</v>
      </c>
      <c r="G27" s="8">
        <v>5.8</v>
      </c>
      <c r="H27" s="5">
        <v>69.37</v>
      </c>
      <c r="I27" s="5">
        <v>65.099999999999994</v>
      </c>
    </row>
    <row r="28" spans="1:9">
      <c r="A28" s="1">
        <v>45104</v>
      </c>
      <c r="B28" s="16" t="s">
        <v>44</v>
      </c>
      <c r="C28">
        <v>5</v>
      </c>
      <c r="D28">
        <v>149.09800000000001</v>
      </c>
      <c r="E28">
        <v>88</v>
      </c>
      <c r="F28" s="5">
        <v>0.61</v>
      </c>
      <c r="G28" s="8">
        <v>12</v>
      </c>
      <c r="H28" s="5">
        <v>67.41</v>
      </c>
      <c r="I28" s="5">
        <v>61.46</v>
      </c>
    </row>
    <row r="29" spans="1:9">
      <c r="A29" s="1">
        <v>45104</v>
      </c>
      <c r="B29" s="16" t="s">
        <v>44</v>
      </c>
      <c r="C29">
        <v>6</v>
      </c>
      <c r="D29">
        <v>176.39400000000001</v>
      </c>
      <c r="E29">
        <v>88</v>
      </c>
      <c r="F29" s="5">
        <v>0.54</v>
      </c>
      <c r="G29" s="8">
        <v>10.1</v>
      </c>
      <c r="H29" s="5">
        <v>70.599999999999994</v>
      </c>
      <c r="I29" s="5">
        <v>68.680000000000007</v>
      </c>
    </row>
    <row r="30" spans="1:9">
      <c r="A30" s="1">
        <v>45104</v>
      </c>
      <c r="B30" s="16" t="s">
        <v>44</v>
      </c>
      <c r="C30">
        <v>7</v>
      </c>
      <c r="D30">
        <v>142.51499999999999</v>
      </c>
      <c r="E30">
        <v>92</v>
      </c>
      <c r="F30" s="5">
        <v>0.47</v>
      </c>
      <c r="G30" s="8">
        <v>12.2</v>
      </c>
      <c r="H30" s="5">
        <v>64.56</v>
      </c>
      <c r="I30" s="5">
        <v>62.17</v>
      </c>
    </row>
    <row r="31" spans="1:9">
      <c r="A31" s="1">
        <v>45104</v>
      </c>
      <c r="B31" s="16" t="s">
        <v>44</v>
      </c>
      <c r="C31">
        <v>8</v>
      </c>
      <c r="D31">
        <v>152.63200000000001</v>
      </c>
      <c r="E31">
        <v>86</v>
      </c>
      <c r="F31" s="5">
        <v>0.53</v>
      </c>
      <c r="G31" s="8">
        <v>10.1</v>
      </c>
      <c r="H31" s="5">
        <v>65.62</v>
      </c>
      <c r="I31" s="5">
        <v>63.64</v>
      </c>
    </row>
    <row r="32" spans="1:9">
      <c r="A32" s="1">
        <v>45104</v>
      </c>
      <c r="B32" s="16" t="s">
        <v>44</v>
      </c>
      <c r="C32">
        <v>9</v>
      </c>
      <c r="D32">
        <v>202.49100000000001</v>
      </c>
      <c r="E32">
        <v>100</v>
      </c>
      <c r="F32" s="5">
        <v>0.55000000000000004</v>
      </c>
      <c r="G32" s="8">
        <v>11.9</v>
      </c>
      <c r="H32" s="5">
        <v>74.069999999999993</v>
      </c>
      <c r="I32" s="5">
        <v>71.349999999999994</v>
      </c>
    </row>
    <row r="33" spans="1:9">
      <c r="A33" s="1">
        <v>45104</v>
      </c>
      <c r="B33" s="16" t="s">
        <v>44</v>
      </c>
      <c r="C33">
        <v>10</v>
      </c>
      <c r="D33">
        <v>149.03100000000001</v>
      </c>
      <c r="E33">
        <v>94</v>
      </c>
      <c r="F33" s="5">
        <v>0.53</v>
      </c>
      <c r="G33" s="8">
        <v>11.1</v>
      </c>
      <c r="H33" s="5">
        <v>64.97</v>
      </c>
      <c r="I33" s="5">
        <v>63.75</v>
      </c>
    </row>
    <row r="34" spans="1:9">
      <c r="A34" s="1">
        <v>45104</v>
      </c>
      <c r="B34" s="16" t="s">
        <v>44</v>
      </c>
      <c r="C34">
        <v>11</v>
      </c>
      <c r="D34">
        <v>167.85400000000001</v>
      </c>
      <c r="E34">
        <v>92</v>
      </c>
      <c r="F34" s="5">
        <v>0.54</v>
      </c>
      <c r="G34" s="8">
        <v>9.5</v>
      </c>
      <c r="H34" s="5">
        <v>69.38</v>
      </c>
      <c r="I34" s="5">
        <v>66.099999999999994</v>
      </c>
    </row>
    <row r="35" spans="1:9">
      <c r="A35" s="1">
        <v>45104</v>
      </c>
      <c r="B35" s="16" t="s">
        <v>44</v>
      </c>
      <c r="C35">
        <v>12</v>
      </c>
      <c r="D35">
        <v>147.56</v>
      </c>
      <c r="E35">
        <v>96</v>
      </c>
      <c r="F35" s="5">
        <v>0.54</v>
      </c>
      <c r="G35" s="8">
        <v>10.3</v>
      </c>
      <c r="H35" s="5">
        <v>65.680000000000007</v>
      </c>
      <c r="I35" s="5">
        <v>65.45</v>
      </c>
    </row>
    <row r="36" spans="1:9">
      <c r="A36" s="1">
        <v>45104</v>
      </c>
      <c r="B36" s="16" t="s">
        <v>44</v>
      </c>
      <c r="C36">
        <v>13</v>
      </c>
      <c r="D36">
        <v>187.59800000000001</v>
      </c>
      <c r="E36">
        <v>98</v>
      </c>
      <c r="F36" s="5">
        <v>0.66</v>
      </c>
      <c r="G36" s="8">
        <v>12.4</v>
      </c>
      <c r="H36" s="5">
        <v>73.63</v>
      </c>
      <c r="I36" s="5">
        <v>68.06</v>
      </c>
    </row>
    <row r="37" spans="1:9">
      <c r="A37" s="1">
        <v>45104</v>
      </c>
      <c r="B37" s="16" t="s">
        <v>44</v>
      </c>
      <c r="C37">
        <v>14</v>
      </c>
      <c r="D37">
        <v>180.124</v>
      </c>
      <c r="E37">
        <v>95</v>
      </c>
      <c r="F37" s="5">
        <v>0.6</v>
      </c>
      <c r="G37" s="8">
        <v>9.1999999999999993</v>
      </c>
      <c r="H37" s="5">
        <v>70.3</v>
      </c>
      <c r="I37" s="5">
        <v>67.19</v>
      </c>
    </row>
    <row r="38" spans="1:9">
      <c r="A38" s="1">
        <v>45104</v>
      </c>
      <c r="B38" s="16" t="s">
        <v>44</v>
      </c>
      <c r="C38">
        <v>15</v>
      </c>
      <c r="D38">
        <v>171.56100000000001</v>
      </c>
      <c r="E38">
        <v>96</v>
      </c>
      <c r="F38" s="5">
        <v>0.64</v>
      </c>
      <c r="G38" s="8">
        <v>12.7</v>
      </c>
      <c r="H38" s="5">
        <v>70.36</v>
      </c>
      <c r="I38" s="5">
        <v>64.3</v>
      </c>
    </row>
    <row r="39" spans="1:9">
      <c r="A39" s="1">
        <v>45104</v>
      </c>
      <c r="B39" s="16" t="s">
        <v>44</v>
      </c>
      <c r="C39">
        <v>16</v>
      </c>
      <c r="D39">
        <v>163.81899999999999</v>
      </c>
      <c r="E39">
        <v>100</v>
      </c>
      <c r="F39" s="5">
        <v>0.46</v>
      </c>
      <c r="G39" s="8">
        <v>11.7</v>
      </c>
      <c r="H39" s="5">
        <v>68.53</v>
      </c>
      <c r="I39" s="5">
        <v>67.64</v>
      </c>
    </row>
    <row r="40" spans="1:9">
      <c r="A40" s="1">
        <v>45104</v>
      </c>
      <c r="B40" s="16" t="s">
        <v>44</v>
      </c>
      <c r="C40">
        <v>17</v>
      </c>
      <c r="D40">
        <v>173.30699999999999</v>
      </c>
      <c r="E40">
        <v>92</v>
      </c>
      <c r="F40" s="5">
        <v>0.51</v>
      </c>
      <c r="G40" s="8">
        <v>11.6</v>
      </c>
      <c r="H40" s="5">
        <v>69.34</v>
      </c>
      <c r="I40" s="5">
        <v>67.78</v>
      </c>
    </row>
    <row r="41" spans="1:9">
      <c r="A41" s="1">
        <v>45104</v>
      </c>
      <c r="B41" s="16" t="s">
        <v>44</v>
      </c>
      <c r="C41">
        <v>18</v>
      </c>
      <c r="D41">
        <v>209.36699999999999</v>
      </c>
      <c r="E41">
        <v>98</v>
      </c>
      <c r="F41" s="5">
        <v>0.56000000000000005</v>
      </c>
      <c r="G41" s="8">
        <v>10.8</v>
      </c>
      <c r="H41" s="5">
        <v>74.55</v>
      </c>
      <c r="I41" s="5">
        <v>71.290000000000006</v>
      </c>
    </row>
    <row r="42" spans="1:9">
      <c r="A42" s="1">
        <v>45104</v>
      </c>
      <c r="B42" s="16" t="s">
        <v>44</v>
      </c>
      <c r="C42">
        <v>19</v>
      </c>
      <c r="D42">
        <v>174.846</v>
      </c>
      <c r="E42">
        <v>88</v>
      </c>
      <c r="F42" s="5">
        <v>0.48</v>
      </c>
      <c r="G42" s="8">
        <v>10.9</v>
      </c>
      <c r="H42" s="5">
        <v>69.349999999999994</v>
      </c>
      <c r="I42" s="5">
        <v>70.22</v>
      </c>
    </row>
    <row r="43" spans="1:9">
      <c r="A43" s="1">
        <v>45104</v>
      </c>
      <c r="B43" s="16" t="s">
        <v>44</v>
      </c>
      <c r="C43">
        <v>20</v>
      </c>
      <c r="D43">
        <v>158.91200000000001</v>
      </c>
      <c r="E43">
        <v>97</v>
      </c>
      <c r="F43" s="5">
        <v>0.51</v>
      </c>
      <c r="G43" s="8">
        <v>12.8</v>
      </c>
      <c r="H43" s="5">
        <v>67.540000000000006</v>
      </c>
      <c r="I43" s="5">
        <v>64.31</v>
      </c>
    </row>
    <row r="44" spans="1:9">
      <c r="A44" s="1">
        <v>45104</v>
      </c>
      <c r="B44" s="16" t="s">
        <v>45</v>
      </c>
      <c r="C44">
        <v>47</v>
      </c>
      <c r="D44">
        <v>9220</v>
      </c>
      <c r="F44" s="5"/>
      <c r="G44" s="8"/>
    </row>
    <row r="45" spans="1:9">
      <c r="A45" s="1">
        <v>45104</v>
      </c>
      <c r="B45" s="16" t="s">
        <v>45</v>
      </c>
      <c r="C45">
        <v>1</v>
      </c>
      <c r="D45">
        <v>181.76499999999999</v>
      </c>
      <c r="E45">
        <v>95</v>
      </c>
      <c r="F45" s="5">
        <v>0.66</v>
      </c>
      <c r="G45" s="8">
        <v>14.1</v>
      </c>
      <c r="H45" s="5">
        <v>69.06</v>
      </c>
      <c r="I45" s="5">
        <v>62.15</v>
      </c>
    </row>
    <row r="46" spans="1:9">
      <c r="A46" s="1">
        <v>45104</v>
      </c>
      <c r="B46" s="16" t="s">
        <v>45</v>
      </c>
      <c r="C46">
        <v>2</v>
      </c>
      <c r="D46">
        <v>196.36</v>
      </c>
      <c r="E46">
        <v>93</v>
      </c>
      <c r="F46" s="5">
        <v>0.66</v>
      </c>
      <c r="G46" s="8">
        <v>12.8</v>
      </c>
      <c r="H46" s="5">
        <v>75.7</v>
      </c>
      <c r="I46" s="5">
        <v>61.01</v>
      </c>
    </row>
    <row r="47" spans="1:9">
      <c r="A47" s="1">
        <v>45104</v>
      </c>
      <c r="B47" s="16" t="s">
        <v>45</v>
      </c>
      <c r="C47">
        <v>3</v>
      </c>
      <c r="D47">
        <v>181.49799999999999</v>
      </c>
      <c r="E47">
        <v>98</v>
      </c>
      <c r="F47" s="5">
        <v>0.71</v>
      </c>
      <c r="G47" s="8">
        <v>12.3</v>
      </c>
      <c r="H47" s="5">
        <v>69.8</v>
      </c>
      <c r="I47" s="5">
        <v>57.07</v>
      </c>
    </row>
    <row r="48" spans="1:9">
      <c r="A48" s="1">
        <v>45104</v>
      </c>
      <c r="B48" s="16" t="s">
        <v>45</v>
      </c>
      <c r="C48">
        <v>4</v>
      </c>
      <c r="D48">
        <v>175.196</v>
      </c>
      <c r="E48">
        <v>100</v>
      </c>
      <c r="F48" s="5">
        <v>0.57999999999999996</v>
      </c>
      <c r="G48" s="8">
        <v>12.1</v>
      </c>
      <c r="H48" s="5">
        <v>66.62</v>
      </c>
      <c r="I48">
        <v>60.18</v>
      </c>
    </row>
    <row r="49" spans="1:9">
      <c r="A49" s="1">
        <v>45104</v>
      </c>
      <c r="B49" s="16" t="s">
        <v>45</v>
      </c>
      <c r="C49">
        <v>5</v>
      </c>
      <c r="D49">
        <v>191.63200000000001</v>
      </c>
      <c r="E49">
        <v>97</v>
      </c>
      <c r="F49" s="5">
        <v>0.63</v>
      </c>
      <c r="G49" s="8">
        <v>11.2</v>
      </c>
      <c r="H49" s="5">
        <v>72.09</v>
      </c>
      <c r="I49" s="5">
        <v>57.13</v>
      </c>
    </row>
    <row r="50" spans="1:9">
      <c r="A50" s="1">
        <v>45104</v>
      </c>
      <c r="B50" s="16" t="s">
        <v>45</v>
      </c>
      <c r="C50">
        <v>6</v>
      </c>
      <c r="D50">
        <v>246.06800000000001</v>
      </c>
      <c r="E50">
        <v>97</v>
      </c>
      <c r="F50" s="5">
        <v>0.82</v>
      </c>
      <c r="G50" s="8">
        <v>10.7</v>
      </c>
      <c r="H50" s="5">
        <v>74.430000000000007</v>
      </c>
      <c r="I50" s="5">
        <v>73.11</v>
      </c>
    </row>
    <row r="51" spans="1:9">
      <c r="A51" s="1">
        <v>45104</v>
      </c>
      <c r="B51" s="16" t="s">
        <v>45</v>
      </c>
      <c r="C51">
        <v>7</v>
      </c>
      <c r="D51">
        <v>192.33600000000001</v>
      </c>
      <c r="E51">
        <v>93</v>
      </c>
      <c r="F51" s="5">
        <v>0.47</v>
      </c>
      <c r="G51" s="8">
        <v>12.6</v>
      </c>
      <c r="H51" s="5">
        <v>71.11</v>
      </c>
      <c r="I51" s="5">
        <v>60.75</v>
      </c>
    </row>
    <row r="52" spans="1:9">
      <c r="A52" s="1">
        <v>45104</v>
      </c>
      <c r="B52" s="16" t="s">
        <v>45</v>
      </c>
      <c r="C52">
        <v>8</v>
      </c>
      <c r="D52">
        <v>170.53200000000001</v>
      </c>
      <c r="E52">
        <v>98</v>
      </c>
      <c r="F52" s="5">
        <v>0.54</v>
      </c>
      <c r="G52" s="8">
        <v>9.6</v>
      </c>
      <c r="H52" s="5">
        <v>69.040000000000006</v>
      </c>
      <c r="I52" s="5">
        <v>67.08</v>
      </c>
    </row>
    <row r="53" spans="1:9">
      <c r="A53" s="1">
        <v>45104</v>
      </c>
      <c r="B53" s="16" t="s">
        <v>45</v>
      </c>
      <c r="C53">
        <v>9</v>
      </c>
      <c r="D53">
        <v>196.31299999999999</v>
      </c>
      <c r="E53">
        <v>94</v>
      </c>
      <c r="F53" s="5">
        <v>0.56999999999999995</v>
      </c>
      <c r="G53" s="8">
        <v>13.6</v>
      </c>
      <c r="H53" s="5">
        <v>73.88</v>
      </c>
      <c r="I53" s="5">
        <v>60.05</v>
      </c>
    </row>
    <row r="54" spans="1:9">
      <c r="A54" s="1">
        <v>45104</v>
      </c>
      <c r="B54" s="16" t="s">
        <v>45</v>
      </c>
      <c r="C54">
        <v>10</v>
      </c>
      <c r="D54">
        <v>189.58199999999999</v>
      </c>
      <c r="E54">
        <v>97</v>
      </c>
      <c r="F54" s="5">
        <v>0.63</v>
      </c>
      <c r="G54" s="8">
        <v>12.9</v>
      </c>
      <c r="H54" s="5">
        <v>69.569999999999993</v>
      </c>
      <c r="I54" s="5">
        <v>72.67</v>
      </c>
    </row>
    <row r="55" spans="1:9">
      <c r="A55" s="1">
        <v>45104</v>
      </c>
      <c r="B55" s="16" t="s">
        <v>45</v>
      </c>
      <c r="C55">
        <v>11</v>
      </c>
      <c r="D55">
        <v>199.41</v>
      </c>
      <c r="E55">
        <v>96</v>
      </c>
      <c r="F55" s="5">
        <v>0.73</v>
      </c>
      <c r="G55" s="8">
        <v>12.6</v>
      </c>
      <c r="H55" s="5">
        <v>70.78</v>
      </c>
      <c r="I55" s="5">
        <v>64.900000000000006</v>
      </c>
    </row>
    <row r="56" spans="1:9">
      <c r="A56" s="1">
        <v>45104</v>
      </c>
      <c r="B56" s="16" t="s">
        <v>45</v>
      </c>
      <c r="C56">
        <v>12</v>
      </c>
      <c r="D56">
        <v>197.02</v>
      </c>
      <c r="E56">
        <v>94</v>
      </c>
      <c r="F56" s="5">
        <v>0.54</v>
      </c>
      <c r="G56" s="8">
        <v>12.1</v>
      </c>
      <c r="H56" s="5">
        <v>71.61</v>
      </c>
      <c r="I56" s="5">
        <v>61.58</v>
      </c>
    </row>
    <row r="57" spans="1:9">
      <c r="A57" s="1">
        <v>45104</v>
      </c>
      <c r="B57" s="16" t="s">
        <v>45</v>
      </c>
      <c r="C57">
        <v>13</v>
      </c>
      <c r="D57">
        <v>150.80099999999999</v>
      </c>
      <c r="E57">
        <v>87</v>
      </c>
      <c r="F57" s="5">
        <v>0.53</v>
      </c>
      <c r="G57" s="8">
        <v>11.9</v>
      </c>
      <c r="H57" s="5">
        <v>64.06</v>
      </c>
      <c r="I57" s="5">
        <v>55.49</v>
      </c>
    </row>
    <row r="58" spans="1:9">
      <c r="A58" s="1">
        <v>45104</v>
      </c>
      <c r="B58" s="16" t="s">
        <v>45</v>
      </c>
      <c r="C58">
        <v>14</v>
      </c>
      <c r="D58">
        <v>196.43299999999999</v>
      </c>
      <c r="E58">
        <v>93</v>
      </c>
      <c r="F58" s="5">
        <v>0.64</v>
      </c>
      <c r="G58" s="8">
        <v>10.7</v>
      </c>
      <c r="H58" s="5">
        <v>70.36</v>
      </c>
      <c r="I58" s="5">
        <v>69.78</v>
      </c>
    </row>
    <row r="59" spans="1:9">
      <c r="A59" s="1">
        <v>45104</v>
      </c>
      <c r="B59" s="16" t="s">
        <v>45</v>
      </c>
      <c r="C59">
        <v>15</v>
      </c>
      <c r="D59">
        <v>202.822</v>
      </c>
      <c r="E59">
        <v>89</v>
      </c>
      <c r="F59" s="5">
        <v>0.79</v>
      </c>
      <c r="G59" s="8">
        <v>7</v>
      </c>
      <c r="H59" s="5">
        <v>64.19</v>
      </c>
      <c r="I59" s="5">
        <v>70.319999999999993</v>
      </c>
    </row>
    <row r="60" spans="1:9">
      <c r="A60" s="1">
        <v>45104</v>
      </c>
      <c r="B60" s="16" t="s">
        <v>45</v>
      </c>
      <c r="C60">
        <v>16</v>
      </c>
      <c r="D60">
        <v>237.41200000000001</v>
      </c>
      <c r="E60">
        <v>83</v>
      </c>
      <c r="F60" s="5">
        <v>0.61</v>
      </c>
      <c r="G60" s="8">
        <v>11.6</v>
      </c>
      <c r="H60" s="5">
        <v>72.400000000000006</v>
      </c>
      <c r="I60" s="5">
        <v>69.23</v>
      </c>
    </row>
    <row r="61" spans="1:9">
      <c r="A61" s="1">
        <v>45104</v>
      </c>
      <c r="B61" s="16" t="s">
        <v>45</v>
      </c>
      <c r="C61">
        <v>17</v>
      </c>
      <c r="D61">
        <v>106.7</v>
      </c>
      <c r="E61">
        <v>96</v>
      </c>
      <c r="F61" s="5">
        <v>0.72</v>
      </c>
      <c r="G61" s="8">
        <v>13.3</v>
      </c>
      <c r="H61" s="5">
        <v>68.849999999999994</v>
      </c>
      <c r="I61" s="5">
        <v>64.38</v>
      </c>
    </row>
    <row r="62" spans="1:9">
      <c r="A62" s="1">
        <v>45104</v>
      </c>
      <c r="B62" s="16" t="s">
        <v>45</v>
      </c>
      <c r="C62">
        <v>18</v>
      </c>
      <c r="D62">
        <v>186.27699999999999</v>
      </c>
      <c r="E62">
        <v>93</v>
      </c>
      <c r="F62" s="5">
        <v>0.65</v>
      </c>
      <c r="G62" s="8">
        <v>13.2</v>
      </c>
      <c r="H62" s="5">
        <v>67.239999999999995</v>
      </c>
      <c r="I62" s="5">
        <v>67.430000000000007</v>
      </c>
    </row>
    <row r="63" spans="1:9">
      <c r="A63" s="1">
        <v>45104</v>
      </c>
      <c r="B63" s="16" t="s">
        <v>45</v>
      </c>
      <c r="C63">
        <v>19</v>
      </c>
      <c r="D63">
        <v>186.04400000000001</v>
      </c>
      <c r="E63">
        <v>94</v>
      </c>
      <c r="F63" s="5">
        <v>0.59</v>
      </c>
      <c r="G63" s="8">
        <v>11.4</v>
      </c>
      <c r="H63" s="5">
        <v>71.930000000000007</v>
      </c>
      <c r="I63" s="5">
        <v>60.28</v>
      </c>
    </row>
    <row r="64" spans="1:9">
      <c r="A64" s="1">
        <v>45104</v>
      </c>
      <c r="B64" s="16" t="s">
        <v>45</v>
      </c>
      <c r="C64">
        <v>20</v>
      </c>
      <c r="D64">
        <v>193.75399999999999</v>
      </c>
      <c r="E64">
        <v>97</v>
      </c>
      <c r="F64" s="5">
        <v>0.52</v>
      </c>
      <c r="G64" s="8">
        <v>12.7</v>
      </c>
      <c r="H64" s="5">
        <v>70.650000000000006</v>
      </c>
      <c r="I64" s="5">
        <v>68.48</v>
      </c>
    </row>
    <row r="65" spans="1:9">
      <c r="A65" s="1">
        <v>45104</v>
      </c>
      <c r="B65" s="16" t="s">
        <v>46</v>
      </c>
      <c r="C65">
        <v>41</v>
      </c>
      <c r="D65">
        <v>8602</v>
      </c>
      <c r="F65" s="5"/>
      <c r="G65" s="8"/>
    </row>
    <row r="66" spans="1:9">
      <c r="A66" s="1">
        <v>45104</v>
      </c>
      <c r="B66" s="16" t="s">
        <v>46</v>
      </c>
      <c r="C66">
        <v>1</v>
      </c>
      <c r="D66">
        <v>199.89099999999999</v>
      </c>
      <c r="E66">
        <v>97</v>
      </c>
      <c r="F66" s="5">
        <v>0.6</v>
      </c>
      <c r="G66" s="8">
        <v>12.9</v>
      </c>
      <c r="H66" s="5">
        <v>72.52</v>
      </c>
      <c r="I66" s="5">
        <v>71.459999999999994</v>
      </c>
    </row>
    <row r="67" spans="1:9">
      <c r="A67" s="1">
        <v>45104</v>
      </c>
      <c r="B67" s="16" t="s">
        <v>46</v>
      </c>
      <c r="C67">
        <v>2</v>
      </c>
      <c r="D67">
        <v>216.27799999999999</v>
      </c>
      <c r="E67">
        <v>100</v>
      </c>
      <c r="F67" s="5">
        <v>0.41</v>
      </c>
      <c r="G67" s="8">
        <v>12.2</v>
      </c>
      <c r="H67" s="5">
        <v>79.7</v>
      </c>
      <c r="I67" s="5">
        <v>69.819999999999993</v>
      </c>
    </row>
    <row r="68" spans="1:9">
      <c r="A68" s="1">
        <v>45104</v>
      </c>
      <c r="B68" s="16" t="s">
        <v>46</v>
      </c>
      <c r="C68">
        <v>3</v>
      </c>
      <c r="D68">
        <v>186.37299999999999</v>
      </c>
      <c r="E68">
        <v>100</v>
      </c>
      <c r="F68" s="5">
        <v>0.59</v>
      </c>
      <c r="G68" s="8">
        <v>11.2</v>
      </c>
      <c r="H68" s="5">
        <v>69.680000000000007</v>
      </c>
      <c r="I68" s="5">
        <v>65.39</v>
      </c>
    </row>
    <row r="69" spans="1:9">
      <c r="A69" s="1">
        <v>45104</v>
      </c>
      <c r="B69" s="16" t="s">
        <v>46</v>
      </c>
      <c r="C69">
        <v>4</v>
      </c>
      <c r="D69">
        <v>168.41300000000001</v>
      </c>
      <c r="E69">
        <v>94</v>
      </c>
      <c r="F69" s="5">
        <v>0.53</v>
      </c>
      <c r="G69" s="8">
        <v>11.3</v>
      </c>
      <c r="H69" s="5">
        <v>70.010000000000005</v>
      </c>
      <c r="I69" s="5">
        <v>66.98</v>
      </c>
    </row>
    <row r="70" spans="1:9">
      <c r="A70" s="1">
        <v>45104</v>
      </c>
      <c r="B70" s="16" t="s">
        <v>46</v>
      </c>
      <c r="C70">
        <v>5</v>
      </c>
      <c r="D70">
        <v>263.11399999999998</v>
      </c>
      <c r="E70">
        <v>100</v>
      </c>
      <c r="F70" s="5">
        <v>0.71</v>
      </c>
      <c r="G70" s="8">
        <v>11.4</v>
      </c>
      <c r="H70" s="5">
        <v>78.489999999999995</v>
      </c>
      <c r="I70" s="5">
        <v>78.62</v>
      </c>
    </row>
    <row r="71" spans="1:9">
      <c r="A71" s="1">
        <v>45104</v>
      </c>
      <c r="B71" s="16" t="s">
        <v>46</v>
      </c>
      <c r="C71">
        <v>6</v>
      </c>
      <c r="D71">
        <v>166.375</v>
      </c>
      <c r="E71">
        <v>89</v>
      </c>
      <c r="F71" s="5">
        <v>0.56000000000000005</v>
      </c>
      <c r="G71" s="8">
        <v>10.9</v>
      </c>
      <c r="H71" s="5">
        <v>67.73</v>
      </c>
      <c r="I71" s="5">
        <v>64.69</v>
      </c>
    </row>
    <row r="72" spans="1:9">
      <c r="A72" s="1">
        <v>45104</v>
      </c>
      <c r="B72" s="16" t="s">
        <v>46</v>
      </c>
      <c r="C72">
        <v>7</v>
      </c>
      <c r="D72">
        <v>209.66399999999999</v>
      </c>
      <c r="E72">
        <v>100</v>
      </c>
      <c r="F72" s="5">
        <v>0.49</v>
      </c>
      <c r="G72" s="8">
        <v>10.8</v>
      </c>
      <c r="H72" s="5">
        <v>74.02</v>
      </c>
      <c r="I72" s="5">
        <v>71.64</v>
      </c>
    </row>
    <row r="73" spans="1:9">
      <c r="A73" s="1">
        <v>45104</v>
      </c>
      <c r="B73" s="16" t="s">
        <v>46</v>
      </c>
      <c r="C73">
        <v>8</v>
      </c>
      <c r="D73">
        <v>258.31099999999998</v>
      </c>
      <c r="E73">
        <v>94</v>
      </c>
      <c r="F73" s="5">
        <v>0.44</v>
      </c>
      <c r="G73" s="8">
        <v>11.2</v>
      </c>
      <c r="H73" s="5">
        <v>78.989999999999995</v>
      </c>
      <c r="I73" s="5">
        <v>81.72</v>
      </c>
    </row>
    <row r="74" spans="1:9">
      <c r="A74" s="1">
        <v>45104</v>
      </c>
      <c r="B74" s="16" t="s">
        <v>46</v>
      </c>
      <c r="C74">
        <v>9</v>
      </c>
      <c r="D74">
        <v>187.9</v>
      </c>
      <c r="E74">
        <v>94</v>
      </c>
      <c r="F74" s="5">
        <v>0.48</v>
      </c>
      <c r="G74" s="8">
        <v>12.6</v>
      </c>
      <c r="H74" s="5">
        <v>71.680000000000007</v>
      </c>
      <c r="I74" s="5">
        <v>68.44</v>
      </c>
    </row>
    <row r="75" spans="1:9">
      <c r="A75" s="1">
        <v>45104</v>
      </c>
      <c r="B75" s="16" t="s">
        <v>46</v>
      </c>
      <c r="C75">
        <v>10</v>
      </c>
      <c r="D75">
        <v>274.01299999999998</v>
      </c>
      <c r="E75">
        <v>97</v>
      </c>
      <c r="F75" s="5">
        <v>0.72</v>
      </c>
      <c r="G75" s="8">
        <v>11.7</v>
      </c>
      <c r="H75" s="5">
        <v>80.989999999999995</v>
      </c>
      <c r="I75" s="5">
        <v>80.45</v>
      </c>
    </row>
    <row r="76" spans="1:9">
      <c r="A76" s="1">
        <v>45104</v>
      </c>
      <c r="B76" s="16" t="s">
        <v>46</v>
      </c>
      <c r="C76">
        <v>11</v>
      </c>
      <c r="D76">
        <v>146.30000000000001</v>
      </c>
      <c r="E76">
        <v>88</v>
      </c>
      <c r="F76" s="5">
        <v>0.57999999999999996</v>
      </c>
      <c r="G76" s="8">
        <v>11.4</v>
      </c>
      <c r="H76" s="5">
        <v>65.42</v>
      </c>
      <c r="I76" s="5">
        <v>63.6</v>
      </c>
    </row>
    <row r="77" spans="1:9">
      <c r="A77" s="1">
        <v>45104</v>
      </c>
      <c r="B77" s="16" t="s">
        <v>46</v>
      </c>
      <c r="C77">
        <v>12</v>
      </c>
      <c r="D77">
        <v>288.57600000000002</v>
      </c>
      <c r="E77">
        <v>97</v>
      </c>
      <c r="F77" s="5">
        <v>0.61</v>
      </c>
      <c r="G77" s="8">
        <v>11.7</v>
      </c>
      <c r="H77" s="5">
        <v>84.46</v>
      </c>
      <c r="I77" s="5">
        <v>78.87</v>
      </c>
    </row>
    <row r="78" spans="1:9">
      <c r="A78" s="1">
        <v>45104</v>
      </c>
      <c r="B78" s="16" t="s">
        <v>46</v>
      </c>
      <c r="C78">
        <v>13</v>
      </c>
      <c r="D78">
        <v>207.95</v>
      </c>
      <c r="E78">
        <v>91</v>
      </c>
      <c r="F78" s="5">
        <v>0.72</v>
      </c>
      <c r="G78" s="8">
        <v>11.8</v>
      </c>
      <c r="H78" s="5">
        <v>78.36</v>
      </c>
      <c r="I78" s="5">
        <v>70.86</v>
      </c>
    </row>
    <row r="79" spans="1:9">
      <c r="A79" s="1">
        <v>45104</v>
      </c>
      <c r="B79" s="16" t="s">
        <v>46</v>
      </c>
      <c r="C79">
        <v>14</v>
      </c>
      <c r="D79">
        <v>265.82</v>
      </c>
      <c r="E79">
        <v>91</v>
      </c>
      <c r="F79" s="5">
        <v>0.5</v>
      </c>
      <c r="G79" s="8">
        <v>11.5</v>
      </c>
      <c r="H79" s="5">
        <v>82.47</v>
      </c>
      <c r="I79" s="5">
        <v>74.94</v>
      </c>
    </row>
    <row r="80" spans="1:9">
      <c r="A80" s="1">
        <v>45104</v>
      </c>
      <c r="B80" s="16" t="s">
        <v>46</v>
      </c>
      <c r="C80">
        <v>15</v>
      </c>
      <c r="D80">
        <v>227.59800000000001</v>
      </c>
      <c r="E80">
        <v>100</v>
      </c>
      <c r="F80" s="5">
        <v>0.43</v>
      </c>
      <c r="G80" s="8">
        <v>12.6</v>
      </c>
      <c r="H80" s="5">
        <v>74.150000000000006</v>
      </c>
      <c r="I80" s="5">
        <v>73.42</v>
      </c>
    </row>
    <row r="81" spans="1:9">
      <c r="A81" s="1">
        <v>45104</v>
      </c>
      <c r="B81" s="16" t="s">
        <v>46</v>
      </c>
      <c r="C81">
        <v>16</v>
      </c>
      <c r="D81">
        <v>191.489</v>
      </c>
      <c r="E81">
        <v>98</v>
      </c>
      <c r="F81" s="5">
        <v>0.45</v>
      </c>
      <c r="G81" s="8">
        <v>10.9</v>
      </c>
      <c r="H81" s="5">
        <v>74.459999999999994</v>
      </c>
      <c r="I81" s="5">
        <v>67.52</v>
      </c>
    </row>
    <row r="82" spans="1:9">
      <c r="A82" s="1">
        <v>45104</v>
      </c>
      <c r="B82" s="16" t="s">
        <v>46</v>
      </c>
      <c r="C82">
        <v>17</v>
      </c>
      <c r="D82">
        <v>175.60900000000001</v>
      </c>
      <c r="E82">
        <v>94</v>
      </c>
      <c r="F82" s="5">
        <v>0.56999999999999995</v>
      </c>
      <c r="G82" s="8">
        <v>10.7</v>
      </c>
      <c r="H82" s="5">
        <v>67.67</v>
      </c>
      <c r="I82" s="5">
        <v>70.83</v>
      </c>
    </row>
    <row r="83" spans="1:9">
      <c r="A83" s="1">
        <v>45104</v>
      </c>
      <c r="B83" s="16" t="s">
        <v>46</v>
      </c>
      <c r="C83">
        <v>18</v>
      </c>
      <c r="D83">
        <v>168.79499999999999</v>
      </c>
      <c r="E83">
        <v>95</v>
      </c>
      <c r="F83" s="5">
        <v>0.47</v>
      </c>
      <c r="G83" s="8">
        <v>11.2</v>
      </c>
      <c r="H83" s="5">
        <v>68.540000000000006</v>
      </c>
      <c r="I83" s="5">
        <v>66.349999999999994</v>
      </c>
    </row>
    <row r="84" spans="1:9">
      <c r="A84" s="1">
        <v>45104</v>
      </c>
      <c r="B84" s="16" t="s">
        <v>46</v>
      </c>
      <c r="C84">
        <v>19</v>
      </c>
      <c r="D84">
        <v>237.834</v>
      </c>
      <c r="E84">
        <v>100</v>
      </c>
      <c r="F84" s="5">
        <v>0.54</v>
      </c>
      <c r="G84" s="8">
        <v>10.6</v>
      </c>
      <c r="H84" s="5">
        <v>79.28</v>
      </c>
      <c r="I84" s="5">
        <v>72.66</v>
      </c>
    </row>
    <row r="85" spans="1:9">
      <c r="A85" s="1">
        <v>45104</v>
      </c>
      <c r="B85" s="16" t="s">
        <v>46</v>
      </c>
      <c r="C85">
        <v>20</v>
      </c>
      <c r="D85">
        <v>303.65800000000002</v>
      </c>
      <c r="E85">
        <v>95</v>
      </c>
      <c r="F85" s="5">
        <v>0.44</v>
      </c>
      <c r="G85" s="8">
        <v>11.6</v>
      </c>
      <c r="H85" s="5">
        <v>84.67</v>
      </c>
      <c r="I85" s="5">
        <v>82.38</v>
      </c>
    </row>
    <row r="86" spans="1:9">
      <c r="A86" s="1">
        <v>45104</v>
      </c>
      <c r="B86" s="16" t="s">
        <v>47</v>
      </c>
      <c r="C86">
        <v>35</v>
      </c>
      <c r="D86">
        <v>7307</v>
      </c>
      <c r="F86" s="5"/>
      <c r="G86" s="8"/>
    </row>
    <row r="87" spans="1:9">
      <c r="A87" s="1">
        <v>45104</v>
      </c>
      <c r="B87" s="16" t="s">
        <v>47</v>
      </c>
      <c r="C87">
        <v>1</v>
      </c>
      <c r="D87">
        <v>198.518</v>
      </c>
      <c r="E87">
        <v>93</v>
      </c>
      <c r="F87" s="5">
        <v>0.56999999999999995</v>
      </c>
      <c r="G87" s="8">
        <v>11.5</v>
      </c>
      <c r="H87" s="5">
        <v>70.56</v>
      </c>
      <c r="I87" s="5">
        <v>72.53</v>
      </c>
    </row>
    <row r="88" spans="1:9">
      <c r="A88" s="1">
        <v>45104</v>
      </c>
      <c r="B88" s="16" t="s">
        <v>47</v>
      </c>
      <c r="C88">
        <v>2</v>
      </c>
      <c r="D88">
        <v>218.56100000000001</v>
      </c>
      <c r="E88">
        <v>95</v>
      </c>
      <c r="F88" s="5">
        <v>0.49</v>
      </c>
      <c r="G88" s="8">
        <v>11.8</v>
      </c>
      <c r="H88" s="5">
        <v>77.540000000000006</v>
      </c>
      <c r="I88" s="5">
        <v>74.260000000000005</v>
      </c>
    </row>
    <row r="89" spans="1:9">
      <c r="A89" s="1">
        <v>45104</v>
      </c>
      <c r="B89" s="16" t="s">
        <v>47</v>
      </c>
      <c r="C89">
        <v>3</v>
      </c>
      <c r="D89">
        <v>166.59100000000001</v>
      </c>
      <c r="E89">
        <v>100</v>
      </c>
      <c r="F89" s="5">
        <v>0.56000000000000005</v>
      </c>
      <c r="G89" s="8">
        <v>12.6</v>
      </c>
      <c r="H89" s="5">
        <v>63.13</v>
      </c>
      <c r="I89" s="5">
        <v>62.69</v>
      </c>
    </row>
    <row r="90" spans="1:9">
      <c r="A90" s="1">
        <v>45104</v>
      </c>
      <c r="B90" s="16" t="s">
        <v>47</v>
      </c>
      <c r="C90">
        <v>4</v>
      </c>
      <c r="D90">
        <v>290.55599999999998</v>
      </c>
      <c r="E90">
        <v>94</v>
      </c>
      <c r="F90" s="5">
        <v>0.66</v>
      </c>
      <c r="G90" s="8">
        <v>12.7</v>
      </c>
      <c r="H90" s="5">
        <v>85.15</v>
      </c>
      <c r="I90" s="5">
        <v>74.12</v>
      </c>
    </row>
    <row r="91" spans="1:9">
      <c r="A91" s="1">
        <v>45104</v>
      </c>
      <c r="B91" s="16" t="s">
        <v>47</v>
      </c>
      <c r="C91">
        <v>5</v>
      </c>
      <c r="D91">
        <v>246.55600000000001</v>
      </c>
      <c r="E91">
        <v>96</v>
      </c>
      <c r="F91" s="5">
        <v>0.6</v>
      </c>
      <c r="G91" s="8">
        <v>10.3</v>
      </c>
      <c r="H91" s="5">
        <v>81.03</v>
      </c>
      <c r="I91" s="5">
        <v>72.7</v>
      </c>
    </row>
    <row r="92" spans="1:9">
      <c r="A92" s="1">
        <v>45104</v>
      </c>
      <c r="B92" s="16" t="s">
        <v>47</v>
      </c>
      <c r="C92">
        <v>6</v>
      </c>
      <c r="D92">
        <v>195.904</v>
      </c>
      <c r="E92">
        <v>100</v>
      </c>
      <c r="F92" s="5">
        <v>0.55000000000000004</v>
      </c>
      <c r="G92" s="8">
        <v>10.8</v>
      </c>
      <c r="H92" s="5">
        <v>71.42</v>
      </c>
      <c r="I92" s="5">
        <v>67.5</v>
      </c>
    </row>
    <row r="93" spans="1:9">
      <c r="A93" s="1">
        <v>45104</v>
      </c>
      <c r="B93" s="16" t="s">
        <v>47</v>
      </c>
      <c r="C93">
        <v>7</v>
      </c>
      <c r="D93">
        <v>165.63200000000001</v>
      </c>
      <c r="E93">
        <v>100</v>
      </c>
      <c r="F93" s="5">
        <v>0.74</v>
      </c>
      <c r="G93" s="8">
        <v>12.3</v>
      </c>
      <c r="H93" s="5">
        <v>69.760000000000005</v>
      </c>
      <c r="I93" s="5">
        <v>67.53</v>
      </c>
    </row>
    <row r="94" spans="1:9">
      <c r="A94" s="1">
        <v>45104</v>
      </c>
      <c r="B94" s="16" t="s">
        <v>47</v>
      </c>
      <c r="C94">
        <v>8</v>
      </c>
      <c r="D94">
        <v>181.31200000000001</v>
      </c>
      <c r="E94">
        <v>94</v>
      </c>
      <c r="F94" s="5">
        <v>0.63</v>
      </c>
      <c r="G94" s="8">
        <v>11.8</v>
      </c>
      <c r="H94" s="5">
        <v>69.95</v>
      </c>
      <c r="I94" s="5">
        <v>67.540000000000006</v>
      </c>
    </row>
    <row r="95" spans="1:9">
      <c r="A95" s="1">
        <v>45104</v>
      </c>
      <c r="B95" s="16" t="s">
        <v>47</v>
      </c>
      <c r="C95">
        <v>9</v>
      </c>
      <c r="D95">
        <v>234.91200000000001</v>
      </c>
      <c r="E95">
        <v>97</v>
      </c>
      <c r="F95" s="5">
        <v>0.66</v>
      </c>
      <c r="G95" s="8">
        <v>11.8</v>
      </c>
      <c r="H95" s="5">
        <v>77.819999999999993</v>
      </c>
      <c r="I95" s="5">
        <v>74.63</v>
      </c>
    </row>
    <row r="96" spans="1:9">
      <c r="A96" s="1">
        <v>45104</v>
      </c>
      <c r="B96" s="16" t="s">
        <v>47</v>
      </c>
      <c r="C96">
        <v>10</v>
      </c>
      <c r="D96">
        <v>216.881</v>
      </c>
      <c r="E96">
        <v>100</v>
      </c>
      <c r="F96" s="5">
        <v>0.51</v>
      </c>
      <c r="G96" s="8">
        <v>11.6</v>
      </c>
      <c r="H96" s="5">
        <v>73.13</v>
      </c>
      <c r="I96" s="5">
        <v>71.510000000000005</v>
      </c>
    </row>
    <row r="97" spans="1:9">
      <c r="A97" s="1">
        <v>45104</v>
      </c>
      <c r="B97" s="16" t="s">
        <v>47</v>
      </c>
      <c r="C97">
        <v>11</v>
      </c>
      <c r="D97">
        <v>180.07599999999999</v>
      </c>
      <c r="E97">
        <v>97</v>
      </c>
      <c r="F97" s="5">
        <v>0.56000000000000005</v>
      </c>
      <c r="G97" s="8">
        <v>11.5</v>
      </c>
      <c r="H97" s="5">
        <v>70.44</v>
      </c>
      <c r="I97" s="5">
        <v>67.150000000000006</v>
      </c>
    </row>
    <row r="98" spans="1:9">
      <c r="A98" s="1">
        <v>45104</v>
      </c>
      <c r="B98" s="16" t="s">
        <v>47</v>
      </c>
      <c r="C98">
        <v>12</v>
      </c>
      <c r="D98">
        <v>200.08199999999999</v>
      </c>
      <c r="E98">
        <v>97</v>
      </c>
      <c r="F98" s="5">
        <v>0.72</v>
      </c>
      <c r="G98" s="8">
        <v>11.8</v>
      </c>
      <c r="H98" s="5">
        <v>76.069999999999993</v>
      </c>
      <c r="I98" s="5">
        <v>69.239999999999995</v>
      </c>
    </row>
    <row r="99" spans="1:9">
      <c r="A99" s="1">
        <v>45104</v>
      </c>
      <c r="B99" s="16" t="s">
        <v>47</v>
      </c>
      <c r="C99">
        <v>13</v>
      </c>
      <c r="D99">
        <v>219.434</v>
      </c>
      <c r="E99">
        <v>96</v>
      </c>
      <c r="F99" s="5">
        <v>0.55000000000000004</v>
      </c>
      <c r="G99" s="8">
        <v>12.5</v>
      </c>
      <c r="H99" s="5">
        <v>75.03</v>
      </c>
      <c r="I99" s="5">
        <v>71.099999999999994</v>
      </c>
    </row>
    <row r="100" spans="1:9">
      <c r="A100" s="1">
        <v>45104</v>
      </c>
      <c r="B100" s="16" t="s">
        <v>47</v>
      </c>
      <c r="C100">
        <v>14</v>
      </c>
      <c r="D100">
        <v>275.60199999999998</v>
      </c>
      <c r="E100">
        <v>100</v>
      </c>
      <c r="F100" s="5">
        <v>0.74</v>
      </c>
      <c r="G100" s="8">
        <v>11.6</v>
      </c>
      <c r="H100" s="5">
        <v>82.84</v>
      </c>
      <c r="I100" s="5">
        <v>73.95</v>
      </c>
    </row>
    <row r="101" spans="1:9">
      <c r="A101" s="1">
        <v>45104</v>
      </c>
      <c r="B101" s="16" t="s">
        <v>47</v>
      </c>
      <c r="C101">
        <v>15</v>
      </c>
      <c r="D101">
        <v>194.952</v>
      </c>
      <c r="E101">
        <v>95</v>
      </c>
      <c r="F101" s="5">
        <v>0.52</v>
      </c>
      <c r="G101" s="8">
        <v>12.1</v>
      </c>
      <c r="H101" s="5">
        <v>72.900000000000006</v>
      </c>
      <c r="I101" s="5">
        <v>71.239999999999995</v>
      </c>
    </row>
    <row r="102" spans="1:9">
      <c r="A102" s="1">
        <v>45104</v>
      </c>
      <c r="B102" s="16" t="s">
        <v>47</v>
      </c>
      <c r="C102">
        <v>16</v>
      </c>
      <c r="D102">
        <v>236.65600000000001</v>
      </c>
      <c r="E102">
        <v>92</v>
      </c>
      <c r="F102" s="5">
        <v>0.64</v>
      </c>
      <c r="G102" s="8">
        <v>11.8</v>
      </c>
      <c r="H102" s="5">
        <v>77.33</v>
      </c>
      <c r="I102" s="5">
        <v>70.930000000000007</v>
      </c>
    </row>
    <row r="103" spans="1:9">
      <c r="A103" s="1">
        <v>45104</v>
      </c>
      <c r="B103" s="16" t="s">
        <v>47</v>
      </c>
      <c r="C103">
        <v>17</v>
      </c>
      <c r="D103">
        <v>222.619</v>
      </c>
      <c r="E103">
        <v>96</v>
      </c>
      <c r="F103" s="5">
        <v>0.49</v>
      </c>
      <c r="G103" s="8">
        <v>9.8000000000000007</v>
      </c>
      <c r="H103" s="5">
        <v>79.239999999999995</v>
      </c>
      <c r="I103" s="5">
        <v>72.19</v>
      </c>
    </row>
    <row r="104" spans="1:9">
      <c r="A104" s="1">
        <v>45104</v>
      </c>
      <c r="B104" s="16" t="s">
        <v>47</v>
      </c>
      <c r="C104">
        <v>18</v>
      </c>
      <c r="D104">
        <v>172.815</v>
      </c>
      <c r="E104">
        <v>98</v>
      </c>
      <c r="F104" s="5">
        <v>0.68</v>
      </c>
      <c r="G104" s="8">
        <v>12.5</v>
      </c>
      <c r="H104" s="5">
        <v>68.73</v>
      </c>
      <c r="I104" s="5">
        <v>66.680000000000007</v>
      </c>
    </row>
    <row r="105" spans="1:9">
      <c r="A105" s="1">
        <v>45104</v>
      </c>
      <c r="B105" s="16" t="s">
        <v>47</v>
      </c>
      <c r="C105">
        <v>19</v>
      </c>
      <c r="D105">
        <v>228.29900000000001</v>
      </c>
      <c r="E105">
        <v>96</v>
      </c>
      <c r="F105" s="5">
        <v>0.57999999999999996</v>
      </c>
      <c r="G105" s="8">
        <v>11.1</v>
      </c>
      <c r="H105" s="5">
        <v>77.27</v>
      </c>
      <c r="I105" s="5">
        <v>71.92</v>
      </c>
    </row>
    <row r="106" spans="1:9">
      <c r="A106" s="1">
        <v>45104</v>
      </c>
      <c r="B106" s="16" t="s">
        <v>47</v>
      </c>
      <c r="C106">
        <v>20</v>
      </c>
      <c r="D106">
        <v>218.75800000000001</v>
      </c>
      <c r="E106">
        <v>93</v>
      </c>
      <c r="F106" s="5">
        <v>0.63</v>
      </c>
      <c r="G106" s="8">
        <v>12</v>
      </c>
      <c r="H106" s="5">
        <v>74.97</v>
      </c>
      <c r="I106" s="5">
        <v>74.849999999999994</v>
      </c>
    </row>
    <row r="107" spans="1:9">
      <c r="A107" s="1">
        <v>45104</v>
      </c>
      <c r="B107" s="16" t="s">
        <v>48</v>
      </c>
      <c r="C107">
        <v>42</v>
      </c>
      <c r="D107">
        <v>8255.5</v>
      </c>
      <c r="F107" s="5"/>
      <c r="G107" s="8"/>
    </row>
    <row r="108" spans="1:9">
      <c r="A108" s="1">
        <v>45104</v>
      </c>
      <c r="B108" s="16" t="s">
        <v>48</v>
      </c>
      <c r="C108">
        <v>1</v>
      </c>
      <c r="D108">
        <v>224.23099999999999</v>
      </c>
      <c r="E108">
        <v>96</v>
      </c>
      <c r="F108" s="5">
        <v>0.52</v>
      </c>
      <c r="G108" s="8">
        <v>11.5</v>
      </c>
      <c r="H108" s="5">
        <v>75.930000000000007</v>
      </c>
      <c r="I108">
        <v>72.39</v>
      </c>
    </row>
    <row r="109" spans="1:9">
      <c r="A109" s="1">
        <v>45104</v>
      </c>
      <c r="B109" s="16" t="s">
        <v>48</v>
      </c>
      <c r="C109">
        <v>2</v>
      </c>
      <c r="D109">
        <v>222.42599999999999</v>
      </c>
      <c r="E109">
        <v>100</v>
      </c>
      <c r="F109" s="5">
        <v>0.69</v>
      </c>
      <c r="G109" s="8">
        <v>12.6</v>
      </c>
      <c r="H109" s="5">
        <v>77</v>
      </c>
      <c r="I109">
        <v>69.45</v>
      </c>
    </row>
    <row r="110" spans="1:9">
      <c r="A110" s="1">
        <v>45104</v>
      </c>
      <c r="B110" s="16" t="s">
        <v>48</v>
      </c>
      <c r="C110">
        <v>3</v>
      </c>
      <c r="D110">
        <v>212.34100000000001</v>
      </c>
      <c r="E110">
        <v>100</v>
      </c>
      <c r="F110" s="5">
        <v>0.55000000000000004</v>
      </c>
      <c r="G110" s="8">
        <v>11.5</v>
      </c>
      <c r="H110" s="5">
        <v>75.19</v>
      </c>
      <c r="I110">
        <v>71.62</v>
      </c>
    </row>
    <row r="111" spans="1:9">
      <c r="A111" s="1">
        <v>45104</v>
      </c>
      <c r="B111" s="16" t="s">
        <v>48</v>
      </c>
      <c r="C111">
        <v>4</v>
      </c>
      <c r="D111">
        <v>217.22800000000001</v>
      </c>
      <c r="E111">
        <v>100</v>
      </c>
      <c r="F111" s="5">
        <v>0.59</v>
      </c>
      <c r="G111" s="8">
        <v>12.3</v>
      </c>
      <c r="H111" s="5">
        <v>76.400000000000006</v>
      </c>
      <c r="I111">
        <v>72.180000000000007</v>
      </c>
    </row>
    <row r="112" spans="1:9">
      <c r="A112" s="1">
        <v>45104</v>
      </c>
      <c r="B112" s="16" t="s">
        <v>48</v>
      </c>
      <c r="C112">
        <v>5</v>
      </c>
      <c r="D112">
        <v>166.952</v>
      </c>
      <c r="E112">
        <v>92</v>
      </c>
      <c r="F112" s="5">
        <v>0.63</v>
      </c>
      <c r="G112" s="8">
        <v>11.5</v>
      </c>
      <c r="H112" s="5">
        <v>69.739999999999995</v>
      </c>
      <c r="I112">
        <v>70.97</v>
      </c>
    </row>
    <row r="113" spans="1:9">
      <c r="A113" s="1">
        <v>45104</v>
      </c>
      <c r="B113" s="16" t="s">
        <v>48</v>
      </c>
      <c r="C113">
        <v>6</v>
      </c>
      <c r="D113">
        <v>206.49199999999999</v>
      </c>
      <c r="E113">
        <v>98</v>
      </c>
      <c r="F113" s="5">
        <v>0.7</v>
      </c>
      <c r="G113" s="8">
        <v>11.8</v>
      </c>
      <c r="H113" s="5">
        <v>73.010000000000005</v>
      </c>
      <c r="I113">
        <v>73.59</v>
      </c>
    </row>
    <row r="114" spans="1:9">
      <c r="A114" s="1">
        <v>45104</v>
      </c>
      <c r="B114" s="16" t="s">
        <v>48</v>
      </c>
      <c r="C114">
        <v>7</v>
      </c>
      <c r="D114">
        <v>169.83199999999999</v>
      </c>
      <c r="E114">
        <v>97</v>
      </c>
      <c r="F114" s="5">
        <v>0.61</v>
      </c>
      <c r="G114" s="8">
        <v>12.6</v>
      </c>
      <c r="H114" s="5">
        <v>69.739999999999995</v>
      </c>
      <c r="I114">
        <v>68.709999999999994</v>
      </c>
    </row>
    <row r="115" spans="1:9">
      <c r="A115" s="1">
        <v>45104</v>
      </c>
      <c r="B115" s="16" t="s">
        <v>48</v>
      </c>
      <c r="C115">
        <v>8</v>
      </c>
      <c r="D115">
        <v>219.768</v>
      </c>
      <c r="E115">
        <v>98</v>
      </c>
      <c r="F115" s="5">
        <v>0.72</v>
      </c>
      <c r="G115" s="8">
        <v>11.5</v>
      </c>
      <c r="H115" s="5">
        <v>74.5</v>
      </c>
      <c r="I115">
        <v>73.58</v>
      </c>
    </row>
    <row r="116" spans="1:9">
      <c r="A116" s="1">
        <v>45104</v>
      </c>
      <c r="B116" s="16" t="s">
        <v>48</v>
      </c>
      <c r="C116">
        <v>9</v>
      </c>
      <c r="D116">
        <v>203.23</v>
      </c>
      <c r="E116">
        <v>100</v>
      </c>
      <c r="F116" s="5">
        <v>0.54</v>
      </c>
      <c r="G116" s="8">
        <v>11.8</v>
      </c>
      <c r="H116" s="5">
        <v>73.92</v>
      </c>
      <c r="I116">
        <v>70.06</v>
      </c>
    </row>
    <row r="117" spans="1:9">
      <c r="A117" s="1">
        <v>45104</v>
      </c>
      <c r="B117" s="16" t="s">
        <v>48</v>
      </c>
      <c r="C117">
        <v>10</v>
      </c>
      <c r="D117">
        <v>195.79900000000001</v>
      </c>
      <c r="E117">
        <v>98</v>
      </c>
      <c r="F117" s="5">
        <v>0.63</v>
      </c>
      <c r="G117" s="8">
        <v>12</v>
      </c>
      <c r="H117" s="5">
        <v>74.98</v>
      </c>
      <c r="I117">
        <v>70.13</v>
      </c>
    </row>
    <row r="118" spans="1:9">
      <c r="A118" s="1">
        <v>45104</v>
      </c>
      <c r="B118" s="16" t="s">
        <v>48</v>
      </c>
      <c r="C118">
        <v>11</v>
      </c>
      <c r="D118">
        <v>187.06</v>
      </c>
      <c r="E118">
        <v>95</v>
      </c>
      <c r="F118" s="5">
        <v>0.56000000000000005</v>
      </c>
      <c r="G118" s="8">
        <v>11.7</v>
      </c>
      <c r="H118" s="5">
        <v>72.02</v>
      </c>
      <c r="I118">
        <v>69.25</v>
      </c>
    </row>
    <row r="119" spans="1:9">
      <c r="A119" s="1">
        <v>45104</v>
      </c>
      <c r="B119" s="16" t="s">
        <v>48</v>
      </c>
      <c r="C119">
        <v>12</v>
      </c>
      <c r="D119">
        <v>184.04</v>
      </c>
      <c r="E119">
        <v>93</v>
      </c>
      <c r="F119" s="5">
        <v>0.55000000000000004</v>
      </c>
      <c r="G119" s="8">
        <v>11.5</v>
      </c>
      <c r="H119" s="5">
        <v>70.11</v>
      </c>
      <c r="I119">
        <v>67.150000000000006</v>
      </c>
    </row>
    <row r="120" spans="1:9">
      <c r="A120" s="1">
        <v>45104</v>
      </c>
      <c r="B120" s="16" t="s">
        <v>48</v>
      </c>
      <c r="C120">
        <v>13</v>
      </c>
      <c r="D120">
        <v>227.786</v>
      </c>
      <c r="E120">
        <v>100</v>
      </c>
      <c r="F120" s="5">
        <v>0.53</v>
      </c>
      <c r="G120" s="8">
        <v>10.9</v>
      </c>
      <c r="H120" s="5">
        <v>76.94</v>
      </c>
      <c r="I120">
        <v>75.2</v>
      </c>
    </row>
    <row r="121" spans="1:9">
      <c r="A121" s="1">
        <v>45104</v>
      </c>
      <c r="B121" s="16" t="s">
        <v>48</v>
      </c>
      <c r="C121">
        <v>14</v>
      </c>
      <c r="D121">
        <v>180.72800000000001</v>
      </c>
      <c r="E121">
        <v>100</v>
      </c>
      <c r="F121" s="5">
        <v>0.7</v>
      </c>
      <c r="G121" s="8">
        <v>11.1</v>
      </c>
      <c r="H121" s="5">
        <v>71.319999999999993</v>
      </c>
      <c r="I121">
        <v>70.7</v>
      </c>
    </row>
    <row r="122" spans="1:9">
      <c r="A122" s="1">
        <v>45104</v>
      </c>
      <c r="B122" s="16" t="s">
        <v>48</v>
      </c>
      <c r="C122">
        <v>15</v>
      </c>
      <c r="D122">
        <v>218.892</v>
      </c>
      <c r="E122">
        <v>100</v>
      </c>
      <c r="F122" s="5">
        <v>0.61</v>
      </c>
      <c r="G122" s="8">
        <v>11.6</v>
      </c>
      <c r="H122" s="5">
        <v>75.45</v>
      </c>
      <c r="I122">
        <v>72.87</v>
      </c>
    </row>
    <row r="123" spans="1:9">
      <c r="A123" s="1">
        <v>45104</v>
      </c>
      <c r="B123" s="16" t="s">
        <v>48</v>
      </c>
      <c r="C123">
        <v>16</v>
      </c>
      <c r="D123">
        <v>212.35900000000001</v>
      </c>
      <c r="E123">
        <v>94</v>
      </c>
      <c r="F123" s="5">
        <v>0.77</v>
      </c>
      <c r="G123" s="8">
        <v>11.2</v>
      </c>
      <c r="H123" s="5">
        <v>74.69</v>
      </c>
      <c r="I123">
        <v>71.66</v>
      </c>
    </row>
    <row r="124" spans="1:9">
      <c r="A124" s="1">
        <v>45104</v>
      </c>
      <c r="B124" s="16" t="s">
        <v>48</v>
      </c>
      <c r="C124">
        <v>17</v>
      </c>
      <c r="D124">
        <v>211.64699999999999</v>
      </c>
      <c r="E124">
        <v>97</v>
      </c>
      <c r="F124" s="5">
        <v>0.47</v>
      </c>
      <c r="G124" s="8">
        <v>13.1</v>
      </c>
      <c r="H124" s="5">
        <v>75.73</v>
      </c>
      <c r="I124">
        <v>71.28</v>
      </c>
    </row>
    <row r="125" spans="1:9">
      <c r="A125" s="1">
        <v>45104</v>
      </c>
      <c r="B125" s="16" t="s">
        <v>48</v>
      </c>
      <c r="C125">
        <v>18</v>
      </c>
      <c r="D125">
        <v>223.22900000000001</v>
      </c>
      <c r="E125">
        <v>100</v>
      </c>
      <c r="F125" s="5">
        <v>0.56999999999999995</v>
      </c>
      <c r="G125" s="8">
        <v>11.4</v>
      </c>
      <c r="H125" s="5">
        <v>74.5</v>
      </c>
      <c r="I125">
        <v>76.48</v>
      </c>
    </row>
    <row r="126" spans="1:9">
      <c r="A126" s="1">
        <v>45104</v>
      </c>
      <c r="B126" s="16" t="s">
        <v>48</v>
      </c>
      <c r="C126">
        <v>19</v>
      </c>
      <c r="D126">
        <v>203.375</v>
      </c>
      <c r="E126">
        <v>98</v>
      </c>
      <c r="F126" s="5">
        <v>0.59</v>
      </c>
      <c r="G126" s="8">
        <v>12.7</v>
      </c>
      <c r="H126" s="5">
        <v>73.010000000000005</v>
      </c>
      <c r="I126">
        <v>70.349999999999994</v>
      </c>
    </row>
    <row r="127" spans="1:9">
      <c r="A127" s="1">
        <v>45104</v>
      </c>
      <c r="B127" s="16" t="s">
        <v>48</v>
      </c>
      <c r="C127">
        <v>20</v>
      </c>
      <c r="D127">
        <v>215.14500000000001</v>
      </c>
      <c r="E127">
        <v>100</v>
      </c>
      <c r="F127" s="5">
        <v>0.62</v>
      </c>
      <c r="G127" s="8">
        <v>12.8</v>
      </c>
      <c r="H127" s="5">
        <v>77.489999999999995</v>
      </c>
      <c r="I127">
        <v>72.77</v>
      </c>
    </row>
    <row r="128" spans="1:9">
      <c r="A128" s="1">
        <v>45107</v>
      </c>
      <c r="B128" s="16" t="s">
        <v>40</v>
      </c>
      <c r="C128">
        <v>35</v>
      </c>
      <c r="D128">
        <v>7981</v>
      </c>
      <c r="F128" s="5"/>
      <c r="G128" s="8"/>
    </row>
    <row r="129" spans="1:9">
      <c r="A129" s="1">
        <v>45107</v>
      </c>
      <c r="B129" s="16" t="s">
        <v>40</v>
      </c>
      <c r="C129">
        <v>1</v>
      </c>
      <c r="D129">
        <v>226.03</v>
      </c>
      <c r="E129">
        <v>87</v>
      </c>
      <c r="F129" s="5">
        <v>0.54</v>
      </c>
      <c r="G129" s="8">
        <v>11.4</v>
      </c>
      <c r="H129" s="5">
        <v>76.760000000000005</v>
      </c>
      <c r="I129" s="5">
        <v>75.48</v>
      </c>
    </row>
    <row r="130" spans="1:9">
      <c r="A130" s="1">
        <v>45107</v>
      </c>
      <c r="B130" s="16" t="s">
        <v>40</v>
      </c>
      <c r="C130">
        <v>2</v>
      </c>
      <c r="D130">
        <v>245.97900000000001</v>
      </c>
      <c r="E130">
        <v>91</v>
      </c>
      <c r="F130" s="5">
        <v>0.7</v>
      </c>
      <c r="G130" s="8">
        <v>11.6</v>
      </c>
      <c r="H130" s="5">
        <v>78.47</v>
      </c>
      <c r="I130" s="5">
        <v>76.22</v>
      </c>
    </row>
    <row r="131" spans="1:9">
      <c r="A131" s="1">
        <v>45107</v>
      </c>
      <c r="B131" s="16" t="s">
        <v>40</v>
      </c>
      <c r="C131">
        <v>3</v>
      </c>
      <c r="D131">
        <v>223.654</v>
      </c>
      <c r="E131">
        <v>86</v>
      </c>
      <c r="F131" s="5">
        <v>0.53</v>
      </c>
      <c r="G131" s="8">
        <v>12.6</v>
      </c>
      <c r="H131" s="5">
        <v>77.94</v>
      </c>
      <c r="I131" s="5">
        <v>75.12</v>
      </c>
    </row>
    <row r="132" spans="1:9">
      <c r="A132" s="1">
        <v>45107</v>
      </c>
      <c r="B132" s="16" t="s">
        <v>40</v>
      </c>
      <c r="C132">
        <v>4</v>
      </c>
      <c r="D132">
        <v>236.233</v>
      </c>
      <c r="E132">
        <v>93</v>
      </c>
      <c r="F132" s="5">
        <v>0.9</v>
      </c>
      <c r="G132" s="8">
        <v>11</v>
      </c>
      <c r="H132" s="5">
        <v>81.95</v>
      </c>
      <c r="I132" s="5">
        <v>71.47</v>
      </c>
    </row>
    <row r="133" spans="1:9">
      <c r="A133" s="1">
        <v>45107</v>
      </c>
      <c r="B133" s="16" t="s">
        <v>40</v>
      </c>
      <c r="C133">
        <v>5</v>
      </c>
      <c r="D133">
        <v>215.822</v>
      </c>
      <c r="E133">
        <v>90</v>
      </c>
      <c r="F133" s="5">
        <v>0.51</v>
      </c>
      <c r="G133" s="8">
        <v>14</v>
      </c>
      <c r="H133" s="5">
        <v>74.819999999999993</v>
      </c>
      <c r="I133" s="5">
        <v>71.06</v>
      </c>
    </row>
    <row r="134" spans="1:9">
      <c r="A134" s="1">
        <v>45107</v>
      </c>
      <c r="B134" s="16" t="s">
        <v>40</v>
      </c>
      <c r="C134">
        <v>6</v>
      </c>
      <c r="D134">
        <v>229.68299999999999</v>
      </c>
      <c r="E134">
        <v>93</v>
      </c>
      <c r="F134" s="5">
        <v>0.6</v>
      </c>
      <c r="G134" s="8">
        <v>11.7</v>
      </c>
      <c r="H134" s="5">
        <v>76.91</v>
      </c>
      <c r="I134" s="5">
        <v>71.08</v>
      </c>
    </row>
    <row r="135" spans="1:9">
      <c r="A135" s="1">
        <v>45107</v>
      </c>
      <c r="B135" s="16" t="s">
        <v>40</v>
      </c>
      <c r="C135">
        <v>7</v>
      </c>
      <c r="D135">
        <v>262.15600000000001</v>
      </c>
      <c r="E135">
        <v>93</v>
      </c>
      <c r="F135" s="5">
        <v>0.75</v>
      </c>
      <c r="G135" s="8">
        <v>12.6</v>
      </c>
      <c r="H135" s="5">
        <v>81</v>
      </c>
      <c r="I135" s="5">
        <v>76.38</v>
      </c>
    </row>
    <row r="136" spans="1:9">
      <c r="A136" s="1">
        <v>45107</v>
      </c>
      <c r="B136" s="16" t="s">
        <v>40</v>
      </c>
      <c r="C136">
        <v>8</v>
      </c>
      <c r="D136">
        <v>230.96899999999999</v>
      </c>
      <c r="E136">
        <v>95</v>
      </c>
      <c r="F136" s="5">
        <v>0.57999999999999996</v>
      </c>
      <c r="G136" s="8">
        <v>13</v>
      </c>
      <c r="H136" s="5">
        <v>78.150000000000006</v>
      </c>
      <c r="I136" s="5">
        <v>74.22</v>
      </c>
    </row>
    <row r="137" spans="1:9">
      <c r="A137" s="1">
        <v>45107</v>
      </c>
      <c r="B137" s="16" t="s">
        <v>40</v>
      </c>
      <c r="C137">
        <v>9</v>
      </c>
      <c r="D137">
        <v>244.14599999999999</v>
      </c>
      <c r="E137">
        <v>90</v>
      </c>
      <c r="F137" s="5">
        <v>0.54</v>
      </c>
      <c r="G137" s="8">
        <v>10.9</v>
      </c>
      <c r="H137" s="5">
        <v>77.86</v>
      </c>
      <c r="I137" s="5">
        <v>74.849999999999994</v>
      </c>
    </row>
    <row r="138" spans="1:9">
      <c r="A138" s="1">
        <v>45107</v>
      </c>
      <c r="B138" s="16" t="s">
        <v>40</v>
      </c>
      <c r="C138">
        <v>10</v>
      </c>
      <c r="D138">
        <v>212.99799999999999</v>
      </c>
      <c r="E138">
        <v>96</v>
      </c>
      <c r="F138" s="5">
        <v>0.59</v>
      </c>
      <c r="G138" s="8">
        <v>10.7</v>
      </c>
      <c r="H138" s="5">
        <v>74.37</v>
      </c>
      <c r="I138" s="5">
        <v>74.209999999999994</v>
      </c>
    </row>
    <row r="139" spans="1:9">
      <c r="A139" s="1">
        <v>45107</v>
      </c>
      <c r="B139" s="16" t="s">
        <v>40</v>
      </c>
      <c r="C139">
        <v>11</v>
      </c>
      <c r="D139">
        <v>231.75700000000001</v>
      </c>
      <c r="E139">
        <v>94</v>
      </c>
      <c r="F139" s="5">
        <v>0.56999999999999995</v>
      </c>
      <c r="G139" s="8">
        <v>12.2</v>
      </c>
      <c r="H139" s="5">
        <v>76.709999999999994</v>
      </c>
      <c r="I139" s="5">
        <v>74.290000000000006</v>
      </c>
    </row>
    <row r="140" spans="1:9">
      <c r="A140" s="1">
        <v>45107</v>
      </c>
      <c r="B140" s="16" t="s">
        <v>40</v>
      </c>
      <c r="C140">
        <v>12</v>
      </c>
      <c r="D140">
        <v>213.96100000000001</v>
      </c>
      <c r="E140">
        <v>83</v>
      </c>
      <c r="F140" s="5">
        <v>0.57999999999999996</v>
      </c>
      <c r="G140" s="8">
        <v>12</v>
      </c>
      <c r="H140" s="5">
        <v>79.38</v>
      </c>
      <c r="I140" s="5">
        <v>72.62</v>
      </c>
    </row>
    <row r="141" spans="1:9">
      <c r="A141" s="1">
        <v>45107</v>
      </c>
      <c r="B141" s="16" t="s">
        <v>40</v>
      </c>
      <c r="C141">
        <v>13</v>
      </c>
      <c r="D141">
        <v>218.839</v>
      </c>
      <c r="E141">
        <v>90</v>
      </c>
      <c r="F141" s="5">
        <v>0.62</v>
      </c>
      <c r="G141" s="8">
        <v>11.4</v>
      </c>
      <c r="H141" s="5">
        <v>75.84</v>
      </c>
      <c r="I141" s="5">
        <v>72.11</v>
      </c>
    </row>
    <row r="142" spans="1:9">
      <c r="A142" s="1">
        <v>45107</v>
      </c>
      <c r="B142" s="16" t="s">
        <v>40</v>
      </c>
      <c r="C142">
        <v>14</v>
      </c>
      <c r="D142">
        <v>208.53899999999999</v>
      </c>
      <c r="E142">
        <v>95</v>
      </c>
      <c r="F142" s="5">
        <v>0.61</v>
      </c>
      <c r="G142" s="8">
        <v>12.3</v>
      </c>
      <c r="H142" s="5">
        <v>67.42</v>
      </c>
      <c r="I142" s="5">
        <v>74.400000000000006</v>
      </c>
    </row>
    <row r="143" spans="1:9">
      <c r="A143" s="1">
        <v>45107</v>
      </c>
      <c r="B143" s="16" t="s">
        <v>40</v>
      </c>
      <c r="C143">
        <v>15</v>
      </c>
      <c r="D143">
        <v>248.44200000000001</v>
      </c>
      <c r="E143">
        <v>92</v>
      </c>
      <c r="F143" s="5">
        <v>0.6</v>
      </c>
      <c r="G143" s="8">
        <v>13.7</v>
      </c>
      <c r="H143" s="5">
        <v>78.2</v>
      </c>
      <c r="I143" s="5">
        <v>74.5</v>
      </c>
    </row>
    <row r="144" spans="1:9">
      <c r="A144" s="1">
        <v>45107</v>
      </c>
      <c r="B144" s="16" t="s">
        <v>40</v>
      </c>
      <c r="C144">
        <v>16</v>
      </c>
      <c r="D144">
        <v>267.39999999999998</v>
      </c>
      <c r="E144">
        <v>90</v>
      </c>
      <c r="F144" s="5">
        <v>0.66</v>
      </c>
      <c r="G144" s="8">
        <v>13.5</v>
      </c>
      <c r="H144" s="5">
        <v>81.8</v>
      </c>
      <c r="I144" s="5">
        <v>78.8</v>
      </c>
    </row>
    <row r="145" spans="1:9">
      <c r="A145" s="1">
        <v>45107</v>
      </c>
      <c r="B145" s="16" t="s">
        <v>40</v>
      </c>
      <c r="C145">
        <v>17</v>
      </c>
      <c r="D145">
        <v>267.03699999999998</v>
      </c>
      <c r="E145">
        <v>94</v>
      </c>
      <c r="F145" s="5">
        <v>0.47</v>
      </c>
      <c r="G145" s="8">
        <v>12.3</v>
      </c>
      <c r="H145" s="5">
        <v>82.99</v>
      </c>
      <c r="I145" s="5">
        <v>72.34</v>
      </c>
    </row>
    <row r="146" spans="1:9">
      <c r="A146" s="1">
        <v>45107</v>
      </c>
      <c r="B146" s="16" t="s">
        <v>40</v>
      </c>
      <c r="C146">
        <v>18</v>
      </c>
      <c r="D146">
        <v>245.869</v>
      </c>
      <c r="E146">
        <v>95</v>
      </c>
      <c r="F146" s="5">
        <v>0.5</v>
      </c>
      <c r="G146" s="8">
        <v>11.8</v>
      </c>
      <c r="H146" s="5">
        <v>78.209999999999994</v>
      </c>
      <c r="I146" s="5">
        <v>72.7</v>
      </c>
    </row>
    <row r="147" spans="1:9">
      <c r="A147" s="1">
        <v>45107</v>
      </c>
      <c r="B147" s="16" t="s">
        <v>40</v>
      </c>
      <c r="C147">
        <v>19</v>
      </c>
      <c r="D147">
        <v>223.04599999999999</v>
      </c>
      <c r="E147">
        <v>86</v>
      </c>
      <c r="F147" s="5">
        <v>0.59</v>
      </c>
      <c r="G147" s="8">
        <v>10.9</v>
      </c>
      <c r="H147" s="5">
        <v>74.86</v>
      </c>
      <c r="I147" s="5">
        <v>74.62</v>
      </c>
    </row>
    <row r="148" spans="1:9">
      <c r="A148" s="1">
        <v>45107</v>
      </c>
      <c r="B148" s="16" t="s">
        <v>40</v>
      </c>
      <c r="C148">
        <v>20</v>
      </c>
      <c r="D148">
        <v>240.32300000000001</v>
      </c>
      <c r="E148">
        <v>91</v>
      </c>
      <c r="F148" s="5">
        <v>0.52</v>
      </c>
      <c r="G148" s="8">
        <v>11</v>
      </c>
      <c r="H148" s="5">
        <v>76.52</v>
      </c>
      <c r="I148" s="5">
        <v>77.06</v>
      </c>
    </row>
    <row r="149" spans="1:9">
      <c r="A149" s="1">
        <v>45107</v>
      </c>
      <c r="B149" s="16" t="s">
        <v>44</v>
      </c>
      <c r="C149">
        <v>42</v>
      </c>
      <c r="D149">
        <v>7290</v>
      </c>
      <c r="F149" s="5"/>
      <c r="G149" s="8"/>
    </row>
    <row r="150" spans="1:9">
      <c r="A150" s="1">
        <v>45107</v>
      </c>
      <c r="B150" s="16" t="s">
        <v>44</v>
      </c>
      <c r="C150">
        <v>1</v>
      </c>
      <c r="D150">
        <v>188.11099999999999</v>
      </c>
      <c r="E150">
        <v>84</v>
      </c>
      <c r="F150" s="5">
        <v>0.45</v>
      </c>
      <c r="G150" s="8">
        <v>11.8</v>
      </c>
      <c r="H150" s="5">
        <v>71.62</v>
      </c>
      <c r="I150" s="5">
        <v>65.7</v>
      </c>
    </row>
    <row r="151" spans="1:9">
      <c r="A151" s="1">
        <v>45107</v>
      </c>
      <c r="B151" s="16" t="s">
        <v>44</v>
      </c>
      <c r="C151">
        <v>2</v>
      </c>
      <c r="D151">
        <v>177.68700000000001</v>
      </c>
      <c r="E151">
        <v>88</v>
      </c>
      <c r="F151" s="5">
        <v>0.51</v>
      </c>
      <c r="G151" s="8">
        <v>11.6</v>
      </c>
      <c r="H151" s="5">
        <v>70.27</v>
      </c>
      <c r="I151" s="5">
        <v>66.5</v>
      </c>
    </row>
    <row r="152" spans="1:9">
      <c r="A152" s="1">
        <v>45107</v>
      </c>
      <c r="B152" s="16" t="s">
        <v>44</v>
      </c>
      <c r="C152">
        <v>3</v>
      </c>
      <c r="D152">
        <v>169.54599999999999</v>
      </c>
      <c r="E152">
        <v>93</v>
      </c>
      <c r="F152" s="5">
        <v>0.48</v>
      </c>
      <c r="G152" s="8">
        <v>12.1</v>
      </c>
      <c r="H152" s="5">
        <v>68.02</v>
      </c>
      <c r="I152" s="5">
        <v>66.959999999999994</v>
      </c>
    </row>
    <row r="153" spans="1:9">
      <c r="A153" s="1">
        <v>45107</v>
      </c>
      <c r="B153" s="16" t="s">
        <v>44</v>
      </c>
      <c r="C153">
        <v>4</v>
      </c>
      <c r="D153">
        <v>178.654</v>
      </c>
      <c r="E153">
        <v>87</v>
      </c>
      <c r="F153" s="5">
        <v>0.56999999999999995</v>
      </c>
      <c r="G153" s="8">
        <v>12.7</v>
      </c>
      <c r="H153" s="5">
        <v>70.47</v>
      </c>
      <c r="I153" s="5">
        <v>66.430000000000007</v>
      </c>
    </row>
    <row r="154" spans="1:9">
      <c r="A154" s="1">
        <v>45107</v>
      </c>
      <c r="B154" s="16" t="s">
        <v>44</v>
      </c>
      <c r="C154">
        <v>5</v>
      </c>
      <c r="D154">
        <v>159.34</v>
      </c>
      <c r="E154">
        <v>92</v>
      </c>
      <c r="F154" s="5">
        <v>0.41</v>
      </c>
      <c r="G154" s="8">
        <v>12</v>
      </c>
      <c r="H154" s="5">
        <v>68.33</v>
      </c>
      <c r="I154" s="5">
        <v>66.66</v>
      </c>
    </row>
    <row r="155" spans="1:9">
      <c r="A155" s="1">
        <v>45107</v>
      </c>
      <c r="B155" s="16" t="s">
        <v>44</v>
      </c>
      <c r="C155">
        <v>6</v>
      </c>
      <c r="D155">
        <v>183.75399999999999</v>
      </c>
      <c r="E155">
        <v>86</v>
      </c>
      <c r="F155" s="5">
        <v>0.5</v>
      </c>
      <c r="G155" s="8">
        <v>11.5</v>
      </c>
      <c r="H155" s="5">
        <v>71.010000000000005</v>
      </c>
      <c r="I155" s="5">
        <v>68.010000000000005</v>
      </c>
    </row>
    <row r="156" spans="1:9">
      <c r="A156" s="1">
        <v>45107</v>
      </c>
      <c r="B156" s="16" t="s">
        <v>44</v>
      </c>
      <c r="C156">
        <v>7</v>
      </c>
      <c r="D156">
        <v>171.98</v>
      </c>
      <c r="E156">
        <v>88</v>
      </c>
      <c r="F156" s="5">
        <v>0.48</v>
      </c>
      <c r="G156" s="8">
        <v>11.8</v>
      </c>
      <c r="H156" s="5">
        <v>70</v>
      </c>
      <c r="I156" s="5">
        <v>68.44</v>
      </c>
    </row>
    <row r="157" spans="1:9">
      <c r="A157" s="1">
        <v>45107</v>
      </c>
      <c r="B157" s="16" t="s">
        <v>44</v>
      </c>
      <c r="C157">
        <v>8</v>
      </c>
      <c r="D157">
        <v>181.01300000000001</v>
      </c>
      <c r="E157">
        <v>85</v>
      </c>
      <c r="F157" s="5">
        <v>0.49</v>
      </c>
      <c r="G157" s="8">
        <v>11.9</v>
      </c>
      <c r="H157" s="5">
        <v>71.36</v>
      </c>
      <c r="I157" s="5">
        <v>65.94</v>
      </c>
    </row>
    <row r="158" spans="1:9">
      <c r="A158" s="1">
        <v>45107</v>
      </c>
      <c r="B158" s="16" t="s">
        <v>44</v>
      </c>
      <c r="C158">
        <v>9</v>
      </c>
      <c r="D158">
        <v>185.827</v>
      </c>
      <c r="E158">
        <v>83</v>
      </c>
      <c r="F158" s="5">
        <v>0.6</v>
      </c>
      <c r="G158" s="8">
        <v>11.2</v>
      </c>
      <c r="H158" s="5">
        <v>71.900000000000006</v>
      </c>
      <c r="I158" s="5">
        <v>66.650000000000006</v>
      </c>
    </row>
    <row r="159" spans="1:9">
      <c r="A159" s="1">
        <v>45107</v>
      </c>
      <c r="B159" s="16" t="s">
        <v>44</v>
      </c>
      <c r="C159">
        <v>10</v>
      </c>
      <c r="D159">
        <v>176.71</v>
      </c>
      <c r="E159">
        <v>92</v>
      </c>
      <c r="F159" s="5">
        <v>0.54</v>
      </c>
      <c r="G159" s="8">
        <v>11.6</v>
      </c>
      <c r="H159" s="5">
        <v>70.510000000000005</v>
      </c>
      <c r="I159" s="5">
        <v>64.86</v>
      </c>
    </row>
    <row r="160" spans="1:9">
      <c r="A160" s="1">
        <v>45107</v>
      </c>
      <c r="B160" s="16" t="s">
        <v>44</v>
      </c>
      <c r="C160">
        <v>11</v>
      </c>
      <c r="D160">
        <v>143.53700000000001</v>
      </c>
      <c r="E160">
        <v>76</v>
      </c>
      <c r="F160" s="5">
        <v>0.48</v>
      </c>
      <c r="G160" s="8">
        <v>10.6</v>
      </c>
      <c r="H160" s="5">
        <v>63.61</v>
      </c>
      <c r="I160" s="5">
        <v>63.09</v>
      </c>
    </row>
    <row r="161" spans="1:9">
      <c r="A161" s="1">
        <v>45107</v>
      </c>
      <c r="B161" s="16" t="s">
        <v>44</v>
      </c>
      <c r="C161">
        <v>12</v>
      </c>
      <c r="D161">
        <v>175.102</v>
      </c>
      <c r="E161">
        <v>82</v>
      </c>
      <c r="F161" s="5">
        <v>0.48</v>
      </c>
      <c r="G161" s="8">
        <v>11.2</v>
      </c>
      <c r="H161" s="5">
        <v>70.290000000000006</v>
      </c>
      <c r="I161" s="5">
        <v>66.3</v>
      </c>
    </row>
    <row r="162" spans="1:9">
      <c r="A162" s="1">
        <v>45107</v>
      </c>
      <c r="B162" s="16" t="s">
        <v>44</v>
      </c>
      <c r="C162">
        <v>13</v>
      </c>
      <c r="D162">
        <v>163.72</v>
      </c>
      <c r="E162">
        <v>71</v>
      </c>
      <c r="F162" s="5">
        <v>0.46</v>
      </c>
      <c r="G162" s="8">
        <v>11.2</v>
      </c>
      <c r="H162" s="5">
        <v>68.31</v>
      </c>
      <c r="I162" s="5">
        <v>63.84</v>
      </c>
    </row>
    <row r="163" spans="1:9">
      <c r="A163" s="1">
        <v>45107</v>
      </c>
      <c r="B163" s="16" t="s">
        <v>44</v>
      </c>
      <c r="C163">
        <v>14</v>
      </c>
      <c r="D163">
        <v>164.90100000000001</v>
      </c>
      <c r="E163">
        <v>80</v>
      </c>
      <c r="F163" s="5">
        <v>0.53</v>
      </c>
      <c r="G163" s="8">
        <v>12.2</v>
      </c>
      <c r="H163" s="5">
        <v>68.8</v>
      </c>
      <c r="I163" s="5">
        <v>62.6</v>
      </c>
    </row>
    <row r="164" spans="1:9">
      <c r="A164" s="1">
        <v>45107</v>
      </c>
      <c r="B164" s="16" t="s">
        <v>44</v>
      </c>
      <c r="C164">
        <v>15</v>
      </c>
      <c r="D164">
        <v>189.40600000000001</v>
      </c>
      <c r="E164">
        <v>90</v>
      </c>
      <c r="F164" s="5">
        <v>0.45</v>
      </c>
      <c r="G164" s="8">
        <v>13.3</v>
      </c>
      <c r="H164" s="5">
        <v>72.86</v>
      </c>
      <c r="I164" s="5">
        <v>68.3</v>
      </c>
    </row>
    <row r="165" spans="1:9">
      <c r="A165" s="1">
        <v>45107</v>
      </c>
      <c r="B165" s="16" t="s">
        <v>44</v>
      </c>
      <c r="C165">
        <v>16</v>
      </c>
      <c r="D165">
        <v>159.49700000000001</v>
      </c>
      <c r="E165">
        <v>90</v>
      </c>
      <c r="F165" s="5">
        <v>0.5</v>
      </c>
      <c r="G165" s="8">
        <v>12.5</v>
      </c>
      <c r="H165" s="5">
        <v>66.459999999999994</v>
      </c>
      <c r="I165" s="5">
        <v>65.099999999999994</v>
      </c>
    </row>
    <row r="166" spans="1:9">
      <c r="A166" s="1">
        <v>45107</v>
      </c>
      <c r="B166" s="16" t="s">
        <v>44</v>
      </c>
      <c r="C166">
        <v>17</v>
      </c>
      <c r="D166">
        <v>177.60400000000001</v>
      </c>
      <c r="E166">
        <v>86</v>
      </c>
      <c r="F166" s="5">
        <v>0.47</v>
      </c>
      <c r="G166" s="8">
        <v>12.3</v>
      </c>
      <c r="H166" s="5">
        <v>71.03</v>
      </c>
      <c r="I166" s="5">
        <v>66.67</v>
      </c>
    </row>
    <row r="167" spans="1:9">
      <c r="A167" s="1">
        <v>45107</v>
      </c>
      <c r="B167" s="16" t="s">
        <v>44</v>
      </c>
      <c r="C167">
        <v>18</v>
      </c>
      <c r="D167">
        <v>173.304</v>
      </c>
      <c r="E167">
        <v>93</v>
      </c>
      <c r="F167" s="5">
        <v>0.44</v>
      </c>
      <c r="G167" s="8">
        <v>11.2</v>
      </c>
      <c r="H167" s="5">
        <v>71.28</v>
      </c>
      <c r="I167" s="5">
        <v>65.37</v>
      </c>
    </row>
    <row r="168" spans="1:9">
      <c r="A168" s="1">
        <v>45107</v>
      </c>
      <c r="B168" s="16" t="s">
        <v>44</v>
      </c>
      <c r="C168">
        <v>19</v>
      </c>
      <c r="D168">
        <v>179.87899999999999</v>
      </c>
      <c r="E168">
        <v>84</v>
      </c>
      <c r="F168" s="5">
        <v>0.42</v>
      </c>
      <c r="G168" s="8">
        <v>10.6</v>
      </c>
      <c r="H168" s="5">
        <v>71.94</v>
      </c>
      <c r="I168" s="5">
        <v>65.239999999999995</v>
      </c>
    </row>
    <row r="169" spans="1:9">
      <c r="A169" s="1">
        <v>45107</v>
      </c>
      <c r="B169" s="16" t="s">
        <v>44</v>
      </c>
      <c r="C169">
        <v>20</v>
      </c>
      <c r="D169">
        <v>172.80199999999999</v>
      </c>
      <c r="E169">
        <v>89</v>
      </c>
      <c r="F169" s="5">
        <v>0.5</v>
      </c>
      <c r="G169" s="8">
        <v>10.7</v>
      </c>
      <c r="H169" s="5">
        <v>68.81</v>
      </c>
      <c r="I169" s="5">
        <v>66.290000000000006</v>
      </c>
    </row>
    <row r="170" spans="1:9">
      <c r="A170" s="1">
        <v>45107</v>
      </c>
      <c r="B170" s="16" t="s">
        <v>45</v>
      </c>
      <c r="C170">
        <v>42</v>
      </c>
      <c r="D170">
        <v>8728</v>
      </c>
      <c r="F170" s="5"/>
      <c r="G170" s="8"/>
    </row>
    <row r="171" spans="1:9">
      <c r="A171" s="1">
        <v>45107</v>
      </c>
      <c r="B171" s="16" t="s">
        <v>45</v>
      </c>
      <c r="C171">
        <v>1</v>
      </c>
      <c r="D171">
        <v>207.26</v>
      </c>
      <c r="E171">
        <v>86</v>
      </c>
      <c r="F171" s="5">
        <v>0.48</v>
      </c>
      <c r="G171" s="8">
        <v>10.7</v>
      </c>
      <c r="H171" s="5">
        <v>74.12</v>
      </c>
      <c r="I171" s="5">
        <v>71.34</v>
      </c>
    </row>
    <row r="172" spans="1:9">
      <c r="A172" s="1">
        <v>45107</v>
      </c>
      <c r="B172" s="16" t="s">
        <v>45</v>
      </c>
      <c r="C172">
        <v>2</v>
      </c>
      <c r="D172">
        <v>220.86799999999999</v>
      </c>
      <c r="E172">
        <v>93</v>
      </c>
      <c r="F172" s="5">
        <v>0.49</v>
      </c>
      <c r="G172" s="8">
        <v>9.8000000000000007</v>
      </c>
      <c r="H172" s="5">
        <v>75.319999999999993</v>
      </c>
      <c r="I172" s="5">
        <v>74.12</v>
      </c>
    </row>
    <row r="173" spans="1:9">
      <c r="A173" s="1">
        <v>45107</v>
      </c>
      <c r="B173" s="16" t="s">
        <v>45</v>
      </c>
      <c r="C173">
        <v>3</v>
      </c>
      <c r="D173">
        <v>169.768</v>
      </c>
      <c r="E173">
        <v>85</v>
      </c>
      <c r="F173" s="5">
        <v>0.56000000000000005</v>
      </c>
      <c r="G173" s="8">
        <v>10.8</v>
      </c>
      <c r="H173" s="5">
        <v>70.91</v>
      </c>
      <c r="I173" s="5">
        <v>64.89</v>
      </c>
    </row>
    <row r="174" spans="1:9">
      <c r="A174" s="1">
        <v>45107</v>
      </c>
      <c r="B174" s="16" t="s">
        <v>45</v>
      </c>
      <c r="C174">
        <v>4</v>
      </c>
      <c r="D174">
        <v>220.26</v>
      </c>
      <c r="E174">
        <v>79</v>
      </c>
      <c r="F174" s="5">
        <v>0.51</v>
      </c>
      <c r="G174" s="8">
        <v>12.3</v>
      </c>
      <c r="H174" s="5">
        <v>77.95</v>
      </c>
      <c r="I174" s="5">
        <v>69.930000000000007</v>
      </c>
    </row>
    <row r="175" spans="1:9">
      <c r="A175" s="1">
        <v>45107</v>
      </c>
      <c r="B175" s="16" t="s">
        <v>45</v>
      </c>
      <c r="C175">
        <v>5</v>
      </c>
      <c r="D175">
        <v>221.61600000000001</v>
      </c>
      <c r="E175">
        <v>87</v>
      </c>
      <c r="F175" s="5">
        <v>0.53</v>
      </c>
      <c r="G175" s="8">
        <v>11.3</v>
      </c>
      <c r="H175" s="5">
        <v>76.819999999999993</v>
      </c>
      <c r="I175" s="5">
        <v>72.8</v>
      </c>
    </row>
    <row r="176" spans="1:9">
      <c r="A176" s="1">
        <v>45107</v>
      </c>
      <c r="B176" s="16" t="s">
        <v>45</v>
      </c>
      <c r="C176">
        <v>6</v>
      </c>
      <c r="D176">
        <v>188.119</v>
      </c>
      <c r="E176">
        <v>83</v>
      </c>
      <c r="F176" s="5">
        <v>0.52</v>
      </c>
      <c r="G176" s="8">
        <v>12</v>
      </c>
      <c r="H176" s="5">
        <v>71.97</v>
      </c>
      <c r="I176" s="5">
        <v>66.73</v>
      </c>
    </row>
    <row r="177" spans="1:9">
      <c r="A177" s="1">
        <v>45107</v>
      </c>
      <c r="B177" s="16" t="s">
        <v>45</v>
      </c>
      <c r="C177">
        <v>7</v>
      </c>
      <c r="D177">
        <v>176.19900000000001</v>
      </c>
      <c r="E177">
        <v>82</v>
      </c>
      <c r="F177" s="5">
        <v>0.56000000000000005</v>
      </c>
      <c r="G177" s="8">
        <v>11.1</v>
      </c>
      <c r="H177" s="5">
        <v>70.239999999999995</v>
      </c>
      <c r="I177" s="5">
        <v>69.900000000000006</v>
      </c>
    </row>
    <row r="178" spans="1:9">
      <c r="A178" s="1">
        <v>45107</v>
      </c>
      <c r="B178" s="16" t="s">
        <v>45</v>
      </c>
      <c r="C178">
        <v>8</v>
      </c>
      <c r="D178">
        <v>231.649</v>
      </c>
      <c r="E178">
        <v>90</v>
      </c>
      <c r="F178" s="5">
        <v>0.79</v>
      </c>
      <c r="G178" s="8">
        <v>11.1</v>
      </c>
      <c r="H178" s="5">
        <v>79.77</v>
      </c>
      <c r="I178" s="5">
        <v>71.27</v>
      </c>
    </row>
    <row r="179" spans="1:9">
      <c r="A179" s="1">
        <v>45107</v>
      </c>
      <c r="B179" s="16" t="s">
        <v>45</v>
      </c>
      <c r="C179">
        <v>9</v>
      </c>
      <c r="D179">
        <v>163.649</v>
      </c>
      <c r="E179">
        <v>87</v>
      </c>
      <c r="F179" s="5">
        <v>0.51</v>
      </c>
      <c r="G179" s="8">
        <v>12</v>
      </c>
      <c r="H179" s="5">
        <v>67.349999999999994</v>
      </c>
      <c r="I179" s="5">
        <v>63.94</v>
      </c>
    </row>
    <row r="180" spans="1:9">
      <c r="A180" s="1">
        <v>45107</v>
      </c>
      <c r="B180" s="16" t="s">
        <v>45</v>
      </c>
      <c r="C180">
        <v>10</v>
      </c>
      <c r="D180">
        <v>146.66</v>
      </c>
      <c r="E180">
        <v>80</v>
      </c>
      <c r="F180" s="5">
        <v>0.55000000000000004</v>
      </c>
      <c r="G180" s="8">
        <v>12.6</v>
      </c>
      <c r="H180" s="5">
        <v>66.27</v>
      </c>
      <c r="I180" s="5">
        <v>60.18</v>
      </c>
    </row>
    <row r="181" spans="1:9">
      <c r="A181" s="1">
        <v>45107</v>
      </c>
      <c r="B181" s="16" t="s">
        <v>45</v>
      </c>
      <c r="C181">
        <v>11</v>
      </c>
      <c r="D181">
        <v>194.12299999999999</v>
      </c>
      <c r="E181">
        <v>93</v>
      </c>
      <c r="F181" s="5">
        <v>0.54</v>
      </c>
      <c r="G181" s="8">
        <v>12</v>
      </c>
      <c r="H181" s="5">
        <v>72.349999999999994</v>
      </c>
      <c r="I181" s="5">
        <v>69.78</v>
      </c>
    </row>
    <row r="182" spans="1:9">
      <c r="A182" s="1">
        <v>45107</v>
      </c>
      <c r="B182" s="16" t="s">
        <v>45</v>
      </c>
      <c r="C182">
        <v>12</v>
      </c>
      <c r="D182">
        <v>255.036</v>
      </c>
      <c r="E182">
        <v>86</v>
      </c>
      <c r="F182" s="5">
        <v>0.5</v>
      </c>
      <c r="G182" s="8">
        <v>12.3</v>
      </c>
      <c r="H182" s="5">
        <v>82.56</v>
      </c>
      <c r="I182" s="5">
        <v>73.73</v>
      </c>
    </row>
    <row r="183" spans="1:9">
      <c r="A183" s="1">
        <v>45107</v>
      </c>
      <c r="B183" s="16" t="s">
        <v>45</v>
      </c>
      <c r="C183">
        <v>13</v>
      </c>
      <c r="D183">
        <v>290.40699999999998</v>
      </c>
      <c r="E183">
        <v>90</v>
      </c>
      <c r="F183" s="5">
        <v>0.68</v>
      </c>
      <c r="G183" s="8">
        <v>13.2</v>
      </c>
      <c r="H183" s="5">
        <v>84.84</v>
      </c>
      <c r="I183" s="5">
        <v>78.42</v>
      </c>
    </row>
    <row r="184" spans="1:9">
      <c r="A184" s="1">
        <v>45107</v>
      </c>
      <c r="B184" s="16" t="s">
        <v>45</v>
      </c>
      <c r="C184">
        <v>14</v>
      </c>
      <c r="D184">
        <v>247.79499999999999</v>
      </c>
      <c r="E184">
        <v>92</v>
      </c>
      <c r="F184" s="5">
        <v>0.62</v>
      </c>
      <c r="G184" s="8">
        <v>11.3</v>
      </c>
      <c r="H184" s="5">
        <v>80.069999999999993</v>
      </c>
      <c r="I184" s="5">
        <v>73.33</v>
      </c>
    </row>
    <row r="185" spans="1:9">
      <c r="A185" s="1">
        <v>45107</v>
      </c>
      <c r="B185" s="16" t="s">
        <v>45</v>
      </c>
      <c r="C185">
        <v>15</v>
      </c>
      <c r="D185">
        <v>202.48099999999999</v>
      </c>
      <c r="E185">
        <v>93</v>
      </c>
      <c r="F185" s="5">
        <v>0.61</v>
      </c>
      <c r="G185" s="8">
        <v>11.8</v>
      </c>
      <c r="H185" s="5">
        <v>73.989999999999995</v>
      </c>
      <c r="I185" s="5">
        <v>70.400000000000006</v>
      </c>
    </row>
    <row r="186" spans="1:9">
      <c r="A186" s="1">
        <v>45107</v>
      </c>
      <c r="B186" s="16" t="s">
        <v>45</v>
      </c>
      <c r="C186">
        <v>16</v>
      </c>
      <c r="D186">
        <v>199.29400000000001</v>
      </c>
      <c r="E186">
        <v>89</v>
      </c>
      <c r="F186" s="5">
        <v>0.59</v>
      </c>
      <c r="G186" s="8">
        <v>11.1</v>
      </c>
      <c r="H186" s="5">
        <v>73.78</v>
      </c>
      <c r="I186" s="5">
        <v>68.67</v>
      </c>
    </row>
    <row r="187" spans="1:9">
      <c r="A187" s="1">
        <v>45107</v>
      </c>
      <c r="B187" s="16" t="s">
        <v>45</v>
      </c>
      <c r="C187">
        <v>17</v>
      </c>
      <c r="D187">
        <v>182.93899999999999</v>
      </c>
      <c r="E187">
        <v>92</v>
      </c>
      <c r="F187" s="5">
        <v>0.59</v>
      </c>
      <c r="G187" s="8">
        <v>13</v>
      </c>
      <c r="H187" s="5">
        <v>72.25</v>
      </c>
      <c r="I187" s="5">
        <v>71.33</v>
      </c>
    </row>
    <row r="188" spans="1:9">
      <c r="A188" s="1">
        <v>45107</v>
      </c>
      <c r="B188" s="16" t="s">
        <v>45</v>
      </c>
      <c r="C188">
        <v>18</v>
      </c>
      <c r="D188">
        <v>228.67</v>
      </c>
      <c r="E188">
        <v>97</v>
      </c>
      <c r="F188" s="5">
        <v>0.61</v>
      </c>
      <c r="G188" s="8">
        <v>12.2</v>
      </c>
      <c r="H188" s="5">
        <v>77.349999999999994</v>
      </c>
      <c r="I188" s="5">
        <v>74.55</v>
      </c>
    </row>
    <row r="189" spans="1:9">
      <c r="A189" s="1">
        <v>45107</v>
      </c>
      <c r="B189" s="16" t="s">
        <v>45</v>
      </c>
      <c r="C189">
        <v>19</v>
      </c>
      <c r="D189">
        <v>230.38499999999999</v>
      </c>
      <c r="E189">
        <v>94</v>
      </c>
      <c r="F189" s="5">
        <v>0.54</v>
      </c>
      <c r="G189" s="8">
        <v>11.9</v>
      </c>
      <c r="H189" s="5">
        <v>81.31</v>
      </c>
      <c r="I189" s="5">
        <v>70.22</v>
      </c>
    </row>
    <row r="190" spans="1:9">
      <c r="A190" s="1">
        <v>45107</v>
      </c>
      <c r="B190" s="16" t="s">
        <v>45</v>
      </c>
      <c r="C190">
        <v>20</v>
      </c>
      <c r="D190">
        <v>187.21199999999999</v>
      </c>
      <c r="E190">
        <v>97</v>
      </c>
      <c r="F190" s="5">
        <v>0.56000000000000005</v>
      </c>
      <c r="G190" s="8">
        <v>11.3</v>
      </c>
      <c r="H190" s="5">
        <v>71.709999999999994</v>
      </c>
      <c r="I190" s="5">
        <v>70.53</v>
      </c>
    </row>
    <row r="191" spans="1:9">
      <c r="A191" s="1">
        <v>45107</v>
      </c>
      <c r="B191" s="16" t="s">
        <v>46</v>
      </c>
      <c r="C191">
        <v>41</v>
      </c>
      <c r="D191">
        <v>7596</v>
      </c>
      <c r="F191" s="5"/>
      <c r="G191" s="8"/>
    </row>
    <row r="192" spans="1:9">
      <c r="A192" s="1">
        <v>45107</v>
      </c>
      <c r="B192" s="16" t="s">
        <v>46</v>
      </c>
      <c r="C192">
        <v>1</v>
      </c>
      <c r="D192">
        <v>180.93</v>
      </c>
      <c r="E192">
        <v>93</v>
      </c>
      <c r="F192" s="5">
        <v>0.42</v>
      </c>
      <c r="G192" s="8">
        <v>10.5</v>
      </c>
      <c r="H192" s="5">
        <v>69.8</v>
      </c>
      <c r="I192" s="5">
        <v>64.88</v>
      </c>
    </row>
    <row r="193" spans="1:9">
      <c r="A193" s="1">
        <v>45107</v>
      </c>
      <c r="B193" s="16" t="s">
        <v>46</v>
      </c>
      <c r="C193">
        <v>2</v>
      </c>
      <c r="D193">
        <v>182.649</v>
      </c>
      <c r="E193">
        <v>93</v>
      </c>
      <c r="F193" s="5">
        <v>0.53</v>
      </c>
      <c r="G193" s="8">
        <v>11.6</v>
      </c>
      <c r="H193" s="5">
        <v>69.59</v>
      </c>
      <c r="I193" s="5">
        <v>71.91</v>
      </c>
    </row>
    <row r="194" spans="1:9">
      <c r="A194" s="1">
        <v>45107</v>
      </c>
      <c r="B194" s="16" t="s">
        <v>46</v>
      </c>
      <c r="C194">
        <v>3</v>
      </c>
      <c r="D194">
        <v>212.56100000000001</v>
      </c>
      <c r="E194">
        <v>97</v>
      </c>
      <c r="F194" s="5">
        <v>0.55000000000000004</v>
      </c>
      <c r="G194" s="8">
        <v>11.5</v>
      </c>
      <c r="H194" s="5">
        <v>73.59</v>
      </c>
      <c r="I194" s="5">
        <v>69.709999999999994</v>
      </c>
    </row>
    <row r="195" spans="1:9">
      <c r="A195" s="1">
        <v>45107</v>
      </c>
      <c r="B195" s="16" t="s">
        <v>46</v>
      </c>
      <c r="C195">
        <v>4</v>
      </c>
      <c r="D195">
        <v>199.458</v>
      </c>
      <c r="E195">
        <v>92</v>
      </c>
      <c r="F195" s="5">
        <v>0.49</v>
      </c>
      <c r="G195" s="8">
        <v>11.6</v>
      </c>
      <c r="H195" s="5">
        <v>72.650000000000006</v>
      </c>
      <c r="I195" s="5">
        <v>68.61</v>
      </c>
    </row>
    <row r="196" spans="1:9">
      <c r="A196" s="1">
        <v>45107</v>
      </c>
      <c r="B196" s="16" t="s">
        <v>46</v>
      </c>
      <c r="C196">
        <v>5</v>
      </c>
      <c r="D196">
        <v>175.27799999999999</v>
      </c>
      <c r="E196">
        <v>82</v>
      </c>
      <c r="F196" s="5">
        <v>0.55000000000000004</v>
      </c>
      <c r="G196" s="8">
        <v>10.4</v>
      </c>
      <c r="H196" s="5">
        <v>68.19</v>
      </c>
      <c r="I196" s="5">
        <v>64.739999999999995</v>
      </c>
    </row>
    <row r="197" spans="1:9">
      <c r="A197" s="1">
        <v>45107</v>
      </c>
      <c r="B197" s="16" t="s">
        <v>46</v>
      </c>
      <c r="C197">
        <v>6</v>
      </c>
      <c r="D197">
        <v>188.24600000000001</v>
      </c>
      <c r="E197">
        <v>88</v>
      </c>
      <c r="F197" s="5">
        <v>0.46</v>
      </c>
      <c r="G197" s="8">
        <v>11</v>
      </c>
      <c r="H197" s="5">
        <v>70.92</v>
      </c>
      <c r="I197" s="5">
        <v>70.02</v>
      </c>
    </row>
    <row r="198" spans="1:9">
      <c r="A198" s="1">
        <v>45107</v>
      </c>
      <c r="B198" s="16" t="s">
        <v>46</v>
      </c>
      <c r="C198">
        <v>7</v>
      </c>
      <c r="D198">
        <v>179.26499999999999</v>
      </c>
      <c r="E198">
        <v>90</v>
      </c>
      <c r="F198" s="5">
        <v>0.59</v>
      </c>
      <c r="G198" s="8">
        <v>10.7</v>
      </c>
      <c r="H198" s="5">
        <v>68.97</v>
      </c>
      <c r="I198" s="5">
        <v>67.36</v>
      </c>
    </row>
    <row r="199" spans="1:9">
      <c r="A199" s="1">
        <v>45107</v>
      </c>
      <c r="B199" s="16" t="s">
        <v>46</v>
      </c>
      <c r="C199">
        <v>8</v>
      </c>
      <c r="D199">
        <v>168.38200000000001</v>
      </c>
      <c r="E199">
        <v>87</v>
      </c>
      <c r="F199" s="5">
        <v>0.48</v>
      </c>
      <c r="G199" s="8">
        <v>11.1</v>
      </c>
      <c r="H199" s="5">
        <v>67.83</v>
      </c>
      <c r="I199" s="5">
        <v>66.069999999999993</v>
      </c>
    </row>
    <row r="200" spans="1:9">
      <c r="A200" s="1">
        <v>45107</v>
      </c>
      <c r="B200" s="16" t="s">
        <v>46</v>
      </c>
      <c r="C200">
        <v>9</v>
      </c>
      <c r="D200">
        <v>195.208</v>
      </c>
      <c r="E200">
        <v>91</v>
      </c>
      <c r="F200" s="5">
        <v>0.56000000000000005</v>
      </c>
      <c r="G200" s="8">
        <v>12</v>
      </c>
      <c r="H200" s="5">
        <v>71.42</v>
      </c>
      <c r="I200" s="5">
        <v>70</v>
      </c>
    </row>
    <row r="201" spans="1:9">
      <c r="A201" s="1">
        <v>45107</v>
      </c>
      <c r="B201" s="16" t="s">
        <v>46</v>
      </c>
      <c r="C201">
        <v>10</v>
      </c>
      <c r="D201">
        <v>151.22800000000001</v>
      </c>
      <c r="E201">
        <v>86</v>
      </c>
      <c r="F201" s="5">
        <v>0.73</v>
      </c>
      <c r="G201" s="8">
        <v>10.9</v>
      </c>
      <c r="H201" s="5">
        <v>64.37</v>
      </c>
      <c r="I201" s="5">
        <v>64.099999999999994</v>
      </c>
    </row>
    <row r="202" spans="1:9">
      <c r="A202" s="1">
        <v>45107</v>
      </c>
      <c r="B202" s="16" t="s">
        <v>46</v>
      </c>
      <c r="C202">
        <v>11</v>
      </c>
      <c r="D202">
        <v>157.976</v>
      </c>
      <c r="E202">
        <v>98</v>
      </c>
      <c r="F202" s="5">
        <v>0.51</v>
      </c>
      <c r="G202" s="8">
        <v>11.1</v>
      </c>
      <c r="H202" s="5">
        <v>67.599999999999994</v>
      </c>
      <c r="I202" s="5">
        <v>64.66</v>
      </c>
    </row>
    <row r="203" spans="1:9">
      <c r="A203" s="1">
        <v>45107</v>
      </c>
      <c r="B203" s="16" t="s">
        <v>46</v>
      </c>
      <c r="C203">
        <v>12</v>
      </c>
      <c r="D203">
        <v>219.988</v>
      </c>
      <c r="E203">
        <v>97</v>
      </c>
      <c r="F203" s="5">
        <v>0.53</v>
      </c>
      <c r="G203" s="8">
        <v>10.4</v>
      </c>
      <c r="H203" s="5">
        <v>75.05</v>
      </c>
      <c r="I203" s="5">
        <v>71.45</v>
      </c>
    </row>
    <row r="204" spans="1:9">
      <c r="A204" s="1">
        <v>45107</v>
      </c>
      <c r="B204" s="16" t="s">
        <v>46</v>
      </c>
      <c r="C204">
        <v>13</v>
      </c>
      <c r="D204">
        <v>173.13399999999999</v>
      </c>
      <c r="E204">
        <v>90</v>
      </c>
      <c r="F204" s="5">
        <v>0.52</v>
      </c>
      <c r="G204" s="8">
        <v>13.1</v>
      </c>
      <c r="H204" s="5">
        <v>69.42</v>
      </c>
      <c r="I204" s="5">
        <v>64.319999999999993</v>
      </c>
    </row>
    <row r="205" spans="1:9">
      <c r="A205" s="1">
        <v>45107</v>
      </c>
      <c r="B205" s="16" t="s">
        <v>46</v>
      </c>
      <c r="C205">
        <v>14</v>
      </c>
      <c r="D205">
        <v>189.93</v>
      </c>
      <c r="E205">
        <v>93</v>
      </c>
      <c r="F205" s="5">
        <v>0.53</v>
      </c>
      <c r="G205" s="8">
        <v>12.7</v>
      </c>
      <c r="H205" s="5">
        <v>71.22</v>
      </c>
      <c r="I205" s="5">
        <v>69.040000000000006</v>
      </c>
    </row>
    <row r="206" spans="1:9">
      <c r="A206" s="1">
        <v>45107</v>
      </c>
      <c r="B206" s="16" t="s">
        <v>46</v>
      </c>
      <c r="C206">
        <v>15</v>
      </c>
      <c r="D206">
        <v>182.089</v>
      </c>
      <c r="E206">
        <v>93</v>
      </c>
      <c r="F206" s="5">
        <v>0.51</v>
      </c>
      <c r="G206" s="8">
        <v>12.1</v>
      </c>
      <c r="H206" s="5">
        <v>70.459999999999994</v>
      </c>
      <c r="I206" s="5">
        <v>67.13</v>
      </c>
    </row>
    <row r="207" spans="1:9">
      <c r="A207" s="1">
        <v>45107</v>
      </c>
      <c r="B207" s="16" t="s">
        <v>46</v>
      </c>
      <c r="C207">
        <v>16</v>
      </c>
      <c r="D207">
        <v>187.148</v>
      </c>
      <c r="E207">
        <v>96</v>
      </c>
      <c r="F207" s="5">
        <v>0.63</v>
      </c>
      <c r="G207" s="8">
        <v>12.2</v>
      </c>
      <c r="H207" s="5">
        <v>70.959999999999994</v>
      </c>
      <c r="I207" s="5">
        <v>66.53</v>
      </c>
    </row>
    <row r="208" spans="1:9">
      <c r="A208" s="1">
        <v>45107</v>
      </c>
      <c r="B208" s="16" t="s">
        <v>46</v>
      </c>
      <c r="C208">
        <v>17</v>
      </c>
      <c r="D208">
        <v>208.25299999999999</v>
      </c>
      <c r="E208">
        <v>87</v>
      </c>
      <c r="F208" s="5">
        <v>0.54</v>
      </c>
      <c r="G208" s="8">
        <v>12.1</v>
      </c>
      <c r="H208" s="5">
        <v>76.17</v>
      </c>
      <c r="I208" s="5">
        <v>70.14</v>
      </c>
    </row>
    <row r="209" spans="1:9">
      <c r="A209" s="1">
        <v>45107</v>
      </c>
      <c r="B209" s="16" t="s">
        <v>46</v>
      </c>
      <c r="C209">
        <v>18</v>
      </c>
      <c r="D209">
        <v>196.94</v>
      </c>
      <c r="E209">
        <v>83</v>
      </c>
      <c r="F209" s="5">
        <v>0.55000000000000004</v>
      </c>
      <c r="G209" s="8">
        <v>11.2</v>
      </c>
      <c r="H209" s="5">
        <v>74.58</v>
      </c>
      <c r="I209" s="5">
        <v>66.099999999999994</v>
      </c>
    </row>
    <row r="210" spans="1:9">
      <c r="A210" s="1">
        <v>45107</v>
      </c>
      <c r="B210" s="16" t="s">
        <v>46</v>
      </c>
      <c r="C210">
        <v>19</v>
      </c>
      <c r="D210">
        <v>192.68199999999999</v>
      </c>
      <c r="E210">
        <v>93</v>
      </c>
      <c r="F210" s="5">
        <v>0.63</v>
      </c>
      <c r="G210" s="8">
        <v>13.5</v>
      </c>
      <c r="H210" s="5">
        <v>77.23</v>
      </c>
      <c r="I210" s="5">
        <v>67.17</v>
      </c>
    </row>
    <row r="211" spans="1:9">
      <c r="A211" s="1">
        <v>45107</v>
      </c>
      <c r="B211" s="16" t="s">
        <v>46</v>
      </c>
      <c r="C211">
        <v>20</v>
      </c>
      <c r="D211">
        <v>161.91999999999999</v>
      </c>
      <c r="E211">
        <v>93</v>
      </c>
      <c r="F211" s="5">
        <v>0.49</v>
      </c>
      <c r="G211" s="8">
        <v>13.2</v>
      </c>
      <c r="H211" s="5">
        <v>68.349999999999994</v>
      </c>
      <c r="I211" s="5">
        <v>62</v>
      </c>
    </row>
    <row r="212" spans="1:9">
      <c r="A212" s="1">
        <v>45107</v>
      </c>
      <c r="B212" s="16" t="s">
        <v>47</v>
      </c>
      <c r="C212">
        <v>28</v>
      </c>
      <c r="D212">
        <v>5785</v>
      </c>
      <c r="F212" s="5"/>
      <c r="G212" s="8"/>
    </row>
    <row r="213" spans="1:9">
      <c r="A213" s="1">
        <v>45107</v>
      </c>
      <c r="B213" s="16" t="s">
        <v>47</v>
      </c>
      <c r="C213">
        <v>1</v>
      </c>
      <c r="D213">
        <v>213.512</v>
      </c>
      <c r="E213">
        <v>91</v>
      </c>
      <c r="F213" s="5">
        <v>0.46</v>
      </c>
      <c r="G213" s="8">
        <v>10.5</v>
      </c>
      <c r="H213" s="5">
        <v>74.2</v>
      </c>
      <c r="I213" s="5">
        <v>78.67</v>
      </c>
    </row>
    <row r="214" spans="1:9">
      <c r="A214" s="1">
        <v>45107</v>
      </c>
      <c r="B214" s="16" t="s">
        <v>47</v>
      </c>
      <c r="C214">
        <v>2</v>
      </c>
      <c r="D214">
        <v>239.23599999999999</v>
      </c>
      <c r="E214">
        <v>90</v>
      </c>
      <c r="F214" s="5">
        <v>0.77</v>
      </c>
      <c r="G214" s="8">
        <v>11.8</v>
      </c>
      <c r="H214" s="5">
        <v>78.39</v>
      </c>
      <c r="I214" s="5">
        <v>70.48</v>
      </c>
    </row>
    <row r="215" spans="1:9">
      <c r="A215" s="1">
        <v>45107</v>
      </c>
      <c r="B215" s="16" t="s">
        <v>47</v>
      </c>
      <c r="C215">
        <v>3</v>
      </c>
      <c r="D215">
        <v>206.756</v>
      </c>
      <c r="E215">
        <v>92</v>
      </c>
      <c r="F215" s="5">
        <v>0.6</v>
      </c>
      <c r="G215" s="8">
        <v>12.2</v>
      </c>
      <c r="H215" s="5">
        <v>75.13</v>
      </c>
      <c r="I215" s="5">
        <v>68.7</v>
      </c>
    </row>
    <row r="216" spans="1:9">
      <c r="A216" s="1">
        <v>45107</v>
      </c>
      <c r="B216" s="16" t="s">
        <v>47</v>
      </c>
      <c r="C216">
        <v>4</v>
      </c>
      <c r="D216">
        <v>225.31899999999999</v>
      </c>
      <c r="E216">
        <v>95</v>
      </c>
      <c r="F216" s="5">
        <v>0.51</v>
      </c>
      <c r="G216" s="8">
        <v>11.8</v>
      </c>
      <c r="H216" s="5">
        <v>77.290000000000006</v>
      </c>
      <c r="I216" s="5">
        <v>71</v>
      </c>
    </row>
    <row r="217" spans="1:9">
      <c r="A217" s="1">
        <v>45107</v>
      </c>
      <c r="B217" s="16" t="s">
        <v>47</v>
      </c>
      <c r="C217">
        <v>5</v>
      </c>
      <c r="D217">
        <v>201.476</v>
      </c>
      <c r="E217">
        <v>100</v>
      </c>
      <c r="F217" s="5">
        <v>0.82</v>
      </c>
      <c r="G217" s="8">
        <v>12.4</v>
      </c>
      <c r="H217" s="5">
        <v>73.5</v>
      </c>
      <c r="I217" s="5">
        <v>67.16</v>
      </c>
    </row>
    <row r="218" spans="1:9">
      <c r="A218" s="1">
        <v>45107</v>
      </c>
      <c r="B218" s="16" t="s">
        <v>47</v>
      </c>
      <c r="C218">
        <v>6</v>
      </c>
      <c r="D218">
        <v>185.923</v>
      </c>
      <c r="E218">
        <v>93</v>
      </c>
      <c r="F218" s="5">
        <v>0.63</v>
      </c>
      <c r="G218" s="8">
        <v>11.8</v>
      </c>
      <c r="H218" s="5">
        <v>71.150000000000006</v>
      </c>
      <c r="I218" s="5">
        <v>66.39</v>
      </c>
    </row>
    <row r="219" spans="1:9">
      <c r="A219" s="1">
        <v>45107</v>
      </c>
      <c r="B219" s="16" t="s">
        <v>47</v>
      </c>
      <c r="C219">
        <v>7</v>
      </c>
      <c r="D219">
        <v>207.376</v>
      </c>
      <c r="E219">
        <v>93</v>
      </c>
      <c r="F219" s="5">
        <v>0.55000000000000004</v>
      </c>
      <c r="G219" s="8">
        <v>11.6</v>
      </c>
      <c r="H219" s="5">
        <v>72.22</v>
      </c>
      <c r="I219" s="5">
        <v>71.72</v>
      </c>
    </row>
    <row r="220" spans="1:9">
      <c r="A220" s="1">
        <v>45107</v>
      </c>
      <c r="B220" s="16" t="s">
        <v>47</v>
      </c>
      <c r="C220">
        <v>8</v>
      </c>
      <c r="D220">
        <v>173.67099999999999</v>
      </c>
      <c r="E220">
        <v>87</v>
      </c>
      <c r="F220" s="5">
        <v>0.54</v>
      </c>
      <c r="G220" s="8">
        <v>11.3</v>
      </c>
      <c r="H220" s="5">
        <v>70.37</v>
      </c>
      <c r="I220" s="5">
        <v>67.44</v>
      </c>
    </row>
    <row r="221" spans="1:9">
      <c r="A221" s="1">
        <v>45107</v>
      </c>
      <c r="B221" s="16" t="s">
        <v>47</v>
      </c>
      <c r="C221">
        <v>9</v>
      </c>
      <c r="D221">
        <v>239.91800000000001</v>
      </c>
      <c r="E221">
        <v>93</v>
      </c>
      <c r="F221" s="5">
        <v>0.56000000000000005</v>
      </c>
      <c r="G221" s="8">
        <v>10.8</v>
      </c>
      <c r="H221" s="5">
        <v>77.12</v>
      </c>
      <c r="I221" s="5">
        <v>75.760000000000005</v>
      </c>
    </row>
    <row r="222" spans="1:9">
      <c r="A222" s="1">
        <v>45107</v>
      </c>
      <c r="B222" s="16" t="s">
        <v>47</v>
      </c>
      <c r="C222">
        <v>10</v>
      </c>
      <c r="D222">
        <v>201.798</v>
      </c>
      <c r="E222">
        <v>90</v>
      </c>
      <c r="F222" s="5">
        <v>0.64</v>
      </c>
      <c r="G222" s="8">
        <v>11.3</v>
      </c>
      <c r="H222" s="5">
        <v>75.849999999999994</v>
      </c>
      <c r="I222" s="5">
        <v>70.12</v>
      </c>
    </row>
    <row r="223" spans="1:9">
      <c r="A223" s="1">
        <v>45107</v>
      </c>
      <c r="B223" s="16" t="s">
        <v>47</v>
      </c>
      <c r="C223">
        <v>11</v>
      </c>
      <c r="D223">
        <v>157.386</v>
      </c>
      <c r="E223">
        <v>95</v>
      </c>
      <c r="F223" s="5">
        <v>0.63</v>
      </c>
      <c r="G223" s="8">
        <v>12.74</v>
      </c>
      <c r="H223" s="5">
        <v>79.66</v>
      </c>
      <c r="I223" s="5">
        <v>74.03</v>
      </c>
    </row>
    <row r="224" spans="1:9">
      <c r="A224" s="1">
        <v>45107</v>
      </c>
      <c r="B224" s="16" t="s">
        <v>47</v>
      </c>
      <c r="C224">
        <v>12</v>
      </c>
      <c r="D224">
        <v>231.79900000000001</v>
      </c>
      <c r="E224">
        <v>95</v>
      </c>
      <c r="F224" s="5">
        <v>0.55000000000000004</v>
      </c>
      <c r="G224" s="8">
        <v>11</v>
      </c>
      <c r="H224" s="5">
        <v>77.319999999999993</v>
      </c>
      <c r="I224" s="5">
        <v>75.28</v>
      </c>
    </row>
    <row r="225" spans="1:9">
      <c r="A225" s="1">
        <v>45107</v>
      </c>
      <c r="B225" s="16" t="s">
        <v>47</v>
      </c>
      <c r="C225">
        <v>13</v>
      </c>
      <c r="D225">
        <v>188.51499999999999</v>
      </c>
      <c r="E225">
        <v>95</v>
      </c>
      <c r="F225" s="5">
        <v>0.57999999999999996</v>
      </c>
      <c r="G225" s="8">
        <v>13.1</v>
      </c>
      <c r="H225" s="5">
        <v>72.900000000000006</v>
      </c>
      <c r="I225" s="5">
        <v>65.349999999999994</v>
      </c>
    </row>
    <row r="226" spans="1:9">
      <c r="A226" s="1">
        <v>45107</v>
      </c>
      <c r="B226" s="16" t="s">
        <v>47</v>
      </c>
      <c r="C226">
        <v>14</v>
      </c>
      <c r="D226">
        <v>214.30799999999999</v>
      </c>
      <c r="E226">
        <v>87</v>
      </c>
      <c r="F226" s="5">
        <v>0.53</v>
      </c>
      <c r="G226" s="8">
        <v>12.4</v>
      </c>
      <c r="H226" s="5">
        <v>73.989999999999995</v>
      </c>
      <c r="I226" s="5">
        <v>72.010000000000005</v>
      </c>
    </row>
    <row r="227" spans="1:9">
      <c r="A227" s="1">
        <v>45107</v>
      </c>
      <c r="B227" s="16" t="s">
        <v>47</v>
      </c>
      <c r="C227">
        <v>15</v>
      </c>
      <c r="D227">
        <v>201.21700000000001</v>
      </c>
      <c r="E227">
        <v>93</v>
      </c>
      <c r="F227" s="5">
        <v>0.56000000000000005</v>
      </c>
      <c r="G227" s="8">
        <v>14.6</v>
      </c>
      <c r="H227" s="5">
        <v>74.38</v>
      </c>
      <c r="I227" s="5">
        <v>66.69</v>
      </c>
    </row>
    <row r="228" spans="1:9">
      <c r="A228" s="1">
        <v>45107</v>
      </c>
      <c r="B228" s="16" t="s">
        <v>47</v>
      </c>
      <c r="C228">
        <v>16</v>
      </c>
      <c r="D228">
        <v>188.523</v>
      </c>
      <c r="E228">
        <v>95</v>
      </c>
      <c r="F228" s="5">
        <v>0.72</v>
      </c>
      <c r="G228" s="8">
        <v>12.4</v>
      </c>
      <c r="H228" s="5">
        <v>71.44</v>
      </c>
      <c r="I228" s="5">
        <v>71.760000000000005</v>
      </c>
    </row>
    <row r="229" spans="1:9">
      <c r="A229" s="1">
        <v>45107</v>
      </c>
      <c r="B229" s="16" t="s">
        <v>47</v>
      </c>
      <c r="C229">
        <v>17</v>
      </c>
      <c r="D229">
        <v>231.78</v>
      </c>
      <c r="E229">
        <v>89</v>
      </c>
      <c r="F229" s="5">
        <v>0.52</v>
      </c>
      <c r="G229" s="8">
        <v>11.5</v>
      </c>
      <c r="H229" s="5">
        <v>78.77</v>
      </c>
      <c r="I229" s="5">
        <v>74.489999999999995</v>
      </c>
    </row>
    <row r="230" spans="1:9">
      <c r="A230" s="1">
        <v>45107</v>
      </c>
      <c r="B230" s="16" t="s">
        <v>47</v>
      </c>
      <c r="C230">
        <v>18</v>
      </c>
      <c r="D230">
        <v>198.13</v>
      </c>
      <c r="E230">
        <v>95</v>
      </c>
      <c r="F230" s="5">
        <v>0.46</v>
      </c>
      <c r="G230" s="8">
        <v>12.5</v>
      </c>
      <c r="H230" s="5">
        <v>72.989999999999995</v>
      </c>
      <c r="I230" s="5">
        <v>67.849999999999994</v>
      </c>
    </row>
    <row r="231" spans="1:9">
      <c r="A231" s="1">
        <v>45107</v>
      </c>
      <c r="B231" s="16" t="s">
        <v>47</v>
      </c>
      <c r="C231">
        <v>19</v>
      </c>
      <c r="D231">
        <v>210.59899999999999</v>
      </c>
      <c r="E231">
        <v>93</v>
      </c>
      <c r="F231" s="5">
        <v>0.52</v>
      </c>
      <c r="G231" s="8">
        <v>11.4</v>
      </c>
      <c r="H231" s="5">
        <v>78.36</v>
      </c>
      <c r="I231" s="5">
        <v>72.17</v>
      </c>
    </row>
    <row r="232" spans="1:9">
      <c r="A232" s="1">
        <v>45107</v>
      </c>
      <c r="B232" s="16" t="s">
        <v>47</v>
      </c>
      <c r="C232">
        <v>20</v>
      </c>
      <c r="D232">
        <v>222.58099999999999</v>
      </c>
      <c r="E232">
        <v>94</v>
      </c>
      <c r="F232" s="5">
        <v>0.52</v>
      </c>
      <c r="G232" s="8">
        <v>12.1</v>
      </c>
      <c r="H232" s="5">
        <v>76.89</v>
      </c>
      <c r="I232" s="5">
        <v>74.19</v>
      </c>
    </row>
    <row r="233" spans="1:9">
      <c r="A233" s="1">
        <v>45107</v>
      </c>
      <c r="B233" s="16" t="s">
        <v>48</v>
      </c>
      <c r="C233">
        <v>35</v>
      </c>
      <c r="D233">
        <v>6987</v>
      </c>
      <c r="F233" s="5"/>
      <c r="G233" s="8"/>
    </row>
    <row r="234" spans="1:9">
      <c r="A234" s="1">
        <v>45107</v>
      </c>
      <c r="B234" s="16" t="s">
        <v>48</v>
      </c>
      <c r="C234">
        <v>1</v>
      </c>
      <c r="D234">
        <v>181.958</v>
      </c>
      <c r="E234">
        <v>94</v>
      </c>
      <c r="F234" s="5">
        <v>0.49</v>
      </c>
      <c r="G234" s="8">
        <v>11</v>
      </c>
      <c r="H234" s="5">
        <v>70.849999999999994</v>
      </c>
      <c r="I234" s="5">
        <v>68.08</v>
      </c>
    </row>
    <row r="235" spans="1:9">
      <c r="A235" s="1">
        <v>45107</v>
      </c>
      <c r="B235" s="16" t="s">
        <v>48</v>
      </c>
      <c r="C235">
        <v>2</v>
      </c>
      <c r="D235">
        <v>195.886</v>
      </c>
      <c r="E235">
        <v>98</v>
      </c>
      <c r="F235" s="5">
        <v>0.54</v>
      </c>
      <c r="G235" s="8">
        <v>11.5</v>
      </c>
      <c r="H235" s="5">
        <v>72.13</v>
      </c>
      <c r="I235" s="5">
        <v>68.41</v>
      </c>
    </row>
    <row r="236" spans="1:9">
      <c r="A236" s="1">
        <v>45107</v>
      </c>
      <c r="B236" s="16" t="s">
        <v>48</v>
      </c>
      <c r="C236">
        <v>3</v>
      </c>
      <c r="D236">
        <v>182.244</v>
      </c>
      <c r="E236">
        <v>95</v>
      </c>
      <c r="F236" s="5">
        <v>0.43</v>
      </c>
      <c r="G236" s="8">
        <v>10.8</v>
      </c>
      <c r="H236" s="5">
        <v>69.739999999999995</v>
      </c>
      <c r="I236" s="5">
        <v>66.69</v>
      </c>
    </row>
    <row r="237" spans="1:9">
      <c r="A237" s="1">
        <v>45107</v>
      </c>
      <c r="B237" s="16" t="s">
        <v>48</v>
      </c>
      <c r="C237">
        <v>4</v>
      </c>
      <c r="D237">
        <v>186.715</v>
      </c>
      <c r="E237">
        <v>95</v>
      </c>
      <c r="F237" s="5">
        <v>0.79</v>
      </c>
      <c r="G237" s="8">
        <v>11.9</v>
      </c>
      <c r="H237" s="5">
        <v>71.45</v>
      </c>
      <c r="I237" s="5">
        <v>66.61</v>
      </c>
    </row>
    <row r="238" spans="1:9">
      <c r="A238" s="1">
        <v>45107</v>
      </c>
      <c r="B238" s="16" t="s">
        <v>48</v>
      </c>
      <c r="C238">
        <v>5</v>
      </c>
      <c r="D238">
        <v>145.375</v>
      </c>
      <c r="E238">
        <v>88</v>
      </c>
      <c r="F238" s="5">
        <v>0.7</v>
      </c>
      <c r="G238" s="8">
        <v>12.5</v>
      </c>
      <c r="H238" s="5">
        <v>68.069999999999993</v>
      </c>
      <c r="I238" s="5">
        <v>64.989999999999995</v>
      </c>
    </row>
    <row r="239" spans="1:9">
      <c r="A239" s="1">
        <v>45107</v>
      </c>
      <c r="B239" s="16" t="s">
        <v>48</v>
      </c>
      <c r="C239">
        <v>6</v>
      </c>
      <c r="D239">
        <v>176.887</v>
      </c>
      <c r="E239">
        <v>93</v>
      </c>
      <c r="F239" s="5">
        <v>0.49</v>
      </c>
      <c r="G239" s="8">
        <v>12.9</v>
      </c>
      <c r="H239" s="5">
        <v>70.69</v>
      </c>
      <c r="I239" s="5">
        <v>63.88</v>
      </c>
    </row>
    <row r="240" spans="1:9">
      <c r="A240" s="1">
        <v>45107</v>
      </c>
      <c r="B240" s="16" t="s">
        <v>48</v>
      </c>
      <c r="C240">
        <v>7</v>
      </c>
      <c r="D240">
        <v>239.92599999999999</v>
      </c>
      <c r="E240">
        <v>100</v>
      </c>
      <c r="F240" s="5">
        <v>0.55000000000000004</v>
      </c>
      <c r="G240" s="8">
        <v>12.5</v>
      </c>
      <c r="H240" s="5">
        <v>77.88</v>
      </c>
      <c r="I240" s="5">
        <v>75.459999999999994</v>
      </c>
    </row>
    <row r="241" spans="1:9">
      <c r="A241" s="1">
        <v>45107</v>
      </c>
      <c r="B241" s="16" t="s">
        <v>48</v>
      </c>
      <c r="C241">
        <v>8</v>
      </c>
      <c r="D241">
        <v>207.17</v>
      </c>
      <c r="E241">
        <v>100</v>
      </c>
      <c r="F241" s="5">
        <v>0.56000000000000005</v>
      </c>
      <c r="G241" s="8">
        <v>11.4</v>
      </c>
      <c r="H241" s="5">
        <v>75.09</v>
      </c>
      <c r="I241" s="5">
        <v>72.5</v>
      </c>
    </row>
    <row r="242" spans="1:9">
      <c r="A242" s="1">
        <v>45107</v>
      </c>
      <c r="B242" s="16" t="s">
        <v>48</v>
      </c>
      <c r="C242">
        <v>9</v>
      </c>
      <c r="D242">
        <v>164.75200000000001</v>
      </c>
      <c r="E242">
        <v>87</v>
      </c>
      <c r="F242" s="5">
        <v>0.49</v>
      </c>
      <c r="G242" s="8">
        <v>12.8</v>
      </c>
      <c r="H242" s="5">
        <v>68.44</v>
      </c>
      <c r="I242" s="5">
        <v>64.08</v>
      </c>
    </row>
    <row r="243" spans="1:9">
      <c r="A243" s="1">
        <v>45107</v>
      </c>
      <c r="B243" s="16" t="s">
        <v>48</v>
      </c>
      <c r="C243">
        <v>10</v>
      </c>
      <c r="D243">
        <v>206.774</v>
      </c>
      <c r="E243">
        <v>91</v>
      </c>
      <c r="F243" s="5">
        <v>0.47</v>
      </c>
      <c r="G243" s="8">
        <v>11.3</v>
      </c>
      <c r="H243" s="5">
        <v>72.39</v>
      </c>
      <c r="I243" s="5">
        <v>68.55</v>
      </c>
    </row>
    <row r="244" spans="1:9">
      <c r="A244" s="1">
        <v>45107</v>
      </c>
      <c r="B244" s="16" t="s">
        <v>48</v>
      </c>
      <c r="C244">
        <v>11</v>
      </c>
      <c r="D244">
        <v>200.18199999999999</v>
      </c>
      <c r="E244">
        <v>94</v>
      </c>
      <c r="F244" s="5">
        <v>0.53</v>
      </c>
      <c r="G244" s="8">
        <v>11.5</v>
      </c>
      <c r="H244" s="5">
        <v>72.989999999999995</v>
      </c>
      <c r="I244" s="5">
        <v>71.13</v>
      </c>
    </row>
    <row r="245" spans="1:9">
      <c r="A245" s="1">
        <v>45107</v>
      </c>
      <c r="B245" s="16" t="s">
        <v>48</v>
      </c>
      <c r="C245">
        <v>12</v>
      </c>
      <c r="D245">
        <v>220.89699999999999</v>
      </c>
      <c r="E245">
        <v>96</v>
      </c>
      <c r="F245" s="5">
        <v>0.57999999999999996</v>
      </c>
      <c r="G245" s="8">
        <v>11.3</v>
      </c>
      <c r="H245" s="5">
        <v>77.12</v>
      </c>
      <c r="I245" s="5">
        <v>71.209999999999994</v>
      </c>
    </row>
    <row r="246" spans="1:9">
      <c r="A246" s="1">
        <v>45107</v>
      </c>
      <c r="B246" s="16" t="s">
        <v>48</v>
      </c>
      <c r="C246">
        <v>13</v>
      </c>
      <c r="D246">
        <v>205.71600000000001</v>
      </c>
      <c r="E246">
        <v>98</v>
      </c>
      <c r="F246" s="5">
        <v>0.47</v>
      </c>
      <c r="G246" s="8">
        <v>11.6</v>
      </c>
      <c r="H246" s="5">
        <v>73.209999999999994</v>
      </c>
      <c r="I246" s="5">
        <v>72.42</v>
      </c>
    </row>
    <row r="247" spans="1:9">
      <c r="A247" s="1">
        <v>45107</v>
      </c>
      <c r="B247" s="16" t="s">
        <v>48</v>
      </c>
      <c r="C247">
        <v>14</v>
      </c>
      <c r="D247">
        <v>223.00899999999999</v>
      </c>
      <c r="E247">
        <v>96</v>
      </c>
      <c r="F247" s="5">
        <v>0.5</v>
      </c>
      <c r="G247" s="8">
        <v>13</v>
      </c>
      <c r="H247" s="5">
        <v>77.22</v>
      </c>
      <c r="I247" s="5">
        <v>69.540000000000006</v>
      </c>
    </row>
    <row r="248" spans="1:9">
      <c r="A248" s="1">
        <v>45107</v>
      </c>
      <c r="B248" s="16" t="s">
        <v>48</v>
      </c>
      <c r="C248">
        <v>15</v>
      </c>
      <c r="D248">
        <v>201.35599999999999</v>
      </c>
      <c r="E248">
        <v>85</v>
      </c>
      <c r="F248" s="5">
        <v>0.54</v>
      </c>
      <c r="G248" s="8">
        <v>10.9</v>
      </c>
      <c r="H248" s="5">
        <v>72.7</v>
      </c>
      <c r="I248" s="5">
        <v>72.91</v>
      </c>
    </row>
    <row r="249" spans="1:9">
      <c r="A249" s="1">
        <v>45107</v>
      </c>
      <c r="B249" s="16" t="s">
        <v>48</v>
      </c>
      <c r="C249">
        <v>16</v>
      </c>
      <c r="D249">
        <v>189.08</v>
      </c>
      <c r="E249">
        <v>95</v>
      </c>
      <c r="F249" s="5">
        <v>0.4</v>
      </c>
      <c r="G249" s="8">
        <v>11.6</v>
      </c>
      <c r="H249" s="5">
        <v>71.72</v>
      </c>
      <c r="I249" s="5">
        <v>70.23</v>
      </c>
    </row>
    <row r="250" spans="1:9">
      <c r="A250" s="1">
        <v>45107</v>
      </c>
      <c r="B250" s="16" t="s">
        <v>48</v>
      </c>
      <c r="C250">
        <v>17</v>
      </c>
      <c r="D250">
        <v>205.03899999999999</v>
      </c>
      <c r="E250">
        <v>86</v>
      </c>
      <c r="F250" s="5">
        <v>0.6</v>
      </c>
      <c r="G250" s="8">
        <v>12.8</v>
      </c>
      <c r="H250" s="5">
        <v>75.510000000000005</v>
      </c>
      <c r="I250" s="5">
        <v>68.22</v>
      </c>
    </row>
    <row r="251" spans="1:9">
      <c r="A251" s="1">
        <v>45107</v>
      </c>
      <c r="B251" s="16" t="s">
        <v>48</v>
      </c>
      <c r="C251">
        <v>18</v>
      </c>
      <c r="D251">
        <v>193.642</v>
      </c>
      <c r="E251">
        <v>85</v>
      </c>
      <c r="F251" s="5">
        <v>0.62</v>
      </c>
      <c r="G251" s="8">
        <v>10.8</v>
      </c>
      <c r="H251" s="5">
        <v>71.62</v>
      </c>
      <c r="I251" s="5">
        <v>70.400000000000006</v>
      </c>
    </row>
    <row r="252" spans="1:9">
      <c r="A252" s="1">
        <v>45107</v>
      </c>
      <c r="B252" s="16" t="s">
        <v>48</v>
      </c>
      <c r="C252">
        <v>19</v>
      </c>
      <c r="D252">
        <v>183.006</v>
      </c>
      <c r="E252">
        <v>90</v>
      </c>
      <c r="F252" s="5">
        <v>0.57999999999999996</v>
      </c>
      <c r="G252" s="8">
        <v>13.5</v>
      </c>
      <c r="H252" s="5">
        <v>71.72</v>
      </c>
      <c r="I252" s="5">
        <v>67.84</v>
      </c>
    </row>
    <row r="253" spans="1:9">
      <c r="A253" s="1">
        <v>45107</v>
      </c>
      <c r="B253" s="16" t="s">
        <v>48</v>
      </c>
      <c r="C253">
        <v>20</v>
      </c>
      <c r="D253">
        <v>200.38900000000001</v>
      </c>
      <c r="E253">
        <v>93</v>
      </c>
      <c r="F253" s="5">
        <v>0.5</v>
      </c>
      <c r="G253" s="8">
        <v>11.1</v>
      </c>
      <c r="H253" s="5">
        <v>73.489999999999995</v>
      </c>
      <c r="I253" s="5">
        <v>71.33</v>
      </c>
    </row>
    <row r="254" spans="1:9">
      <c r="A254" s="1">
        <v>45119</v>
      </c>
      <c r="B254" s="16" t="s">
        <v>40</v>
      </c>
      <c r="C254">
        <v>22</v>
      </c>
      <c r="D254">
        <v>3506</v>
      </c>
      <c r="F254" s="5"/>
      <c r="G254" s="8"/>
    </row>
    <row r="255" spans="1:9">
      <c r="A255" s="1">
        <v>45119</v>
      </c>
      <c r="B255" s="16" t="s">
        <v>40</v>
      </c>
      <c r="C255">
        <v>1</v>
      </c>
      <c r="D255">
        <v>145.1</v>
      </c>
      <c r="E255">
        <v>86</v>
      </c>
      <c r="F255" s="5">
        <v>0.41</v>
      </c>
      <c r="G255" s="8">
        <v>8.1</v>
      </c>
      <c r="H255" s="5">
        <v>63.08</v>
      </c>
      <c r="I255" s="5">
        <v>62.89</v>
      </c>
    </row>
    <row r="256" spans="1:9">
      <c r="A256" s="1">
        <v>45119</v>
      </c>
      <c r="B256" s="16" t="s">
        <v>40</v>
      </c>
      <c r="C256">
        <v>2</v>
      </c>
      <c r="D256">
        <v>121.8</v>
      </c>
      <c r="E256">
        <v>90</v>
      </c>
      <c r="F256" s="5">
        <v>0.47</v>
      </c>
      <c r="G256" s="8">
        <v>11.4</v>
      </c>
      <c r="H256" s="5">
        <v>63.5</v>
      </c>
      <c r="I256" s="5">
        <v>56.8</v>
      </c>
    </row>
    <row r="257" spans="1:9">
      <c r="A257" s="1">
        <v>45119</v>
      </c>
      <c r="B257" s="16" t="s">
        <v>40</v>
      </c>
      <c r="C257">
        <v>3</v>
      </c>
      <c r="D257">
        <v>196.15</v>
      </c>
      <c r="E257">
        <v>91</v>
      </c>
      <c r="F257" s="5">
        <v>0.42</v>
      </c>
      <c r="G257" s="8">
        <v>11.9</v>
      </c>
      <c r="H257" s="5">
        <v>70.73</v>
      </c>
      <c r="I257" s="5">
        <v>67.13</v>
      </c>
    </row>
    <row r="258" spans="1:9">
      <c r="A258" s="1">
        <v>45119</v>
      </c>
      <c r="B258" s="16" t="s">
        <v>40</v>
      </c>
      <c r="C258">
        <v>4</v>
      </c>
      <c r="D258">
        <v>160.6</v>
      </c>
      <c r="E258">
        <v>94</v>
      </c>
      <c r="F258" s="5">
        <v>0.41</v>
      </c>
      <c r="G258" s="8">
        <v>11.2</v>
      </c>
      <c r="H258" s="5">
        <v>66.11</v>
      </c>
      <c r="I258" s="5">
        <v>62.29</v>
      </c>
    </row>
    <row r="259" spans="1:9">
      <c r="A259" s="1">
        <v>45119</v>
      </c>
      <c r="B259" s="16" t="s">
        <v>40</v>
      </c>
      <c r="C259">
        <v>5</v>
      </c>
      <c r="D259">
        <v>126.3</v>
      </c>
      <c r="E259">
        <v>92</v>
      </c>
      <c r="F259" s="5">
        <v>0.39</v>
      </c>
      <c r="G259" s="8">
        <v>10</v>
      </c>
      <c r="H259" s="5">
        <v>62.38</v>
      </c>
      <c r="I259" s="5">
        <v>57.56</v>
      </c>
    </row>
    <row r="260" spans="1:9">
      <c r="A260" s="1">
        <v>45119</v>
      </c>
      <c r="B260" s="16" t="s">
        <v>40</v>
      </c>
      <c r="C260">
        <v>6</v>
      </c>
      <c r="D260">
        <v>139.9</v>
      </c>
      <c r="E260">
        <v>98</v>
      </c>
      <c r="F260" s="5">
        <v>0.41</v>
      </c>
      <c r="G260" s="8">
        <v>12.2</v>
      </c>
      <c r="H260" s="5">
        <v>65.459999999999994</v>
      </c>
      <c r="I260" s="5">
        <v>55.29</v>
      </c>
    </row>
    <row r="261" spans="1:9">
      <c r="A261" s="1">
        <v>45119</v>
      </c>
      <c r="B261" s="16" t="s">
        <v>40</v>
      </c>
      <c r="C261">
        <v>7</v>
      </c>
      <c r="D261">
        <v>86.3</v>
      </c>
      <c r="E261">
        <v>89</v>
      </c>
      <c r="F261" s="5">
        <v>0.39</v>
      </c>
      <c r="G261" s="8">
        <v>12.6</v>
      </c>
      <c r="H261" s="5">
        <v>52.57</v>
      </c>
      <c r="I261" s="5">
        <v>56.11</v>
      </c>
    </row>
    <row r="262" spans="1:9">
      <c r="A262" s="1">
        <v>45119</v>
      </c>
      <c r="B262" s="16" t="s">
        <v>40</v>
      </c>
      <c r="C262">
        <v>8</v>
      </c>
      <c r="D262">
        <v>313.16000000000003</v>
      </c>
      <c r="E262">
        <v>87</v>
      </c>
      <c r="F262" s="5">
        <v>0.4</v>
      </c>
      <c r="G262" s="8">
        <v>9.4</v>
      </c>
      <c r="H262" s="5">
        <v>87.09</v>
      </c>
      <c r="I262" s="5">
        <v>76.34</v>
      </c>
    </row>
    <row r="263" spans="1:9">
      <c r="A263" s="1">
        <v>45119</v>
      </c>
      <c r="B263" s="16" t="s">
        <v>40</v>
      </c>
      <c r="C263">
        <v>9</v>
      </c>
      <c r="D263">
        <v>193.6</v>
      </c>
      <c r="E263">
        <v>86</v>
      </c>
      <c r="F263" s="5">
        <v>0.48</v>
      </c>
      <c r="G263" s="8">
        <v>14</v>
      </c>
      <c r="H263" s="5">
        <v>75.430000000000007</v>
      </c>
      <c r="I263" s="5">
        <v>64.849999999999994</v>
      </c>
    </row>
    <row r="264" spans="1:9">
      <c r="A264" s="1">
        <v>45119</v>
      </c>
      <c r="B264" s="16" t="s">
        <v>40</v>
      </c>
      <c r="C264">
        <v>10</v>
      </c>
      <c r="D264">
        <v>143.9</v>
      </c>
      <c r="E264">
        <v>87</v>
      </c>
      <c r="F264" s="5">
        <v>0.45</v>
      </c>
      <c r="G264" s="8">
        <v>7</v>
      </c>
      <c r="H264" s="5">
        <v>65.13</v>
      </c>
      <c r="I264" s="5">
        <v>56.49</v>
      </c>
    </row>
    <row r="265" spans="1:9">
      <c r="A265" s="1">
        <v>45119</v>
      </c>
      <c r="B265" s="16" t="s">
        <v>40</v>
      </c>
      <c r="C265">
        <v>11</v>
      </c>
      <c r="D265">
        <v>124.8</v>
      </c>
      <c r="E265">
        <v>89</v>
      </c>
      <c r="F265" s="5">
        <v>0.48</v>
      </c>
      <c r="G265" s="8">
        <v>12.3</v>
      </c>
      <c r="H265" s="5">
        <v>64.38</v>
      </c>
      <c r="I265" s="5">
        <v>62.32</v>
      </c>
    </row>
    <row r="266" spans="1:9">
      <c r="A266" s="1">
        <v>45119</v>
      </c>
      <c r="B266" s="16" t="s">
        <v>40</v>
      </c>
      <c r="C266">
        <v>12</v>
      </c>
      <c r="D266">
        <v>125</v>
      </c>
      <c r="E266">
        <v>92</v>
      </c>
      <c r="F266" s="5">
        <v>0.43</v>
      </c>
      <c r="G266" s="8">
        <v>13.4</v>
      </c>
      <c r="H266" s="5">
        <v>63.96</v>
      </c>
      <c r="I266" s="5">
        <v>59.03</v>
      </c>
    </row>
    <row r="267" spans="1:9">
      <c r="A267" s="1">
        <v>45119</v>
      </c>
      <c r="B267" s="16" t="s">
        <v>40</v>
      </c>
      <c r="C267">
        <v>13</v>
      </c>
      <c r="D267">
        <v>127.5</v>
      </c>
      <c r="E267">
        <v>96</v>
      </c>
      <c r="F267" s="5">
        <v>0.55000000000000004</v>
      </c>
      <c r="G267" s="8">
        <v>9.5</v>
      </c>
      <c r="H267" s="5">
        <v>64.13</v>
      </c>
      <c r="I267" s="5">
        <v>55.37</v>
      </c>
    </row>
    <row r="268" spans="1:9">
      <c r="A268" s="1">
        <v>45119</v>
      </c>
      <c r="B268" s="16" t="s">
        <v>40</v>
      </c>
      <c r="C268">
        <v>14</v>
      </c>
      <c r="D268">
        <v>113.3</v>
      </c>
      <c r="E268">
        <v>94</v>
      </c>
      <c r="F268" s="5">
        <v>0.52</v>
      </c>
      <c r="G268" s="8">
        <v>12.5</v>
      </c>
      <c r="H268" s="5">
        <v>59.49</v>
      </c>
      <c r="I268" s="5">
        <v>54.79</v>
      </c>
    </row>
    <row r="269" spans="1:9">
      <c r="A269" s="1">
        <v>45119</v>
      </c>
      <c r="B269" s="16" t="s">
        <v>40</v>
      </c>
      <c r="C269">
        <v>15</v>
      </c>
      <c r="D269">
        <v>190.8</v>
      </c>
      <c r="E269">
        <v>100</v>
      </c>
      <c r="F269" s="5">
        <v>0.4</v>
      </c>
      <c r="G269" s="8">
        <v>14.3</v>
      </c>
      <c r="H269" s="5">
        <v>72.22</v>
      </c>
      <c r="I269" s="5">
        <v>63.02</v>
      </c>
    </row>
    <row r="270" spans="1:9">
      <c r="A270" s="1">
        <v>45119</v>
      </c>
      <c r="B270" s="16" t="s">
        <v>40</v>
      </c>
      <c r="C270">
        <v>16</v>
      </c>
      <c r="D270">
        <v>158.19999999999999</v>
      </c>
      <c r="E270">
        <v>97</v>
      </c>
      <c r="F270" s="5">
        <v>0.52</v>
      </c>
      <c r="G270" s="8">
        <v>10</v>
      </c>
      <c r="H270" s="5">
        <v>69.8</v>
      </c>
      <c r="I270" s="5">
        <v>63.31</v>
      </c>
    </row>
    <row r="271" spans="1:9">
      <c r="A271" s="1">
        <v>45119</v>
      </c>
      <c r="B271" s="16" t="s">
        <v>40</v>
      </c>
      <c r="C271">
        <v>17</v>
      </c>
      <c r="D271">
        <v>166.3</v>
      </c>
      <c r="E271">
        <v>98</v>
      </c>
      <c r="F271" s="5">
        <v>0.49</v>
      </c>
      <c r="G271" s="8">
        <v>8.6</v>
      </c>
      <c r="H271" s="5">
        <v>63.31</v>
      </c>
      <c r="I271" s="5">
        <v>63.8</v>
      </c>
    </row>
    <row r="272" spans="1:9">
      <c r="A272" s="1">
        <v>45119</v>
      </c>
      <c r="B272" s="16" t="s">
        <v>40</v>
      </c>
      <c r="C272">
        <v>18</v>
      </c>
      <c r="D272">
        <v>246.7</v>
      </c>
      <c r="E272">
        <v>100</v>
      </c>
      <c r="F272" s="5">
        <v>0.43</v>
      </c>
      <c r="G272" s="8">
        <v>12.5</v>
      </c>
      <c r="H272" s="5">
        <v>79.069999999999993</v>
      </c>
      <c r="I272" s="5">
        <v>71.709999999999994</v>
      </c>
    </row>
    <row r="273" spans="1:9">
      <c r="A273" s="1">
        <v>45119</v>
      </c>
      <c r="B273" s="16" t="s">
        <v>40</v>
      </c>
      <c r="C273">
        <v>19</v>
      </c>
      <c r="D273">
        <v>95.1</v>
      </c>
      <c r="E273">
        <v>100</v>
      </c>
      <c r="F273" s="5">
        <v>0.46</v>
      </c>
      <c r="G273" s="8">
        <v>13.7</v>
      </c>
      <c r="H273" s="5">
        <v>59.04</v>
      </c>
      <c r="I273" s="5">
        <v>55.22</v>
      </c>
    </row>
    <row r="274" spans="1:9">
      <c r="A274" s="1">
        <v>45119</v>
      </c>
      <c r="B274" s="16" t="s">
        <v>40</v>
      </c>
      <c r="C274">
        <v>20</v>
      </c>
      <c r="D274">
        <v>193</v>
      </c>
      <c r="E274">
        <v>88</v>
      </c>
      <c r="F274" s="5">
        <v>0.42</v>
      </c>
      <c r="G274" s="8">
        <v>9.5</v>
      </c>
      <c r="H274" s="5">
        <v>73.239999999999995</v>
      </c>
      <c r="I274" s="5">
        <v>71.489999999999995</v>
      </c>
    </row>
    <row r="275" spans="1:9">
      <c r="A275" s="1">
        <v>45119</v>
      </c>
      <c r="B275" s="16" t="s">
        <v>44</v>
      </c>
      <c r="C275">
        <v>21</v>
      </c>
      <c r="D275">
        <v>3438.5</v>
      </c>
      <c r="F275" s="5"/>
      <c r="G275" s="8"/>
    </row>
    <row r="276" spans="1:9">
      <c r="A276" s="1">
        <v>45119</v>
      </c>
      <c r="B276" s="16" t="s">
        <v>44</v>
      </c>
      <c r="C276">
        <v>1</v>
      </c>
      <c r="D276">
        <v>174.3</v>
      </c>
      <c r="E276">
        <v>92</v>
      </c>
      <c r="F276" s="5">
        <v>0.5</v>
      </c>
      <c r="G276" s="8">
        <v>9.6999999999999993</v>
      </c>
      <c r="H276" s="5">
        <v>71.08</v>
      </c>
      <c r="I276" s="5">
        <v>61.64</v>
      </c>
    </row>
    <row r="277" spans="1:9">
      <c r="A277" s="1">
        <v>45119</v>
      </c>
      <c r="B277" s="16" t="s">
        <v>44</v>
      </c>
      <c r="C277">
        <v>2</v>
      </c>
      <c r="D277">
        <v>132.1</v>
      </c>
      <c r="E277">
        <v>88</v>
      </c>
      <c r="F277" s="5">
        <v>0.6</v>
      </c>
      <c r="G277" s="8">
        <v>15.4</v>
      </c>
      <c r="H277" s="5">
        <v>64.39</v>
      </c>
      <c r="I277" s="5">
        <v>53.72</v>
      </c>
    </row>
    <row r="278" spans="1:9">
      <c r="A278" s="1">
        <v>45119</v>
      </c>
      <c r="B278" s="16" t="s">
        <v>44</v>
      </c>
      <c r="C278">
        <v>3</v>
      </c>
      <c r="D278">
        <v>228.5</v>
      </c>
      <c r="E278">
        <v>93</v>
      </c>
      <c r="F278" s="5">
        <v>0.45</v>
      </c>
      <c r="G278" s="8">
        <v>13.4</v>
      </c>
      <c r="H278" s="5">
        <v>74.599999999999994</v>
      </c>
      <c r="I278" s="5">
        <v>72.900000000000006</v>
      </c>
    </row>
    <row r="279" spans="1:9">
      <c r="A279" s="1">
        <v>45119</v>
      </c>
      <c r="B279" s="16" t="s">
        <v>44</v>
      </c>
      <c r="C279">
        <v>4</v>
      </c>
      <c r="D279">
        <v>168.2</v>
      </c>
      <c r="E279">
        <v>95</v>
      </c>
      <c r="F279" s="5">
        <v>0.46</v>
      </c>
      <c r="G279" s="8">
        <v>9.3000000000000007</v>
      </c>
      <c r="H279" s="5">
        <v>69.900000000000006</v>
      </c>
      <c r="I279" s="5">
        <v>61.55</v>
      </c>
    </row>
    <row r="280" spans="1:9">
      <c r="A280" s="1">
        <v>45119</v>
      </c>
      <c r="B280" s="16" t="s">
        <v>44</v>
      </c>
      <c r="C280">
        <v>5</v>
      </c>
      <c r="D280">
        <v>106.7</v>
      </c>
      <c r="E280" s="17">
        <v>100</v>
      </c>
      <c r="F280" s="5">
        <v>0.38</v>
      </c>
      <c r="G280" s="8">
        <v>12.4</v>
      </c>
      <c r="H280" s="5">
        <v>59.19</v>
      </c>
      <c r="I280" s="5">
        <v>57.77</v>
      </c>
    </row>
    <row r="281" spans="1:9">
      <c r="A281" s="1">
        <v>45119</v>
      </c>
      <c r="B281" s="16" t="s">
        <v>44</v>
      </c>
      <c r="C281">
        <v>6</v>
      </c>
      <c r="D281">
        <v>145.69999999999999</v>
      </c>
      <c r="E281">
        <v>77</v>
      </c>
      <c r="F281" s="5">
        <v>0.46</v>
      </c>
      <c r="G281" s="8">
        <v>14</v>
      </c>
      <c r="H281" s="5">
        <v>65.17</v>
      </c>
      <c r="I281" s="5">
        <v>57.9</v>
      </c>
    </row>
    <row r="282" spans="1:9">
      <c r="A282" s="1">
        <v>45119</v>
      </c>
      <c r="B282" s="16" t="s">
        <v>44</v>
      </c>
      <c r="C282">
        <v>7</v>
      </c>
      <c r="D282">
        <v>171</v>
      </c>
      <c r="E282">
        <v>98</v>
      </c>
      <c r="F282" s="5">
        <v>0.5</v>
      </c>
      <c r="G282" s="8">
        <v>10</v>
      </c>
      <c r="H282" s="5">
        <v>66.64</v>
      </c>
      <c r="I282" s="5">
        <v>66.78</v>
      </c>
    </row>
    <row r="283" spans="1:9">
      <c r="A283" s="1">
        <v>45119</v>
      </c>
      <c r="B283" s="16" t="s">
        <v>44</v>
      </c>
      <c r="C283">
        <v>8</v>
      </c>
      <c r="D283">
        <v>160.69999999999999</v>
      </c>
      <c r="E283">
        <v>96</v>
      </c>
      <c r="F283" s="5">
        <v>0.42</v>
      </c>
      <c r="G283" s="8">
        <v>11.8</v>
      </c>
      <c r="H283" s="5">
        <v>67.290000000000006</v>
      </c>
      <c r="I283" s="5">
        <v>58.71</v>
      </c>
    </row>
    <row r="284" spans="1:9">
      <c r="A284" s="1">
        <v>45119</v>
      </c>
      <c r="B284" s="16" t="s">
        <v>44</v>
      </c>
      <c r="C284">
        <v>9</v>
      </c>
      <c r="D284">
        <v>180.9</v>
      </c>
      <c r="E284">
        <v>95</v>
      </c>
      <c r="F284" s="5">
        <v>0.53</v>
      </c>
      <c r="G284" s="8">
        <v>13.3</v>
      </c>
      <c r="H284" s="5">
        <v>71.05</v>
      </c>
      <c r="I284" s="5">
        <v>66.459999999999994</v>
      </c>
    </row>
    <row r="285" spans="1:9">
      <c r="A285" s="1">
        <v>45119</v>
      </c>
      <c r="B285" s="16" t="s">
        <v>44</v>
      </c>
      <c r="C285">
        <v>10</v>
      </c>
      <c r="D285">
        <v>159.19999999999999</v>
      </c>
      <c r="E285">
        <v>98</v>
      </c>
      <c r="F285" s="5">
        <v>0.49</v>
      </c>
      <c r="G285" s="8">
        <v>11.6</v>
      </c>
      <c r="H285" s="5">
        <v>64.94</v>
      </c>
      <c r="I285" s="5">
        <v>61.05</v>
      </c>
    </row>
    <row r="286" spans="1:9">
      <c r="A286" s="1">
        <v>45119</v>
      </c>
      <c r="B286" s="16" t="s">
        <v>44</v>
      </c>
      <c r="C286">
        <v>11</v>
      </c>
      <c r="D286">
        <v>223.8</v>
      </c>
      <c r="E286">
        <v>96</v>
      </c>
      <c r="F286" s="5">
        <v>0.55000000000000004</v>
      </c>
      <c r="G286" s="8">
        <v>9.8000000000000007</v>
      </c>
      <c r="H286" s="5">
        <v>69.75</v>
      </c>
      <c r="I286" s="5">
        <v>70.44</v>
      </c>
    </row>
    <row r="287" spans="1:9">
      <c r="A287" s="1">
        <v>45119</v>
      </c>
      <c r="B287" s="16" t="s">
        <v>44</v>
      </c>
      <c r="C287">
        <v>12</v>
      </c>
      <c r="D287">
        <v>189.5</v>
      </c>
      <c r="E287">
        <v>97</v>
      </c>
      <c r="F287" s="5">
        <v>0.4</v>
      </c>
      <c r="G287" s="8">
        <v>11.9</v>
      </c>
      <c r="H287" s="5">
        <v>71.48</v>
      </c>
      <c r="I287" s="5">
        <v>68.510000000000005</v>
      </c>
    </row>
    <row r="288" spans="1:9">
      <c r="A288" s="1">
        <v>45119</v>
      </c>
      <c r="B288" s="16" t="s">
        <v>44</v>
      </c>
      <c r="C288">
        <v>13</v>
      </c>
      <c r="D288">
        <v>167.1</v>
      </c>
      <c r="E288">
        <v>75</v>
      </c>
      <c r="F288" s="5">
        <v>0.51</v>
      </c>
      <c r="G288" s="8">
        <v>11.2</v>
      </c>
      <c r="H288" s="5">
        <v>68.59</v>
      </c>
      <c r="I288" s="5">
        <v>66.260000000000005</v>
      </c>
    </row>
    <row r="289" spans="1:9">
      <c r="A289" s="1">
        <v>45119</v>
      </c>
      <c r="B289" s="16" t="s">
        <v>44</v>
      </c>
      <c r="C289">
        <v>14</v>
      </c>
      <c r="D289">
        <v>178.6</v>
      </c>
      <c r="E289">
        <v>91</v>
      </c>
      <c r="F289" s="5">
        <v>0.48</v>
      </c>
      <c r="G289" s="8">
        <v>9.5</v>
      </c>
      <c r="H289" s="5">
        <v>68.930000000000007</v>
      </c>
      <c r="I289" s="5">
        <v>64.47</v>
      </c>
    </row>
    <row r="290" spans="1:9">
      <c r="A290" s="1">
        <v>45119</v>
      </c>
      <c r="B290" s="16" t="s">
        <v>44</v>
      </c>
      <c r="C290">
        <v>15</v>
      </c>
      <c r="D290">
        <v>148.1</v>
      </c>
      <c r="E290">
        <v>97</v>
      </c>
      <c r="F290" s="5">
        <v>0.43</v>
      </c>
      <c r="G290" s="8">
        <v>10.3</v>
      </c>
      <c r="H290" s="5">
        <v>63.58</v>
      </c>
      <c r="I290" s="5">
        <v>68.349999999999994</v>
      </c>
    </row>
    <row r="291" spans="1:9">
      <c r="A291" s="1">
        <v>45119</v>
      </c>
      <c r="B291" s="16" t="s">
        <v>44</v>
      </c>
      <c r="C291">
        <v>16</v>
      </c>
      <c r="D291">
        <v>165.2</v>
      </c>
      <c r="E291">
        <v>97</v>
      </c>
      <c r="F291" s="5">
        <v>0.49</v>
      </c>
      <c r="G291" s="8">
        <v>12.5</v>
      </c>
      <c r="H291" s="5">
        <v>60.43</v>
      </c>
      <c r="I291" s="5">
        <v>59.58</v>
      </c>
    </row>
    <row r="292" spans="1:9">
      <c r="A292" s="1">
        <v>45119</v>
      </c>
      <c r="B292" s="16" t="s">
        <v>44</v>
      </c>
      <c r="C292">
        <v>17</v>
      </c>
      <c r="D292">
        <v>101.5</v>
      </c>
      <c r="E292">
        <v>91</v>
      </c>
      <c r="F292" s="5">
        <v>0.59</v>
      </c>
      <c r="G292" s="8">
        <v>11.5</v>
      </c>
      <c r="H292" s="5">
        <v>60.32</v>
      </c>
      <c r="I292" s="5">
        <v>63.05</v>
      </c>
    </row>
    <row r="293" spans="1:9">
      <c r="A293" s="1">
        <v>45119</v>
      </c>
      <c r="B293" s="16" t="s">
        <v>44</v>
      </c>
      <c r="C293">
        <v>18</v>
      </c>
      <c r="D293">
        <v>124.6</v>
      </c>
      <c r="E293">
        <v>100</v>
      </c>
      <c r="F293" s="5">
        <v>0.5</v>
      </c>
      <c r="G293" s="8">
        <v>10.8</v>
      </c>
      <c r="H293" s="5">
        <v>71.2</v>
      </c>
      <c r="I293" s="5">
        <v>64.42</v>
      </c>
    </row>
    <row r="294" spans="1:9">
      <c r="A294" s="1">
        <v>45119</v>
      </c>
      <c r="B294" s="16" t="s">
        <v>44</v>
      </c>
      <c r="C294">
        <v>19</v>
      </c>
      <c r="D294">
        <v>176.3</v>
      </c>
      <c r="E294">
        <v>92</v>
      </c>
      <c r="F294" s="5">
        <v>0.43</v>
      </c>
      <c r="G294" s="8">
        <v>8.4</v>
      </c>
      <c r="H294" s="5">
        <v>70.3</v>
      </c>
      <c r="I294" s="5">
        <v>62.8</v>
      </c>
    </row>
    <row r="295" spans="1:9">
      <c r="A295" s="1">
        <v>45119</v>
      </c>
      <c r="B295" s="16" t="s">
        <v>44</v>
      </c>
      <c r="C295">
        <v>20</v>
      </c>
      <c r="D295">
        <v>144.69999999999999</v>
      </c>
      <c r="E295">
        <v>100</v>
      </c>
      <c r="F295" s="5">
        <v>0.4</v>
      </c>
      <c r="G295" s="8">
        <v>11.6</v>
      </c>
      <c r="H295" s="5">
        <v>66.13</v>
      </c>
      <c r="I295" s="5">
        <v>60.74</v>
      </c>
    </row>
    <row r="296" spans="1:9">
      <c r="A296" s="1">
        <v>45119</v>
      </c>
      <c r="B296" s="16" t="s">
        <v>45</v>
      </c>
      <c r="C296">
        <v>22</v>
      </c>
      <c r="D296">
        <v>3291.5</v>
      </c>
      <c r="F296" s="5"/>
      <c r="G296" s="8"/>
    </row>
    <row r="297" spans="1:9">
      <c r="A297" s="1">
        <v>45119</v>
      </c>
      <c r="B297" s="16" t="s">
        <v>45</v>
      </c>
      <c r="C297">
        <v>1</v>
      </c>
      <c r="D297">
        <v>179.6</v>
      </c>
      <c r="E297">
        <v>97</v>
      </c>
      <c r="F297" s="5">
        <v>0.42</v>
      </c>
      <c r="G297" s="8">
        <v>11.5</v>
      </c>
      <c r="H297" s="5">
        <v>73.38</v>
      </c>
      <c r="I297" s="5">
        <v>61.87</v>
      </c>
    </row>
    <row r="298" spans="1:9">
      <c r="A298" s="1">
        <v>45119</v>
      </c>
      <c r="B298" s="16" t="s">
        <v>45</v>
      </c>
      <c r="C298">
        <v>2</v>
      </c>
      <c r="D298">
        <v>271</v>
      </c>
      <c r="E298">
        <v>98</v>
      </c>
      <c r="F298" s="5">
        <v>0.44</v>
      </c>
      <c r="G298" s="8">
        <v>12.2</v>
      </c>
      <c r="H298" s="5">
        <v>80.709999999999994</v>
      </c>
      <c r="I298" s="5">
        <v>75.41</v>
      </c>
    </row>
    <row r="299" spans="1:9">
      <c r="A299" s="1">
        <v>45119</v>
      </c>
      <c r="B299" s="16" t="s">
        <v>45</v>
      </c>
      <c r="C299">
        <v>3</v>
      </c>
      <c r="D299">
        <v>121.8</v>
      </c>
      <c r="E299">
        <v>85</v>
      </c>
      <c r="F299" s="5">
        <v>0.41</v>
      </c>
      <c r="G299" s="8">
        <v>10.7</v>
      </c>
      <c r="H299" s="5">
        <v>64.400000000000006</v>
      </c>
      <c r="I299" s="5">
        <v>34.020000000000003</v>
      </c>
    </row>
    <row r="300" spans="1:9">
      <c r="A300" s="1">
        <v>45119</v>
      </c>
      <c r="B300" s="16" t="s">
        <v>45</v>
      </c>
      <c r="C300">
        <v>4</v>
      </c>
      <c r="D300">
        <v>133</v>
      </c>
      <c r="E300">
        <v>88</v>
      </c>
      <c r="F300" s="5">
        <v>0.39</v>
      </c>
      <c r="G300" s="8">
        <v>11</v>
      </c>
      <c r="H300" s="5">
        <v>64.349999999999994</v>
      </c>
      <c r="I300" s="5">
        <v>56.96</v>
      </c>
    </row>
    <row r="301" spans="1:9">
      <c r="A301" s="1">
        <v>45119</v>
      </c>
      <c r="B301" s="16" t="s">
        <v>45</v>
      </c>
      <c r="C301">
        <v>5</v>
      </c>
      <c r="D301">
        <v>138</v>
      </c>
      <c r="E301">
        <v>83</v>
      </c>
      <c r="F301" s="5">
        <v>0.41</v>
      </c>
      <c r="G301" s="8">
        <v>13.5</v>
      </c>
      <c r="H301" s="5">
        <v>62.98</v>
      </c>
      <c r="I301" s="5">
        <v>59.71</v>
      </c>
    </row>
    <row r="302" spans="1:9">
      <c r="A302" s="1">
        <v>45119</v>
      </c>
      <c r="B302" s="16" t="s">
        <v>45</v>
      </c>
      <c r="C302">
        <v>6</v>
      </c>
      <c r="D302">
        <v>194.9</v>
      </c>
      <c r="E302">
        <v>96</v>
      </c>
      <c r="F302" s="5">
        <v>0.39</v>
      </c>
      <c r="G302" s="8">
        <v>12.1</v>
      </c>
      <c r="H302" s="5">
        <v>72.12</v>
      </c>
      <c r="I302" s="5">
        <v>61.72</v>
      </c>
    </row>
    <row r="303" spans="1:9">
      <c r="A303" s="1">
        <v>45119</v>
      </c>
      <c r="B303" s="16" t="s">
        <v>45</v>
      </c>
      <c r="C303">
        <v>7</v>
      </c>
      <c r="D303">
        <v>132.19999999999999</v>
      </c>
      <c r="E303">
        <v>94</v>
      </c>
      <c r="F303" s="5">
        <v>0.38</v>
      </c>
      <c r="G303" s="8">
        <v>13.5</v>
      </c>
      <c r="H303" s="5">
        <v>63.74</v>
      </c>
      <c r="I303" s="5">
        <v>58.56</v>
      </c>
    </row>
    <row r="304" spans="1:9">
      <c r="A304" s="1">
        <v>45119</v>
      </c>
      <c r="B304" s="16" t="s">
        <v>45</v>
      </c>
      <c r="C304">
        <v>8</v>
      </c>
      <c r="D304">
        <v>112.3</v>
      </c>
      <c r="E304">
        <v>92</v>
      </c>
      <c r="F304" s="5">
        <v>0.37</v>
      </c>
      <c r="G304" s="8">
        <v>12.9</v>
      </c>
      <c r="H304" s="5">
        <v>61.74</v>
      </c>
      <c r="I304" s="5">
        <v>57.7</v>
      </c>
    </row>
    <row r="305" spans="1:9">
      <c r="A305" s="1">
        <v>45119</v>
      </c>
      <c r="B305" s="16" t="s">
        <v>45</v>
      </c>
      <c r="C305">
        <v>9</v>
      </c>
      <c r="D305">
        <v>129.4</v>
      </c>
      <c r="E305">
        <v>90</v>
      </c>
      <c r="F305" s="5">
        <v>0.47</v>
      </c>
      <c r="G305" s="8">
        <v>11.3</v>
      </c>
      <c r="H305" s="5">
        <v>64.42</v>
      </c>
      <c r="I305" s="5">
        <v>60.59</v>
      </c>
    </row>
    <row r="306" spans="1:9">
      <c r="A306" s="1">
        <v>45119</v>
      </c>
      <c r="B306" s="16" t="s">
        <v>45</v>
      </c>
      <c r="C306">
        <v>10</v>
      </c>
      <c r="D306">
        <v>212.4</v>
      </c>
      <c r="E306">
        <v>86</v>
      </c>
      <c r="F306" s="5">
        <v>0.52</v>
      </c>
      <c r="G306" s="8">
        <v>10.8</v>
      </c>
      <c r="H306" s="5">
        <v>78.510000000000005</v>
      </c>
      <c r="I306" s="5">
        <v>65.47</v>
      </c>
    </row>
    <row r="307" spans="1:9">
      <c r="A307" s="1">
        <v>45119</v>
      </c>
      <c r="B307" s="16" t="s">
        <v>45</v>
      </c>
      <c r="C307">
        <v>11</v>
      </c>
      <c r="D307">
        <v>163.9</v>
      </c>
      <c r="E307">
        <v>100</v>
      </c>
      <c r="F307" s="5">
        <v>0.55000000000000004</v>
      </c>
      <c r="G307" s="8">
        <v>11.2</v>
      </c>
      <c r="H307" s="5">
        <v>68.38</v>
      </c>
      <c r="I307" s="5">
        <v>62.13</v>
      </c>
    </row>
    <row r="308" spans="1:9">
      <c r="A308" s="1">
        <v>45119</v>
      </c>
      <c r="B308" s="16" t="s">
        <v>45</v>
      </c>
      <c r="C308">
        <v>12</v>
      </c>
      <c r="D308">
        <v>142.4</v>
      </c>
      <c r="E308">
        <v>94</v>
      </c>
      <c r="F308" s="5">
        <v>0.37</v>
      </c>
      <c r="G308" s="8">
        <v>11.9</v>
      </c>
      <c r="H308" s="5">
        <v>67.989999999999995</v>
      </c>
      <c r="I308" s="5">
        <v>58.44</v>
      </c>
    </row>
    <row r="309" spans="1:9">
      <c r="A309" s="1">
        <v>45119</v>
      </c>
      <c r="B309" s="16" t="s">
        <v>45</v>
      </c>
      <c r="C309">
        <v>13</v>
      </c>
      <c r="D309">
        <v>157.4</v>
      </c>
      <c r="E309">
        <v>87</v>
      </c>
      <c r="F309" s="5">
        <v>0.35</v>
      </c>
      <c r="G309" s="8">
        <v>10.8</v>
      </c>
      <c r="H309" s="5">
        <v>66.63</v>
      </c>
      <c r="I309" s="5">
        <v>58.78</v>
      </c>
    </row>
    <row r="310" spans="1:9">
      <c r="A310" s="1">
        <v>45119</v>
      </c>
      <c r="B310" s="16" t="s">
        <v>45</v>
      </c>
      <c r="C310">
        <v>14</v>
      </c>
      <c r="D310">
        <v>146.1</v>
      </c>
      <c r="E310">
        <v>94</v>
      </c>
      <c r="F310" s="5">
        <v>0.43</v>
      </c>
      <c r="G310" s="8">
        <v>10.1</v>
      </c>
      <c r="H310" s="5">
        <v>63.76</v>
      </c>
      <c r="I310" s="5">
        <v>59.22</v>
      </c>
    </row>
    <row r="311" spans="1:9">
      <c r="A311" s="1">
        <v>45119</v>
      </c>
      <c r="B311" s="16" t="s">
        <v>45</v>
      </c>
      <c r="C311">
        <v>15</v>
      </c>
      <c r="D311">
        <v>122.5</v>
      </c>
      <c r="E311">
        <v>10</v>
      </c>
      <c r="F311" s="5">
        <v>0.41</v>
      </c>
      <c r="G311" s="8">
        <v>12.6</v>
      </c>
      <c r="H311" s="5">
        <v>70.39</v>
      </c>
      <c r="I311" s="5">
        <v>57.78</v>
      </c>
    </row>
    <row r="312" spans="1:9">
      <c r="A312" s="1">
        <v>45119</v>
      </c>
      <c r="B312" s="16" t="s">
        <v>45</v>
      </c>
      <c r="C312">
        <v>16</v>
      </c>
      <c r="D312">
        <v>172.5</v>
      </c>
      <c r="E312">
        <v>97</v>
      </c>
      <c r="F312" s="5">
        <v>0.4</v>
      </c>
      <c r="G312" s="8">
        <v>11.2</v>
      </c>
      <c r="H312" s="5">
        <v>71.790000000000006</v>
      </c>
      <c r="I312" s="5">
        <v>59.97</v>
      </c>
    </row>
    <row r="313" spans="1:9">
      <c r="A313" s="1">
        <v>45119</v>
      </c>
      <c r="B313" s="16" t="s">
        <v>45</v>
      </c>
      <c r="C313">
        <v>17</v>
      </c>
      <c r="D313">
        <v>139.4</v>
      </c>
      <c r="E313">
        <v>95</v>
      </c>
      <c r="F313" s="5">
        <v>0.44</v>
      </c>
      <c r="G313" s="8">
        <v>9.6999999999999993</v>
      </c>
      <c r="H313" s="5">
        <v>63.08</v>
      </c>
      <c r="I313" s="5">
        <v>58.83</v>
      </c>
    </row>
    <row r="314" spans="1:9">
      <c r="A314" s="1">
        <v>45119</v>
      </c>
      <c r="B314" s="16" t="s">
        <v>45</v>
      </c>
      <c r="C314">
        <v>18</v>
      </c>
      <c r="D314">
        <v>100.9</v>
      </c>
      <c r="E314">
        <v>83</v>
      </c>
      <c r="F314" s="5">
        <v>0.4</v>
      </c>
      <c r="G314" s="8">
        <v>13.3</v>
      </c>
      <c r="H314" s="5">
        <v>57.55</v>
      </c>
      <c r="I314" s="5">
        <v>53.7</v>
      </c>
    </row>
    <row r="315" spans="1:9">
      <c r="A315" s="1">
        <v>45119</v>
      </c>
      <c r="B315" s="16" t="s">
        <v>45</v>
      </c>
      <c r="C315">
        <v>19</v>
      </c>
      <c r="D315">
        <v>135.69999999999999</v>
      </c>
      <c r="E315">
        <v>90</v>
      </c>
      <c r="F315" s="5">
        <v>0.52</v>
      </c>
      <c r="G315" s="8">
        <v>12</v>
      </c>
      <c r="H315" s="5">
        <v>65.37</v>
      </c>
      <c r="I315" s="5">
        <v>61.2</v>
      </c>
    </row>
    <row r="316" spans="1:9">
      <c r="A316" s="1">
        <v>45119</v>
      </c>
      <c r="B316" s="16" t="s">
        <v>45</v>
      </c>
      <c r="C316">
        <v>20</v>
      </c>
      <c r="D316">
        <v>140.4</v>
      </c>
      <c r="E316">
        <v>96</v>
      </c>
      <c r="F316" s="5">
        <v>0.43</v>
      </c>
      <c r="G316" s="8">
        <v>12.1</v>
      </c>
      <c r="H316" s="5">
        <v>64.89</v>
      </c>
      <c r="I316" s="5">
        <v>63.88</v>
      </c>
    </row>
    <row r="317" spans="1:9">
      <c r="A317" s="1">
        <v>45119</v>
      </c>
      <c r="B317" s="16" t="s">
        <v>46</v>
      </c>
      <c r="C317">
        <v>22</v>
      </c>
      <c r="D317">
        <v>3188.5</v>
      </c>
      <c r="F317" s="5"/>
      <c r="G317" s="8"/>
    </row>
    <row r="318" spans="1:9">
      <c r="A318" s="1">
        <v>45119</v>
      </c>
      <c r="B318" s="16" t="s">
        <v>46</v>
      </c>
      <c r="C318">
        <v>1</v>
      </c>
      <c r="D318">
        <v>234.2</v>
      </c>
      <c r="E318">
        <v>94</v>
      </c>
      <c r="F318" s="5">
        <v>0.47</v>
      </c>
      <c r="G318" s="8">
        <v>10.199999999999999</v>
      </c>
      <c r="H318" s="5">
        <v>73.97</v>
      </c>
      <c r="I318" s="5">
        <v>72.739999999999995</v>
      </c>
    </row>
    <row r="319" spans="1:9">
      <c r="A319" s="1">
        <v>45119</v>
      </c>
      <c r="B319" s="16" t="s">
        <v>46</v>
      </c>
      <c r="C319">
        <v>2</v>
      </c>
      <c r="D319">
        <v>232.8</v>
      </c>
      <c r="E319">
        <v>93</v>
      </c>
      <c r="F319" s="5">
        <v>0.37</v>
      </c>
      <c r="G319" s="8">
        <v>10.199999999999999</v>
      </c>
      <c r="H319" s="5">
        <v>74.400000000000006</v>
      </c>
      <c r="I319" s="5">
        <v>69.72</v>
      </c>
    </row>
    <row r="320" spans="1:9">
      <c r="A320" s="1">
        <v>45119</v>
      </c>
      <c r="B320" s="16" t="s">
        <v>46</v>
      </c>
      <c r="C320">
        <v>3</v>
      </c>
      <c r="D320">
        <v>146</v>
      </c>
      <c r="E320">
        <v>98</v>
      </c>
      <c r="F320" s="5">
        <v>0.45</v>
      </c>
      <c r="G320" s="8">
        <v>8.3000000000000007</v>
      </c>
      <c r="H320" s="5">
        <v>64.62</v>
      </c>
      <c r="I320" s="5">
        <v>61.6</v>
      </c>
    </row>
    <row r="321" spans="1:9">
      <c r="A321" s="1">
        <v>45119</v>
      </c>
      <c r="B321" s="16" t="s">
        <v>46</v>
      </c>
      <c r="C321">
        <v>4</v>
      </c>
      <c r="D321">
        <v>147</v>
      </c>
      <c r="E321">
        <v>97</v>
      </c>
      <c r="F321" s="5">
        <v>0.27</v>
      </c>
      <c r="G321" s="8">
        <v>10.4</v>
      </c>
      <c r="H321" s="5">
        <v>67.91</v>
      </c>
      <c r="I321" s="5">
        <v>59.58</v>
      </c>
    </row>
    <row r="322" spans="1:9">
      <c r="A322" s="1">
        <v>45119</v>
      </c>
      <c r="B322" s="16" t="s">
        <v>46</v>
      </c>
      <c r="C322">
        <v>5</v>
      </c>
      <c r="D322">
        <v>150.1</v>
      </c>
      <c r="E322">
        <v>100</v>
      </c>
      <c r="F322" s="5">
        <v>0.49</v>
      </c>
      <c r="G322" s="8">
        <v>14.2</v>
      </c>
      <c r="H322" s="5">
        <v>67.8</v>
      </c>
      <c r="I322" s="5">
        <v>59.23</v>
      </c>
    </row>
    <row r="323" spans="1:9">
      <c r="A323" s="1">
        <v>45119</v>
      </c>
      <c r="B323" s="16" t="s">
        <v>46</v>
      </c>
      <c r="C323">
        <v>6</v>
      </c>
      <c r="D323">
        <v>165</v>
      </c>
      <c r="E323">
        <v>94</v>
      </c>
      <c r="F323" s="5">
        <v>0.53</v>
      </c>
      <c r="G323" s="8">
        <v>11.8</v>
      </c>
      <c r="H323" s="5">
        <v>70.22</v>
      </c>
      <c r="I323" s="5">
        <v>64.87</v>
      </c>
    </row>
    <row r="324" spans="1:9">
      <c r="A324" s="1">
        <v>45119</v>
      </c>
      <c r="B324" s="16" t="s">
        <v>46</v>
      </c>
      <c r="C324">
        <v>7</v>
      </c>
      <c r="D324">
        <v>166.1</v>
      </c>
      <c r="E324">
        <v>96</v>
      </c>
      <c r="F324" s="5">
        <v>0.4</v>
      </c>
      <c r="G324" s="8">
        <v>12.4</v>
      </c>
      <c r="H324" s="5">
        <v>68.95</v>
      </c>
      <c r="I324" s="5">
        <v>63.39</v>
      </c>
    </row>
    <row r="325" spans="1:9">
      <c r="A325" s="1">
        <v>45119</v>
      </c>
      <c r="B325" s="16" t="s">
        <v>46</v>
      </c>
      <c r="C325">
        <v>8</v>
      </c>
      <c r="D325">
        <v>115.4</v>
      </c>
      <c r="E325">
        <v>93</v>
      </c>
      <c r="F325" s="5">
        <v>0.55000000000000004</v>
      </c>
      <c r="G325" s="8">
        <v>13</v>
      </c>
      <c r="H325" s="5">
        <v>59.03</v>
      </c>
      <c r="I325" s="5">
        <v>59.8</v>
      </c>
    </row>
    <row r="326" spans="1:9">
      <c r="A326" s="1">
        <v>45119</v>
      </c>
      <c r="B326" s="16" t="s">
        <v>46</v>
      </c>
      <c r="C326">
        <v>9</v>
      </c>
      <c r="D326">
        <v>89.12</v>
      </c>
      <c r="E326">
        <v>91</v>
      </c>
      <c r="F326" s="5">
        <v>0.38</v>
      </c>
      <c r="G326" s="8">
        <v>10.3</v>
      </c>
      <c r="H326" s="5">
        <v>53.62</v>
      </c>
      <c r="I326" s="5">
        <v>54.57</v>
      </c>
    </row>
    <row r="327" spans="1:9">
      <c r="A327" s="1">
        <v>45119</v>
      </c>
      <c r="B327" s="16" t="s">
        <v>46</v>
      </c>
      <c r="C327">
        <v>10</v>
      </c>
      <c r="D327">
        <v>169.5</v>
      </c>
      <c r="E327">
        <v>94</v>
      </c>
      <c r="F327" s="5">
        <v>0.53</v>
      </c>
      <c r="G327" s="8">
        <v>11.3</v>
      </c>
      <c r="H327" s="5">
        <v>70.92</v>
      </c>
      <c r="I327" s="5">
        <v>65.78</v>
      </c>
    </row>
    <row r="328" spans="1:9">
      <c r="A328" s="1">
        <v>45119</v>
      </c>
      <c r="B328" s="16" t="s">
        <v>46</v>
      </c>
      <c r="C328">
        <v>11</v>
      </c>
      <c r="D328">
        <v>119</v>
      </c>
      <c r="E328">
        <v>90</v>
      </c>
      <c r="F328" s="5">
        <v>0.44</v>
      </c>
      <c r="G328" s="8">
        <v>11.8</v>
      </c>
      <c r="H328" s="5">
        <v>62.3</v>
      </c>
      <c r="I328" s="5">
        <v>54.81</v>
      </c>
    </row>
    <row r="329" spans="1:9">
      <c r="A329" s="1">
        <v>45119</v>
      </c>
      <c r="B329" s="16" t="s">
        <v>46</v>
      </c>
      <c r="C329">
        <v>12</v>
      </c>
      <c r="D329">
        <v>110.8</v>
      </c>
      <c r="E329">
        <v>96</v>
      </c>
      <c r="F329" s="5">
        <v>0.64</v>
      </c>
      <c r="G329" s="8">
        <v>9.1999999999999993</v>
      </c>
      <c r="H329" s="5">
        <v>60.12</v>
      </c>
      <c r="I329" s="5">
        <v>55.49</v>
      </c>
    </row>
    <row r="330" spans="1:9">
      <c r="A330" s="1">
        <v>45119</v>
      </c>
      <c r="B330" s="16" t="s">
        <v>46</v>
      </c>
      <c r="C330">
        <v>13</v>
      </c>
      <c r="D330">
        <v>108.9</v>
      </c>
      <c r="E330">
        <v>86</v>
      </c>
      <c r="F330" s="5">
        <v>0.5</v>
      </c>
      <c r="G330" s="8">
        <v>10.5</v>
      </c>
      <c r="H330" s="5">
        <v>58.73</v>
      </c>
      <c r="I330" s="5">
        <v>59.3</v>
      </c>
    </row>
    <row r="331" spans="1:9">
      <c r="A331" s="1">
        <v>45119</v>
      </c>
      <c r="B331" s="16" t="s">
        <v>46</v>
      </c>
      <c r="C331">
        <v>14</v>
      </c>
      <c r="D331">
        <v>114.1</v>
      </c>
      <c r="E331">
        <v>87</v>
      </c>
      <c r="F331" s="5">
        <v>0.49</v>
      </c>
      <c r="G331" s="8">
        <v>9.8000000000000007</v>
      </c>
      <c r="H331" s="5">
        <v>60.65</v>
      </c>
      <c r="I331" s="5">
        <v>55.69</v>
      </c>
    </row>
    <row r="332" spans="1:9">
      <c r="A332" s="1">
        <v>45119</v>
      </c>
      <c r="B332" s="16" t="s">
        <v>46</v>
      </c>
      <c r="C332">
        <v>15</v>
      </c>
      <c r="D332">
        <v>82.8</v>
      </c>
      <c r="E332">
        <v>98</v>
      </c>
      <c r="F332" s="5">
        <v>0.41</v>
      </c>
      <c r="G332" s="8">
        <v>10</v>
      </c>
      <c r="H332" s="5">
        <v>54.31</v>
      </c>
      <c r="I332" s="5">
        <v>50.8</v>
      </c>
    </row>
    <row r="333" spans="1:9">
      <c r="A333" s="1">
        <v>45119</v>
      </c>
      <c r="B333" s="16" t="s">
        <v>46</v>
      </c>
      <c r="C333">
        <v>16</v>
      </c>
      <c r="D333">
        <v>129.80000000000001</v>
      </c>
      <c r="E333">
        <v>96</v>
      </c>
      <c r="F333" s="5">
        <v>0.44</v>
      </c>
      <c r="G333" s="8">
        <v>9.3000000000000007</v>
      </c>
      <c r="H333" s="5">
        <v>62.62</v>
      </c>
      <c r="I333" s="5">
        <v>62.52</v>
      </c>
    </row>
    <row r="334" spans="1:9">
      <c r="A334" s="1">
        <v>45119</v>
      </c>
      <c r="B334" s="16" t="s">
        <v>46</v>
      </c>
      <c r="C334">
        <v>17</v>
      </c>
      <c r="D334">
        <v>204.5</v>
      </c>
      <c r="E334">
        <v>95</v>
      </c>
      <c r="F334" s="5">
        <v>0.51</v>
      </c>
      <c r="G334" s="8">
        <v>10.6</v>
      </c>
      <c r="H334" s="5">
        <v>71.989999999999995</v>
      </c>
      <c r="I334" s="5">
        <v>68.19</v>
      </c>
    </row>
    <row r="335" spans="1:9">
      <c r="A335" s="1">
        <v>45119</v>
      </c>
      <c r="B335" s="16" t="s">
        <v>46</v>
      </c>
      <c r="C335">
        <v>18</v>
      </c>
      <c r="D335">
        <v>114.15</v>
      </c>
      <c r="E335">
        <v>100</v>
      </c>
      <c r="F335" s="5">
        <v>0.35</v>
      </c>
      <c r="G335" s="8">
        <v>6.7</v>
      </c>
      <c r="H335" s="5">
        <v>58.82</v>
      </c>
      <c r="I335" s="5">
        <v>54.98</v>
      </c>
    </row>
    <row r="336" spans="1:9">
      <c r="A336" s="1">
        <v>45119</v>
      </c>
      <c r="B336" s="16" t="s">
        <v>46</v>
      </c>
      <c r="C336">
        <v>19</v>
      </c>
      <c r="D336">
        <v>174.9</v>
      </c>
      <c r="E336">
        <v>98</v>
      </c>
      <c r="F336" s="5">
        <v>0.4</v>
      </c>
      <c r="G336" s="8">
        <v>13.4</v>
      </c>
      <c r="H336" s="5">
        <v>71.77</v>
      </c>
      <c r="I336" s="5">
        <v>66.989999999999995</v>
      </c>
    </row>
    <row r="337" spans="1:9">
      <c r="A337" s="1">
        <v>45119</v>
      </c>
      <c r="B337" s="16" t="s">
        <v>46</v>
      </c>
      <c r="C337">
        <v>20</v>
      </c>
      <c r="D337">
        <v>123.1</v>
      </c>
      <c r="E337">
        <v>82</v>
      </c>
      <c r="F337" s="5">
        <v>0.35</v>
      </c>
      <c r="G337" s="8">
        <v>11.8</v>
      </c>
      <c r="H337" s="5">
        <v>62.33</v>
      </c>
      <c r="I337" s="5">
        <v>54.08</v>
      </c>
    </row>
    <row r="338" spans="1:9">
      <c r="A338" s="1">
        <v>45119</v>
      </c>
      <c r="B338" s="16" t="s">
        <v>47</v>
      </c>
      <c r="C338">
        <v>22</v>
      </c>
      <c r="D338">
        <v>3002.5</v>
      </c>
      <c r="F338" s="5"/>
      <c r="G338" s="8"/>
    </row>
    <row r="339" spans="1:9">
      <c r="A339" s="1">
        <v>45119</v>
      </c>
      <c r="B339" s="16" t="s">
        <v>47</v>
      </c>
      <c r="C339">
        <v>1</v>
      </c>
      <c r="D339">
        <v>121</v>
      </c>
      <c r="E339">
        <v>81</v>
      </c>
      <c r="F339" s="5">
        <v>0.55000000000000004</v>
      </c>
      <c r="G339" s="8">
        <v>14.4</v>
      </c>
      <c r="H339" s="5">
        <v>62.65</v>
      </c>
      <c r="I339" s="5">
        <v>55.92</v>
      </c>
    </row>
    <row r="340" spans="1:9">
      <c r="A340" s="1">
        <v>45119</v>
      </c>
      <c r="B340" s="16" t="s">
        <v>47</v>
      </c>
      <c r="C340">
        <v>2</v>
      </c>
      <c r="D340">
        <v>119.5</v>
      </c>
      <c r="E340">
        <v>89</v>
      </c>
      <c r="F340" s="5">
        <v>0.36</v>
      </c>
      <c r="G340" s="8">
        <v>12.1</v>
      </c>
      <c r="H340" s="5">
        <v>63.11</v>
      </c>
      <c r="I340" s="5">
        <v>55.7</v>
      </c>
    </row>
    <row r="341" spans="1:9">
      <c r="A341" s="1">
        <v>45119</v>
      </c>
      <c r="B341" s="16" t="s">
        <v>47</v>
      </c>
      <c r="C341">
        <v>3</v>
      </c>
      <c r="D341">
        <v>143.6</v>
      </c>
      <c r="E341">
        <v>95</v>
      </c>
      <c r="F341" s="5">
        <v>0.54</v>
      </c>
      <c r="G341" s="8">
        <v>10.8</v>
      </c>
      <c r="H341" s="5">
        <v>66.5</v>
      </c>
      <c r="I341" s="5">
        <v>58.5</v>
      </c>
    </row>
    <row r="342" spans="1:9">
      <c r="A342" s="1">
        <v>45119</v>
      </c>
      <c r="B342" s="16" t="s">
        <v>47</v>
      </c>
      <c r="C342">
        <v>4</v>
      </c>
      <c r="D342">
        <v>205.8</v>
      </c>
      <c r="E342">
        <v>98</v>
      </c>
      <c r="F342" s="5">
        <v>0.42</v>
      </c>
      <c r="G342" s="8">
        <v>10.4</v>
      </c>
      <c r="H342" s="5">
        <v>74.47</v>
      </c>
      <c r="I342" s="5">
        <v>67.63</v>
      </c>
    </row>
    <row r="343" spans="1:9">
      <c r="A343" s="1">
        <v>45119</v>
      </c>
      <c r="B343" s="16" t="s">
        <v>47</v>
      </c>
      <c r="C343">
        <v>5</v>
      </c>
      <c r="D343">
        <v>149.69999999999999</v>
      </c>
      <c r="E343">
        <v>93</v>
      </c>
      <c r="F343" s="5">
        <v>0.43</v>
      </c>
      <c r="G343" s="8">
        <v>8.4</v>
      </c>
      <c r="H343" s="5">
        <v>68.760000000000005</v>
      </c>
      <c r="I343" s="5">
        <v>59.31</v>
      </c>
    </row>
    <row r="344" spans="1:9">
      <c r="A344" s="1">
        <v>45119</v>
      </c>
      <c r="B344" s="16" t="s">
        <v>47</v>
      </c>
      <c r="C344">
        <v>6</v>
      </c>
      <c r="D344">
        <v>145.6</v>
      </c>
      <c r="E344">
        <v>100</v>
      </c>
      <c r="F344" s="5">
        <v>0.48</v>
      </c>
      <c r="G344" s="8">
        <v>11</v>
      </c>
      <c r="H344" s="5">
        <v>68.599999999999994</v>
      </c>
      <c r="I344" s="5">
        <v>63.09</v>
      </c>
    </row>
    <row r="345" spans="1:9">
      <c r="A345" s="1">
        <v>45119</v>
      </c>
      <c r="B345" s="16" t="s">
        <v>47</v>
      </c>
      <c r="C345">
        <v>7</v>
      </c>
      <c r="D345">
        <v>124.9</v>
      </c>
      <c r="E345">
        <v>82</v>
      </c>
      <c r="F345" s="5">
        <v>0.45</v>
      </c>
      <c r="G345" s="8">
        <v>10.7</v>
      </c>
      <c r="H345" s="5">
        <v>62.36</v>
      </c>
      <c r="I345" s="5">
        <v>56.16</v>
      </c>
    </row>
    <row r="346" spans="1:9">
      <c r="A346" s="1">
        <v>45119</v>
      </c>
      <c r="B346" s="16" t="s">
        <v>47</v>
      </c>
      <c r="C346">
        <v>8</v>
      </c>
      <c r="D346">
        <v>146.9</v>
      </c>
      <c r="E346">
        <v>96</v>
      </c>
      <c r="F346" s="5">
        <v>0.37</v>
      </c>
      <c r="G346" s="8">
        <v>12.7</v>
      </c>
      <c r="H346" s="5">
        <v>65.98</v>
      </c>
      <c r="I346" s="5">
        <v>66.19</v>
      </c>
    </row>
    <row r="347" spans="1:9">
      <c r="A347" s="1">
        <v>45119</v>
      </c>
      <c r="B347" s="16" t="s">
        <v>47</v>
      </c>
      <c r="C347">
        <v>9</v>
      </c>
      <c r="D347">
        <v>75.099999999999994</v>
      </c>
      <c r="E347">
        <v>85</v>
      </c>
      <c r="F347" s="5">
        <v>0.39</v>
      </c>
      <c r="G347" s="8">
        <v>10.1</v>
      </c>
      <c r="H347" s="5">
        <v>49.9</v>
      </c>
      <c r="I347" s="5">
        <v>50.53</v>
      </c>
    </row>
    <row r="348" spans="1:9">
      <c r="A348" s="1">
        <v>45119</v>
      </c>
      <c r="B348" s="16" t="s">
        <v>47</v>
      </c>
      <c r="C348">
        <v>10</v>
      </c>
      <c r="D348">
        <v>108.3</v>
      </c>
      <c r="E348">
        <v>73</v>
      </c>
      <c r="F348" s="5">
        <v>0.41</v>
      </c>
      <c r="G348" s="8">
        <v>10.3</v>
      </c>
      <c r="H348" s="5">
        <v>59.12</v>
      </c>
      <c r="I348" s="5">
        <v>52.02</v>
      </c>
    </row>
    <row r="349" spans="1:9">
      <c r="A349" s="1">
        <v>45119</v>
      </c>
      <c r="B349" s="16" t="s">
        <v>47</v>
      </c>
      <c r="C349">
        <v>11</v>
      </c>
      <c r="D349">
        <v>233.3</v>
      </c>
      <c r="E349">
        <v>87</v>
      </c>
      <c r="F349" s="5">
        <v>0.41</v>
      </c>
      <c r="G349" s="8">
        <v>13.3</v>
      </c>
      <c r="H349" s="5">
        <v>78.459999999999994</v>
      </c>
      <c r="I349" s="5">
        <v>70.599999999999994</v>
      </c>
    </row>
    <row r="350" spans="1:9">
      <c r="A350" s="1">
        <v>45119</v>
      </c>
      <c r="B350" s="16" t="s">
        <v>47</v>
      </c>
      <c r="C350">
        <v>12</v>
      </c>
      <c r="D350">
        <v>206.6</v>
      </c>
      <c r="E350">
        <v>95</v>
      </c>
      <c r="F350" s="5">
        <v>0.61</v>
      </c>
      <c r="G350" s="8">
        <v>10.199999999999999</v>
      </c>
      <c r="H350" s="5">
        <v>75.510000000000005</v>
      </c>
      <c r="I350" s="5">
        <v>69.22</v>
      </c>
    </row>
    <row r="351" spans="1:9">
      <c r="A351" s="1">
        <v>45119</v>
      </c>
      <c r="B351" s="16" t="s">
        <v>47</v>
      </c>
      <c r="C351">
        <v>13</v>
      </c>
      <c r="D351">
        <v>109.3</v>
      </c>
      <c r="E351">
        <v>85</v>
      </c>
      <c r="F351" s="5">
        <v>0.4</v>
      </c>
      <c r="G351" s="8">
        <v>9.1</v>
      </c>
      <c r="H351" s="5">
        <v>59.51</v>
      </c>
      <c r="I351" s="5">
        <v>57.02</v>
      </c>
    </row>
    <row r="352" spans="1:9">
      <c r="A352" s="1">
        <v>45119</v>
      </c>
      <c r="B352" s="16" t="s">
        <v>47</v>
      </c>
      <c r="C352">
        <v>14</v>
      </c>
      <c r="D352">
        <v>90.5</v>
      </c>
      <c r="E352">
        <v>96</v>
      </c>
      <c r="F352" s="5">
        <v>0.44</v>
      </c>
      <c r="G352" s="8">
        <v>9.1999999999999993</v>
      </c>
      <c r="H352" s="5">
        <v>56.98</v>
      </c>
      <c r="I352" s="5">
        <v>53.82</v>
      </c>
    </row>
    <row r="353" spans="1:9">
      <c r="A353" s="1">
        <v>45119</v>
      </c>
      <c r="B353" s="16" t="s">
        <v>47</v>
      </c>
      <c r="C353">
        <v>15</v>
      </c>
      <c r="D353">
        <v>102.3</v>
      </c>
      <c r="E353">
        <v>88</v>
      </c>
      <c r="F353" s="5">
        <v>0.45</v>
      </c>
      <c r="G353" s="8">
        <v>8.4</v>
      </c>
      <c r="H353" s="5">
        <v>56.43</v>
      </c>
      <c r="I353" s="5">
        <v>55.87</v>
      </c>
    </row>
    <row r="354" spans="1:9">
      <c r="A354" s="1">
        <v>45119</v>
      </c>
      <c r="B354" s="16" t="s">
        <v>47</v>
      </c>
      <c r="C354">
        <v>16</v>
      </c>
      <c r="D354">
        <v>102.1</v>
      </c>
      <c r="E354">
        <v>100</v>
      </c>
      <c r="F354" s="5">
        <v>0.47</v>
      </c>
      <c r="G354" s="8">
        <v>9.5</v>
      </c>
      <c r="H354" s="5">
        <v>59.8</v>
      </c>
      <c r="I354" s="5">
        <v>55.82</v>
      </c>
    </row>
    <row r="355" spans="1:9">
      <c r="A355" s="1">
        <v>45119</v>
      </c>
      <c r="B355" s="16" t="s">
        <v>47</v>
      </c>
      <c r="C355">
        <v>17</v>
      </c>
      <c r="D355">
        <v>146.69999999999999</v>
      </c>
      <c r="E355">
        <v>97</v>
      </c>
      <c r="F355" s="5">
        <v>0.57999999999999996</v>
      </c>
      <c r="G355" s="8">
        <v>9.9</v>
      </c>
      <c r="H355" s="5">
        <v>65.34</v>
      </c>
      <c r="I355" s="5">
        <v>58.47</v>
      </c>
    </row>
    <row r="356" spans="1:9">
      <c r="A356" s="1">
        <v>45119</v>
      </c>
      <c r="B356" s="16" t="s">
        <v>47</v>
      </c>
      <c r="C356">
        <v>18</v>
      </c>
      <c r="D356">
        <v>132.5</v>
      </c>
      <c r="E356">
        <v>76</v>
      </c>
      <c r="F356" s="5">
        <v>0.38</v>
      </c>
      <c r="G356" s="8">
        <v>10.9</v>
      </c>
      <c r="H356" s="5">
        <v>63.11</v>
      </c>
      <c r="I356" s="5">
        <v>59.68</v>
      </c>
    </row>
    <row r="357" spans="1:9">
      <c r="A357" s="1">
        <v>45119</v>
      </c>
      <c r="B357" s="16" t="s">
        <v>47</v>
      </c>
      <c r="C357">
        <v>19</v>
      </c>
      <c r="D357">
        <v>132</v>
      </c>
      <c r="E357">
        <v>89</v>
      </c>
      <c r="F357" s="5">
        <v>0.44</v>
      </c>
      <c r="G357" s="8">
        <v>9.9</v>
      </c>
      <c r="H357" s="5">
        <v>67.36</v>
      </c>
      <c r="I357" s="5">
        <v>60.51</v>
      </c>
    </row>
    <row r="358" spans="1:9">
      <c r="A358" s="1">
        <v>45119</v>
      </c>
      <c r="B358" s="16" t="s">
        <v>47</v>
      </c>
      <c r="C358">
        <v>20</v>
      </c>
      <c r="D358">
        <v>92.3</v>
      </c>
      <c r="E358">
        <v>88</v>
      </c>
      <c r="F358" s="5">
        <v>0.47</v>
      </c>
      <c r="G358" s="8">
        <v>11.3</v>
      </c>
      <c r="H358" s="5">
        <v>53.7</v>
      </c>
      <c r="I358" s="5">
        <v>52.22</v>
      </c>
    </row>
    <row r="359" spans="1:9">
      <c r="A359" s="1">
        <v>45119</v>
      </c>
      <c r="B359" s="16" t="s">
        <v>48</v>
      </c>
      <c r="C359">
        <v>21</v>
      </c>
      <c r="D359">
        <v>3308</v>
      </c>
      <c r="F359" s="5"/>
      <c r="G359" s="8"/>
    </row>
    <row r="360" spans="1:9">
      <c r="A360" s="1">
        <v>45119</v>
      </c>
      <c r="B360" s="16" t="s">
        <v>48</v>
      </c>
      <c r="C360">
        <v>1</v>
      </c>
      <c r="D360">
        <v>116.4</v>
      </c>
      <c r="E360">
        <v>98</v>
      </c>
      <c r="F360" s="5">
        <v>0.47</v>
      </c>
      <c r="G360" s="8">
        <v>11.2</v>
      </c>
      <c r="H360" s="5">
        <v>69.040000000000006</v>
      </c>
      <c r="I360" s="5">
        <v>64.78</v>
      </c>
    </row>
    <row r="361" spans="1:9">
      <c r="A361" s="1">
        <v>45119</v>
      </c>
      <c r="B361" s="16" t="s">
        <v>48</v>
      </c>
      <c r="C361">
        <v>2</v>
      </c>
      <c r="D361">
        <v>105.6</v>
      </c>
      <c r="E361">
        <v>86</v>
      </c>
      <c r="F361" s="5">
        <v>0.47</v>
      </c>
      <c r="G361" s="8">
        <v>10.6</v>
      </c>
      <c r="H361" s="5">
        <v>56.25</v>
      </c>
      <c r="I361" s="5">
        <v>54.8</v>
      </c>
    </row>
    <row r="362" spans="1:9">
      <c r="A362" s="1">
        <v>45119</v>
      </c>
      <c r="B362" s="16" t="s">
        <v>48</v>
      </c>
      <c r="C362">
        <v>3</v>
      </c>
      <c r="D362">
        <v>344.6</v>
      </c>
      <c r="E362">
        <v>96</v>
      </c>
      <c r="F362" s="5">
        <v>0.37</v>
      </c>
      <c r="G362" s="8">
        <v>12.6</v>
      </c>
      <c r="H362" s="5">
        <v>89.43</v>
      </c>
      <c r="I362" s="5">
        <v>80.09</v>
      </c>
    </row>
    <row r="363" spans="1:9">
      <c r="A363" s="1">
        <v>45119</v>
      </c>
      <c r="B363" s="16" t="s">
        <v>48</v>
      </c>
      <c r="C363">
        <v>4</v>
      </c>
      <c r="D363">
        <v>179.8</v>
      </c>
      <c r="E363">
        <v>100</v>
      </c>
      <c r="F363" s="5">
        <v>0.51</v>
      </c>
      <c r="G363" s="8">
        <v>11.1</v>
      </c>
      <c r="H363" s="5">
        <v>70.959999999999994</v>
      </c>
      <c r="I363" s="5">
        <v>53.42</v>
      </c>
    </row>
    <row r="364" spans="1:9">
      <c r="A364" s="1">
        <v>45119</v>
      </c>
      <c r="B364" s="16" t="s">
        <v>48</v>
      </c>
      <c r="C364">
        <v>5</v>
      </c>
      <c r="D364">
        <v>147.4</v>
      </c>
      <c r="E364">
        <v>100</v>
      </c>
      <c r="F364" s="5">
        <v>0.48</v>
      </c>
      <c r="G364" s="8">
        <v>9.9</v>
      </c>
      <c r="H364" s="5">
        <v>64.599999999999994</v>
      </c>
      <c r="I364" s="5">
        <v>60.78</v>
      </c>
    </row>
    <row r="365" spans="1:9">
      <c r="A365" s="1">
        <v>45119</v>
      </c>
      <c r="B365" s="16" t="s">
        <v>48</v>
      </c>
      <c r="C365">
        <v>6</v>
      </c>
      <c r="D365">
        <v>197.4</v>
      </c>
      <c r="E365">
        <v>100</v>
      </c>
      <c r="F365" s="5">
        <v>0.43</v>
      </c>
      <c r="G365" s="8">
        <v>12</v>
      </c>
      <c r="H365" s="5">
        <v>71.7</v>
      </c>
      <c r="I365" s="5">
        <v>69.5</v>
      </c>
    </row>
    <row r="366" spans="1:9">
      <c r="A366" s="1">
        <v>45119</v>
      </c>
      <c r="B366" s="16" t="s">
        <v>48</v>
      </c>
      <c r="C366">
        <v>7</v>
      </c>
      <c r="D366">
        <v>140.5</v>
      </c>
      <c r="E366">
        <v>95</v>
      </c>
      <c r="F366" s="5">
        <v>0.45</v>
      </c>
      <c r="G366" s="8">
        <v>11.6</v>
      </c>
      <c r="H366" s="5">
        <v>62.01</v>
      </c>
      <c r="I366" s="5">
        <v>64.459999999999994</v>
      </c>
    </row>
    <row r="367" spans="1:9">
      <c r="A367" s="1">
        <v>45119</v>
      </c>
      <c r="B367" s="16" t="s">
        <v>48</v>
      </c>
      <c r="C367">
        <v>8</v>
      </c>
      <c r="D367">
        <v>121.6</v>
      </c>
      <c r="E367">
        <v>100</v>
      </c>
      <c r="F367" s="5">
        <v>0.44</v>
      </c>
      <c r="G367" s="8">
        <v>11.4</v>
      </c>
      <c r="H367" s="5">
        <v>59.9</v>
      </c>
      <c r="I367" s="5">
        <v>60.69</v>
      </c>
    </row>
    <row r="368" spans="1:9">
      <c r="A368" s="1">
        <v>45119</v>
      </c>
      <c r="B368" s="16" t="s">
        <v>48</v>
      </c>
      <c r="C368">
        <v>9</v>
      </c>
      <c r="D368">
        <v>90.4</v>
      </c>
      <c r="E368">
        <v>92</v>
      </c>
      <c r="F368" s="5">
        <v>0.68</v>
      </c>
      <c r="G368" s="8">
        <v>8.6</v>
      </c>
      <c r="H368" s="5">
        <v>55.02</v>
      </c>
      <c r="I368" s="5">
        <v>57.93</v>
      </c>
    </row>
    <row r="369" spans="1:9">
      <c r="A369" s="1">
        <v>45119</v>
      </c>
      <c r="B369" s="16" t="s">
        <v>48</v>
      </c>
      <c r="C369">
        <v>10</v>
      </c>
      <c r="D369">
        <v>132.6</v>
      </c>
      <c r="E369">
        <v>91</v>
      </c>
      <c r="F369" s="5">
        <v>0.46</v>
      </c>
      <c r="G369" s="8">
        <v>9.6999999999999993</v>
      </c>
      <c r="H369" s="5">
        <v>62.41</v>
      </c>
      <c r="I369" s="5">
        <v>57.54</v>
      </c>
    </row>
    <row r="370" spans="1:9">
      <c r="A370" s="1">
        <v>45119</v>
      </c>
      <c r="B370" s="16" t="s">
        <v>48</v>
      </c>
      <c r="C370">
        <v>11</v>
      </c>
      <c r="D370">
        <v>163.19999999999999</v>
      </c>
      <c r="E370">
        <v>100</v>
      </c>
      <c r="F370" s="5">
        <v>0.5</v>
      </c>
      <c r="G370" s="8">
        <v>8.6</v>
      </c>
      <c r="H370" s="5">
        <v>68.48</v>
      </c>
      <c r="I370" s="5">
        <v>64.260000000000005</v>
      </c>
    </row>
    <row r="371" spans="1:9">
      <c r="A371" s="1">
        <v>45119</v>
      </c>
      <c r="B371" s="16" t="s">
        <v>48</v>
      </c>
      <c r="C371">
        <v>12</v>
      </c>
      <c r="D371">
        <v>89</v>
      </c>
      <c r="E371">
        <v>92</v>
      </c>
      <c r="F371" s="5">
        <v>0.46</v>
      </c>
      <c r="G371" s="8">
        <v>8.9</v>
      </c>
      <c r="H371" s="5">
        <v>55.58</v>
      </c>
      <c r="I371" s="5">
        <v>52.65</v>
      </c>
    </row>
    <row r="372" spans="1:9">
      <c r="A372" s="1">
        <v>45119</v>
      </c>
      <c r="B372" s="16" t="s">
        <v>48</v>
      </c>
      <c r="C372">
        <v>13</v>
      </c>
      <c r="D372">
        <v>206.8</v>
      </c>
      <c r="E372">
        <v>93</v>
      </c>
      <c r="F372" s="5">
        <v>0.51</v>
      </c>
      <c r="G372" s="8">
        <v>11</v>
      </c>
      <c r="H372" s="5">
        <v>75.39</v>
      </c>
      <c r="I372" s="5">
        <v>59.13</v>
      </c>
    </row>
    <row r="373" spans="1:9">
      <c r="A373" s="1">
        <v>45119</v>
      </c>
      <c r="B373" s="16" t="s">
        <v>48</v>
      </c>
      <c r="C373">
        <v>14</v>
      </c>
      <c r="D373">
        <v>140.4</v>
      </c>
      <c r="E373">
        <v>89</v>
      </c>
      <c r="F373" s="5">
        <v>0.41</v>
      </c>
      <c r="G373" s="8">
        <v>12.1</v>
      </c>
      <c r="H373" s="5">
        <v>63.29</v>
      </c>
      <c r="I373" s="5">
        <v>62.63</v>
      </c>
    </row>
    <row r="374" spans="1:9">
      <c r="A374" s="1">
        <v>45119</v>
      </c>
      <c r="B374" s="16" t="s">
        <v>48</v>
      </c>
      <c r="C374">
        <v>15</v>
      </c>
      <c r="D374">
        <v>187.5</v>
      </c>
      <c r="E374">
        <v>95</v>
      </c>
      <c r="F374" s="5">
        <v>0.48</v>
      </c>
      <c r="G374" s="8">
        <v>12</v>
      </c>
      <c r="H374" s="5">
        <v>71.680000000000007</v>
      </c>
      <c r="I374" s="5">
        <v>62.52</v>
      </c>
    </row>
    <row r="375" spans="1:9">
      <c r="A375" s="1">
        <v>45119</v>
      </c>
      <c r="B375" s="16" t="s">
        <v>48</v>
      </c>
      <c r="C375">
        <v>16</v>
      </c>
      <c r="D375">
        <v>165.7</v>
      </c>
      <c r="E375">
        <v>94</v>
      </c>
      <c r="F375" s="5">
        <v>0.44</v>
      </c>
      <c r="G375" s="8">
        <v>11.8</v>
      </c>
      <c r="H375" s="5">
        <v>66.010000000000005</v>
      </c>
      <c r="I375" s="5">
        <v>68.28</v>
      </c>
    </row>
    <row r="376" spans="1:9">
      <c r="A376" s="1">
        <v>45119</v>
      </c>
      <c r="B376" s="16" t="s">
        <v>48</v>
      </c>
      <c r="C376">
        <v>17</v>
      </c>
      <c r="D376">
        <v>162.80000000000001</v>
      </c>
      <c r="E376">
        <v>98</v>
      </c>
      <c r="F376" s="5">
        <v>0.48</v>
      </c>
      <c r="G376" s="8">
        <v>10.1</v>
      </c>
      <c r="H376" s="5">
        <v>62.88</v>
      </c>
      <c r="I376" s="5">
        <v>60.43</v>
      </c>
    </row>
    <row r="377" spans="1:9">
      <c r="A377" s="1">
        <v>45119</v>
      </c>
      <c r="B377" s="16" t="s">
        <v>48</v>
      </c>
      <c r="C377">
        <v>18</v>
      </c>
      <c r="D377">
        <v>134.5</v>
      </c>
      <c r="E377">
        <v>90</v>
      </c>
      <c r="F377" s="5">
        <v>0.51</v>
      </c>
      <c r="G377" s="8">
        <v>9.9</v>
      </c>
      <c r="H377" s="5">
        <v>64.75</v>
      </c>
      <c r="I377" s="5">
        <v>63.69</v>
      </c>
    </row>
    <row r="378" spans="1:9">
      <c r="A378" s="1">
        <v>45119</v>
      </c>
      <c r="B378" s="16" t="s">
        <v>48</v>
      </c>
      <c r="C378">
        <v>19</v>
      </c>
      <c r="D378">
        <v>122.7</v>
      </c>
      <c r="E378">
        <v>84</v>
      </c>
      <c r="F378" s="5">
        <v>0.48</v>
      </c>
      <c r="G378" s="8">
        <v>11.5</v>
      </c>
      <c r="H378" s="5">
        <v>60.35</v>
      </c>
      <c r="I378" s="5">
        <v>54.64</v>
      </c>
    </row>
    <row r="379" spans="1:9">
      <c r="A379" s="1">
        <v>45119</v>
      </c>
      <c r="B379" s="16" t="s">
        <v>48</v>
      </c>
      <c r="C379">
        <v>20</v>
      </c>
      <c r="D379">
        <v>134</v>
      </c>
      <c r="E379">
        <v>83</v>
      </c>
      <c r="F379" s="5">
        <v>0.52</v>
      </c>
      <c r="G379" s="8">
        <v>10.9</v>
      </c>
      <c r="H379" s="5">
        <v>63.22</v>
      </c>
      <c r="I379" s="5">
        <v>57.27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3"/>
  <sheetViews>
    <sheetView zoomScale="70" zoomScaleNormal="70" workbookViewId="0">
      <selection activeCell="H46" sqref="H46"/>
    </sheetView>
  </sheetViews>
  <sheetFormatPr defaultColWidth="9.140625" defaultRowHeight="15"/>
  <cols>
    <col min="1" max="1" width="12" bestFit="1" customWidth="1"/>
    <col min="2" max="2" width="6.42578125" customWidth="1"/>
    <col min="3" max="3" width="13.140625" bestFit="1" customWidth="1"/>
    <col min="4" max="4" width="17.5703125" customWidth="1"/>
    <col min="5" max="5" width="18.28515625" customWidth="1"/>
    <col min="6" max="6" width="11.28515625" bestFit="1" customWidth="1"/>
    <col min="7" max="7" width="23.7109375" bestFit="1" customWidth="1"/>
    <col min="8" max="8" width="22.140625" bestFit="1" customWidth="1"/>
    <col min="9" max="9" width="26.5703125" bestFit="1" customWidth="1"/>
    <col min="10" max="10" width="24.85546875" bestFit="1" customWidth="1"/>
    <col min="11" max="11" width="19" bestFit="1" customWidth="1"/>
  </cols>
  <sheetData>
    <row r="1" spans="1:15" ht="15.75">
      <c r="A1" s="14" t="s">
        <v>0</v>
      </c>
      <c r="B1" s="14" t="s">
        <v>49</v>
      </c>
      <c r="C1" s="14" t="s">
        <v>50</v>
      </c>
      <c r="D1" s="14" t="s">
        <v>51</v>
      </c>
      <c r="E1" s="14" t="s">
        <v>52</v>
      </c>
      <c r="F1" s="14" t="s">
        <v>53</v>
      </c>
      <c r="G1" s="14" t="s">
        <v>54</v>
      </c>
      <c r="H1" s="14" t="s">
        <v>55</v>
      </c>
      <c r="I1" s="14" t="s">
        <v>56</v>
      </c>
      <c r="J1" s="14" t="s">
        <v>57</v>
      </c>
      <c r="K1" s="14" t="s">
        <v>58</v>
      </c>
      <c r="N1" s="7"/>
    </row>
    <row r="2" spans="1:15">
      <c r="A2" s="15">
        <v>45078</v>
      </c>
      <c r="B2" s="16">
        <v>1</v>
      </c>
      <c r="C2" s="16" t="s">
        <v>59</v>
      </c>
      <c r="D2" s="16" t="s">
        <v>60</v>
      </c>
      <c r="E2" s="16" t="s">
        <v>61</v>
      </c>
      <c r="F2" s="16">
        <v>1</v>
      </c>
      <c r="G2" s="7">
        <v>0.1923</v>
      </c>
      <c r="H2" s="7">
        <v>0.17519999999999999</v>
      </c>
      <c r="I2" s="7">
        <v>0.34439999999999998</v>
      </c>
      <c r="J2" s="7">
        <v>0.30099999999999999</v>
      </c>
      <c r="K2" s="7">
        <f>H2+J2</f>
        <v>0.47619999999999996</v>
      </c>
      <c r="M2" s="7"/>
      <c r="N2" s="7"/>
    </row>
    <row r="3" spans="1:15">
      <c r="A3" s="15">
        <v>45078</v>
      </c>
      <c r="B3" s="16">
        <v>1</v>
      </c>
      <c r="C3" s="16" t="s">
        <v>59</v>
      </c>
      <c r="D3" s="16" t="s">
        <v>60</v>
      </c>
      <c r="E3" s="16" t="s">
        <v>62</v>
      </c>
      <c r="F3" s="16">
        <v>2</v>
      </c>
      <c r="G3" s="7">
        <v>0.12</v>
      </c>
      <c r="H3" s="7">
        <v>0.11849999999999999</v>
      </c>
      <c r="I3" s="7">
        <v>0.22939999999999999</v>
      </c>
      <c r="J3" s="7">
        <v>0.1946</v>
      </c>
      <c r="K3" s="7">
        <f t="shared" ref="K3:K61" si="0">H3+J3</f>
        <v>0.31309999999999999</v>
      </c>
      <c r="M3" s="7"/>
    </row>
    <row r="4" spans="1:15">
      <c r="A4" s="15">
        <v>45078</v>
      </c>
      <c r="B4" s="16">
        <v>1</v>
      </c>
      <c r="C4" s="16" t="s">
        <v>59</v>
      </c>
      <c r="D4" s="16" t="s">
        <v>60</v>
      </c>
      <c r="E4" s="16" t="s">
        <v>63</v>
      </c>
      <c r="F4" s="16">
        <v>3</v>
      </c>
      <c r="G4" s="7">
        <v>8.8700000000000001E-2</v>
      </c>
      <c r="H4" s="7">
        <v>7.5399999999999995E-2</v>
      </c>
      <c r="I4" s="7">
        <v>9.2799999999999994E-2</v>
      </c>
      <c r="J4" s="7">
        <v>8.8700000000000001E-2</v>
      </c>
      <c r="K4" s="7">
        <f t="shared" si="0"/>
        <v>0.1641</v>
      </c>
      <c r="L4" s="7"/>
      <c r="M4" s="7"/>
      <c r="N4" s="7"/>
      <c r="O4" s="7"/>
    </row>
    <row r="5" spans="1:15">
      <c r="A5" s="15">
        <v>45078</v>
      </c>
      <c r="B5" s="16">
        <v>1</v>
      </c>
      <c r="C5" s="16" t="s">
        <v>59</v>
      </c>
      <c r="D5" s="16" t="s">
        <v>64</v>
      </c>
      <c r="E5" s="16" t="s">
        <v>61</v>
      </c>
      <c r="F5" s="16">
        <v>4</v>
      </c>
      <c r="G5" s="7">
        <v>3.8100000000000002E-2</v>
      </c>
      <c r="H5" s="7">
        <v>3.6499999999999998E-2</v>
      </c>
      <c r="I5" s="7">
        <v>2.2800000000000001E-2</v>
      </c>
      <c r="J5" s="7">
        <v>1.7299999999999999E-2</v>
      </c>
      <c r="K5" s="7">
        <f t="shared" si="0"/>
        <v>5.3800000000000001E-2</v>
      </c>
      <c r="M5" s="7"/>
      <c r="N5" s="7"/>
      <c r="O5" s="7"/>
    </row>
    <row r="6" spans="1:15">
      <c r="A6" s="15">
        <v>45078</v>
      </c>
      <c r="B6" s="16">
        <v>1</v>
      </c>
      <c r="C6" s="16" t="s">
        <v>59</v>
      </c>
      <c r="D6" s="16" t="s">
        <v>64</v>
      </c>
      <c r="E6" s="16" t="s">
        <v>62</v>
      </c>
      <c r="F6" s="16">
        <v>5</v>
      </c>
      <c r="G6" s="7">
        <v>3.0200000000000001E-2</v>
      </c>
      <c r="H6" s="7">
        <v>2.93E-2</v>
      </c>
      <c r="I6" s="7">
        <v>0.1002</v>
      </c>
      <c r="J6" s="7">
        <v>8.72E-2</v>
      </c>
      <c r="K6" s="7">
        <f t="shared" si="0"/>
        <v>0.11649999999999999</v>
      </c>
      <c r="M6" s="7"/>
      <c r="O6" s="7"/>
    </row>
    <row r="7" spans="1:15">
      <c r="A7" s="15">
        <v>45078</v>
      </c>
      <c r="B7" s="16">
        <v>1</v>
      </c>
      <c r="C7" s="16" t="s">
        <v>59</v>
      </c>
      <c r="D7" s="16" t="s">
        <v>64</v>
      </c>
      <c r="E7" s="16" t="s">
        <v>63</v>
      </c>
      <c r="F7" s="16">
        <v>6</v>
      </c>
      <c r="G7" s="7">
        <v>7.9000000000000008E-3</v>
      </c>
      <c r="H7" s="7">
        <v>2.7000000000000001E-3</v>
      </c>
      <c r="I7" s="7">
        <v>1.2999999999999999E-2</v>
      </c>
      <c r="J7" s="7">
        <v>9.7000000000000003E-3</v>
      </c>
      <c r="K7" s="7">
        <f t="shared" si="0"/>
        <v>1.2400000000000001E-2</v>
      </c>
    </row>
    <row r="8" spans="1:15">
      <c r="A8" s="15">
        <v>45078</v>
      </c>
      <c r="B8" s="16">
        <v>2</v>
      </c>
      <c r="C8" s="16" t="s">
        <v>59</v>
      </c>
      <c r="D8" s="16" t="s">
        <v>60</v>
      </c>
      <c r="E8" s="16" t="s">
        <v>61</v>
      </c>
      <c r="F8" s="16">
        <v>7</v>
      </c>
      <c r="G8" s="7">
        <v>3.3618999999999999</v>
      </c>
      <c r="H8" s="7">
        <v>3.0434999999999999</v>
      </c>
      <c r="I8" s="7">
        <v>0.32390000000000002</v>
      </c>
      <c r="J8" s="7">
        <v>0.31780000000000003</v>
      </c>
      <c r="K8" s="7">
        <f t="shared" si="0"/>
        <v>3.3613</v>
      </c>
    </row>
    <row r="9" spans="1:15">
      <c r="A9" s="15">
        <v>45078</v>
      </c>
      <c r="B9" s="16">
        <v>2</v>
      </c>
      <c r="C9" s="16" t="s">
        <v>59</v>
      </c>
      <c r="D9" s="16" t="s">
        <v>60</v>
      </c>
      <c r="E9" s="16" t="s">
        <v>62</v>
      </c>
      <c r="F9" s="16">
        <v>8</v>
      </c>
      <c r="G9" s="7">
        <v>0.84009999999999996</v>
      </c>
      <c r="H9" s="7">
        <v>0.76659999999999995</v>
      </c>
      <c r="I9" s="7">
        <v>0.53959999999999997</v>
      </c>
      <c r="J9" s="7">
        <v>0.48559999999999998</v>
      </c>
      <c r="K9" s="7">
        <f t="shared" si="0"/>
        <v>1.2522</v>
      </c>
    </row>
    <row r="10" spans="1:15">
      <c r="A10" s="15">
        <v>45078</v>
      </c>
      <c r="B10" s="16">
        <v>2</v>
      </c>
      <c r="C10" s="16" t="s">
        <v>59</v>
      </c>
      <c r="D10" s="16" t="s">
        <v>60</v>
      </c>
      <c r="E10" s="16" t="s">
        <v>63</v>
      </c>
      <c r="F10" s="16">
        <v>9</v>
      </c>
      <c r="G10" s="7">
        <v>0.24299999999999999</v>
      </c>
      <c r="H10" s="7">
        <v>0.22800000000000001</v>
      </c>
      <c r="I10" s="17">
        <v>0</v>
      </c>
      <c r="J10" s="17">
        <v>0</v>
      </c>
      <c r="K10" s="7">
        <f t="shared" si="0"/>
        <v>0.22800000000000001</v>
      </c>
    </row>
    <row r="11" spans="1:15">
      <c r="A11" s="15">
        <v>45078</v>
      </c>
      <c r="B11" s="16">
        <v>2</v>
      </c>
      <c r="C11" s="16" t="s">
        <v>59</v>
      </c>
      <c r="D11" s="16" t="s">
        <v>64</v>
      </c>
      <c r="E11" s="16" t="s">
        <v>61</v>
      </c>
      <c r="F11" s="16">
        <v>10</v>
      </c>
      <c r="G11" s="7">
        <v>5.11E-2</v>
      </c>
      <c r="H11" s="7">
        <v>4.8899999999999999E-2</v>
      </c>
      <c r="I11" s="7">
        <v>1.7500000000000002E-2</v>
      </c>
      <c r="J11" s="7">
        <v>1.2999999999999999E-2</v>
      </c>
      <c r="K11" s="7">
        <f t="shared" si="0"/>
        <v>6.1899999999999997E-2</v>
      </c>
      <c r="N11" s="7"/>
    </row>
    <row r="12" spans="1:15">
      <c r="A12" s="15">
        <v>45078</v>
      </c>
      <c r="B12" s="16">
        <v>2</v>
      </c>
      <c r="C12" s="16" t="s">
        <v>59</v>
      </c>
      <c r="D12" s="16" t="s">
        <v>64</v>
      </c>
      <c r="E12" s="16" t="s">
        <v>62</v>
      </c>
      <c r="F12" s="16">
        <v>11</v>
      </c>
      <c r="G12" s="7">
        <v>1.77E-2</v>
      </c>
      <c r="H12" s="7">
        <v>1.6199999999999999E-2</v>
      </c>
      <c r="I12" s="17">
        <v>0</v>
      </c>
      <c r="J12" s="17">
        <v>0</v>
      </c>
      <c r="K12" s="7">
        <f t="shared" si="0"/>
        <v>1.6199999999999999E-2</v>
      </c>
    </row>
    <row r="13" spans="1:15">
      <c r="A13" s="15">
        <v>45078</v>
      </c>
      <c r="B13" s="16">
        <v>2</v>
      </c>
      <c r="C13" s="16" t="s">
        <v>59</v>
      </c>
      <c r="D13" s="16" t="s">
        <v>64</v>
      </c>
      <c r="E13" s="16" t="s">
        <v>63</v>
      </c>
      <c r="F13" s="16">
        <v>12</v>
      </c>
      <c r="G13" s="7">
        <v>1.4E-2</v>
      </c>
      <c r="H13" s="7">
        <v>1.14E-2</v>
      </c>
      <c r="I13" s="17">
        <v>0</v>
      </c>
      <c r="J13" s="17">
        <v>0</v>
      </c>
      <c r="K13" s="7">
        <f t="shared" si="0"/>
        <v>1.14E-2</v>
      </c>
    </row>
    <row r="14" spans="1:15">
      <c r="A14" s="15">
        <v>45078</v>
      </c>
      <c r="B14" s="16">
        <v>3</v>
      </c>
      <c r="C14" s="16" t="s">
        <v>59</v>
      </c>
      <c r="D14" s="16" t="s">
        <v>60</v>
      </c>
      <c r="E14" s="16" t="s">
        <v>61</v>
      </c>
      <c r="F14" s="16">
        <v>13</v>
      </c>
      <c r="G14" s="7">
        <v>0.2422</v>
      </c>
      <c r="H14" s="7">
        <v>0.2291</v>
      </c>
      <c r="I14" s="7">
        <v>8.4699999999999998E-2</v>
      </c>
      <c r="J14" s="7">
        <v>6.9900000000000004E-2</v>
      </c>
      <c r="K14" s="7">
        <f t="shared" si="0"/>
        <v>0.29899999999999999</v>
      </c>
      <c r="N14" s="7"/>
    </row>
    <row r="15" spans="1:15">
      <c r="A15" s="15">
        <v>45078</v>
      </c>
      <c r="B15" s="16">
        <v>3</v>
      </c>
      <c r="C15" s="16" t="s">
        <v>59</v>
      </c>
      <c r="D15" s="16" t="s">
        <v>60</v>
      </c>
      <c r="E15" s="16" t="s">
        <v>62</v>
      </c>
      <c r="F15" s="16">
        <v>14</v>
      </c>
      <c r="G15" s="7">
        <v>9.6299999999999997E-2</v>
      </c>
      <c r="H15" s="7">
        <v>8.8900000000000007E-2</v>
      </c>
      <c r="I15" s="7">
        <v>0.17050000000000001</v>
      </c>
      <c r="J15" s="7">
        <v>0.1527</v>
      </c>
      <c r="K15" s="7">
        <f t="shared" si="0"/>
        <v>0.24160000000000001</v>
      </c>
      <c r="M15" s="7"/>
      <c r="O15" s="7"/>
    </row>
    <row r="16" spans="1:15">
      <c r="A16" s="15">
        <v>45078</v>
      </c>
      <c r="B16" s="16">
        <v>3</v>
      </c>
      <c r="C16" s="16" t="s">
        <v>59</v>
      </c>
      <c r="D16" s="16" t="s">
        <v>60</v>
      </c>
      <c r="E16" s="16" t="s">
        <v>63</v>
      </c>
      <c r="F16" s="16">
        <v>15</v>
      </c>
      <c r="G16" s="7">
        <v>2.23E-2</v>
      </c>
      <c r="H16" s="7">
        <v>2.07E-2</v>
      </c>
      <c r="I16" s="7">
        <v>0.1249</v>
      </c>
      <c r="J16" s="7">
        <v>0.11409999999999999</v>
      </c>
      <c r="K16" s="7">
        <f t="shared" si="0"/>
        <v>0.1348</v>
      </c>
    </row>
    <row r="17" spans="1:16">
      <c r="A17" s="15">
        <v>45078</v>
      </c>
      <c r="B17" s="16">
        <v>3</v>
      </c>
      <c r="C17" s="16" t="s">
        <v>59</v>
      </c>
      <c r="D17" s="16" t="s">
        <v>64</v>
      </c>
      <c r="E17" s="16" t="s">
        <v>61</v>
      </c>
      <c r="F17" s="16">
        <v>16</v>
      </c>
      <c r="G17" s="7">
        <v>0.115</v>
      </c>
      <c r="H17" s="7">
        <v>0.1026</v>
      </c>
      <c r="I17" s="7">
        <v>2.3800000000000002E-2</v>
      </c>
      <c r="J17" s="7">
        <v>2.3400000000000001E-2</v>
      </c>
      <c r="K17" s="7">
        <f t="shared" si="0"/>
        <v>0.126</v>
      </c>
    </row>
    <row r="18" spans="1:16">
      <c r="A18" s="15">
        <v>45078</v>
      </c>
      <c r="B18" s="16">
        <v>3</v>
      </c>
      <c r="C18" s="16" t="s">
        <v>59</v>
      </c>
      <c r="D18" s="16" t="s">
        <v>64</v>
      </c>
      <c r="E18" s="16" t="s">
        <v>62</v>
      </c>
      <c r="F18" s="16">
        <v>17</v>
      </c>
      <c r="G18" s="7">
        <v>2.53E-2</v>
      </c>
      <c r="H18" s="7">
        <v>2.1499999999999998E-2</v>
      </c>
      <c r="I18" s="7">
        <v>8.5599999999999996E-2</v>
      </c>
      <c r="J18" s="7">
        <v>8.09E-2</v>
      </c>
      <c r="K18" s="7">
        <f t="shared" si="0"/>
        <v>0.10239999999999999</v>
      </c>
    </row>
    <row r="19" spans="1:16">
      <c r="A19" s="15">
        <v>45078</v>
      </c>
      <c r="B19" s="16">
        <v>3</v>
      </c>
      <c r="C19" s="16" t="s">
        <v>59</v>
      </c>
      <c r="D19" s="16" t="s">
        <v>64</v>
      </c>
      <c r="E19" s="16" t="s">
        <v>63</v>
      </c>
      <c r="F19" s="16">
        <v>18</v>
      </c>
      <c r="G19" s="7">
        <v>1.8599999999999998E-2</v>
      </c>
      <c r="H19" s="7">
        <v>1.7000000000000001E-2</v>
      </c>
      <c r="I19" s="17">
        <v>0</v>
      </c>
      <c r="J19" s="17">
        <v>0</v>
      </c>
      <c r="K19" s="7">
        <f t="shared" si="0"/>
        <v>1.7000000000000001E-2</v>
      </c>
    </row>
    <row r="20" spans="1:16">
      <c r="A20" s="15">
        <v>45078</v>
      </c>
      <c r="B20" s="16">
        <v>4</v>
      </c>
      <c r="C20" s="16" t="s">
        <v>59</v>
      </c>
      <c r="D20" s="16" t="s">
        <v>60</v>
      </c>
      <c r="E20" s="16" t="s">
        <v>61</v>
      </c>
      <c r="F20" s="16">
        <v>19</v>
      </c>
      <c r="G20" s="7">
        <v>7.5200000000000003E-2</v>
      </c>
      <c r="H20" s="7">
        <v>6.8699999999999997E-2</v>
      </c>
      <c r="I20" s="7">
        <v>4.3900000000000002E-2</v>
      </c>
      <c r="J20" s="7">
        <v>4.0099999999999997E-2</v>
      </c>
      <c r="K20" s="7">
        <f t="shared" si="0"/>
        <v>0.10879999999999999</v>
      </c>
      <c r="M20" s="7"/>
      <c r="N20" s="7"/>
      <c r="O20" s="7"/>
      <c r="P20" s="7"/>
    </row>
    <row r="21" spans="1:16">
      <c r="A21" s="15">
        <v>45078</v>
      </c>
      <c r="B21" s="16">
        <v>4</v>
      </c>
      <c r="C21" s="16" t="s">
        <v>59</v>
      </c>
      <c r="D21" s="16" t="s">
        <v>60</v>
      </c>
      <c r="E21" s="16" t="s">
        <v>62</v>
      </c>
      <c r="F21" s="16">
        <v>20</v>
      </c>
      <c r="G21" s="7">
        <v>1.9400000000000001E-2</v>
      </c>
      <c r="H21" s="7">
        <v>1.7500000000000002E-2</v>
      </c>
      <c r="I21" s="7">
        <v>0.29580000000000001</v>
      </c>
      <c r="J21" s="7">
        <v>0.26219999999999999</v>
      </c>
      <c r="K21" s="7">
        <f t="shared" si="0"/>
        <v>0.2797</v>
      </c>
      <c r="N21" s="7"/>
    </row>
    <row r="22" spans="1:16">
      <c r="A22" s="15">
        <v>45078</v>
      </c>
      <c r="B22" s="16">
        <v>4</v>
      </c>
      <c r="C22" s="16" t="s">
        <v>59</v>
      </c>
      <c r="D22" s="16" t="s">
        <v>60</v>
      </c>
      <c r="E22" s="16" t="s">
        <v>63</v>
      </c>
      <c r="F22" s="16">
        <v>21</v>
      </c>
      <c r="G22" s="7">
        <v>1.84E-2</v>
      </c>
      <c r="H22" s="7">
        <v>1.66E-2</v>
      </c>
      <c r="I22" s="17">
        <v>0</v>
      </c>
      <c r="J22" s="17">
        <v>0</v>
      </c>
      <c r="K22" s="7">
        <f t="shared" si="0"/>
        <v>1.66E-2</v>
      </c>
      <c r="N22" s="7"/>
    </row>
    <row r="23" spans="1:16">
      <c r="A23" s="15">
        <v>45078</v>
      </c>
      <c r="B23" s="16">
        <v>4</v>
      </c>
      <c r="C23" s="16" t="s">
        <v>59</v>
      </c>
      <c r="D23" s="16" t="s">
        <v>64</v>
      </c>
      <c r="E23" s="16" t="s">
        <v>61</v>
      </c>
      <c r="F23" s="16">
        <v>22</v>
      </c>
      <c r="G23" s="7">
        <v>3.0599999999999999E-2</v>
      </c>
      <c r="H23" s="7">
        <v>2.5000000000000001E-2</v>
      </c>
      <c r="I23" s="7">
        <v>0.14399999999999999</v>
      </c>
      <c r="J23" s="7">
        <v>0.13200000000000001</v>
      </c>
      <c r="K23" s="7">
        <f t="shared" si="0"/>
        <v>0.157</v>
      </c>
      <c r="M23" s="7"/>
      <c r="N23" s="7"/>
      <c r="O23" s="7"/>
      <c r="P23" s="7"/>
    </row>
    <row r="24" spans="1:16">
      <c r="A24" s="15">
        <v>45078</v>
      </c>
      <c r="B24" s="16">
        <v>4</v>
      </c>
      <c r="C24" s="16" t="s">
        <v>59</v>
      </c>
      <c r="D24" s="16" t="s">
        <v>64</v>
      </c>
      <c r="E24" s="16" t="s">
        <v>62</v>
      </c>
      <c r="F24" s="16">
        <v>23</v>
      </c>
      <c r="G24" s="7">
        <v>2.0299999999999999E-2</v>
      </c>
      <c r="H24" s="7">
        <v>1.61E-2</v>
      </c>
      <c r="I24" s="17">
        <v>0</v>
      </c>
      <c r="J24" s="17">
        <v>0</v>
      </c>
      <c r="K24" s="7">
        <f t="shared" si="0"/>
        <v>1.61E-2</v>
      </c>
      <c r="N24" s="7"/>
    </row>
    <row r="25" spans="1:16">
      <c r="A25" s="15">
        <v>45078</v>
      </c>
      <c r="B25" s="16">
        <v>4</v>
      </c>
      <c r="C25" s="16" t="s">
        <v>59</v>
      </c>
      <c r="D25" s="16" t="s">
        <v>64</v>
      </c>
      <c r="E25" s="16" t="s">
        <v>63</v>
      </c>
      <c r="F25" s="16">
        <v>24</v>
      </c>
      <c r="G25" s="7">
        <v>6.8999999999999999E-3</v>
      </c>
      <c r="H25" s="7">
        <v>5.3E-3</v>
      </c>
      <c r="I25" s="17">
        <v>0</v>
      </c>
      <c r="J25" s="17">
        <v>0</v>
      </c>
      <c r="K25" s="7">
        <f t="shared" si="0"/>
        <v>5.3E-3</v>
      </c>
      <c r="N25" s="7"/>
      <c r="O25" s="7"/>
    </row>
    <row r="26" spans="1:16">
      <c r="A26" s="15">
        <v>45078</v>
      </c>
      <c r="B26" s="16">
        <v>5</v>
      </c>
      <c r="C26" s="16" t="s">
        <v>59</v>
      </c>
      <c r="D26" s="16" t="s">
        <v>60</v>
      </c>
      <c r="E26" s="16" t="s">
        <v>61</v>
      </c>
      <c r="F26" s="16">
        <v>25</v>
      </c>
      <c r="G26" s="7">
        <v>0.32879999999999998</v>
      </c>
      <c r="H26" s="7">
        <v>0.2676</v>
      </c>
      <c r="I26" s="7">
        <v>0.51149999999999995</v>
      </c>
      <c r="J26" s="7">
        <v>0.48599999999999999</v>
      </c>
      <c r="K26" s="7">
        <f t="shared" si="0"/>
        <v>0.75360000000000005</v>
      </c>
      <c r="N26" s="7"/>
    </row>
    <row r="27" spans="1:16">
      <c r="A27" s="15">
        <v>45078</v>
      </c>
      <c r="B27" s="16">
        <v>5</v>
      </c>
      <c r="C27" s="16" t="s">
        <v>59</v>
      </c>
      <c r="D27" s="16" t="s">
        <v>60</v>
      </c>
      <c r="E27" s="16" t="s">
        <v>62</v>
      </c>
      <c r="F27" s="16">
        <v>26</v>
      </c>
      <c r="G27" s="7">
        <v>0.46150000000000002</v>
      </c>
      <c r="H27" s="7">
        <v>0.4365</v>
      </c>
      <c r="I27" s="7">
        <v>0.10290000000000001</v>
      </c>
      <c r="J27" s="7">
        <v>6.9099999999999995E-2</v>
      </c>
      <c r="K27" s="7">
        <f t="shared" si="0"/>
        <v>0.50560000000000005</v>
      </c>
      <c r="M27" s="7"/>
      <c r="O27" s="7"/>
    </row>
    <row r="28" spans="1:16">
      <c r="A28" s="15">
        <v>45078</v>
      </c>
      <c r="B28" s="16">
        <v>5</v>
      </c>
      <c r="C28" s="16" t="s">
        <v>59</v>
      </c>
      <c r="D28" s="16" t="s">
        <v>60</v>
      </c>
      <c r="E28" s="16" t="s">
        <v>63</v>
      </c>
      <c r="F28" s="16">
        <v>27</v>
      </c>
      <c r="G28" s="7">
        <v>0.2944</v>
      </c>
      <c r="H28" s="7">
        <v>0.26040000000000002</v>
      </c>
      <c r="I28" s="7">
        <v>0.34949999999999998</v>
      </c>
      <c r="J28" s="7">
        <v>0.33139999999999997</v>
      </c>
      <c r="K28" s="7">
        <f t="shared" si="0"/>
        <v>0.59179999999999999</v>
      </c>
    </row>
    <row r="29" spans="1:16">
      <c r="A29" s="15">
        <v>45078</v>
      </c>
      <c r="B29" s="16">
        <v>5</v>
      </c>
      <c r="C29" s="16" t="s">
        <v>59</v>
      </c>
      <c r="D29" s="16" t="s">
        <v>64</v>
      </c>
      <c r="E29" s="16" t="s">
        <v>61</v>
      </c>
      <c r="F29" s="16">
        <v>28</v>
      </c>
      <c r="G29" s="7">
        <v>3.2199999999999999E-2</v>
      </c>
      <c r="H29" s="7">
        <v>2.75E-2</v>
      </c>
      <c r="I29" s="7">
        <v>6.9800000000000001E-2</v>
      </c>
      <c r="J29" s="7">
        <v>6.8599999999999994E-2</v>
      </c>
      <c r="K29" s="7">
        <f t="shared" si="0"/>
        <v>9.6099999999999991E-2</v>
      </c>
    </row>
    <row r="30" spans="1:16">
      <c r="A30" s="15">
        <v>45078</v>
      </c>
      <c r="B30" s="16">
        <v>5</v>
      </c>
      <c r="C30" s="16" t="s">
        <v>59</v>
      </c>
      <c r="D30" s="16" t="s">
        <v>64</v>
      </c>
      <c r="E30" s="16" t="s">
        <v>62</v>
      </c>
      <c r="F30" s="16">
        <v>29</v>
      </c>
      <c r="G30" s="7">
        <v>2.75E-2</v>
      </c>
      <c r="H30" s="7">
        <v>2.6100000000000002E-2</v>
      </c>
      <c r="I30" s="7">
        <v>0.41920000000000002</v>
      </c>
      <c r="J30" s="7">
        <v>0.3876</v>
      </c>
      <c r="K30" s="7">
        <f t="shared" si="0"/>
        <v>0.41370000000000001</v>
      </c>
      <c r="N30" s="7"/>
    </row>
    <row r="31" spans="1:16">
      <c r="A31" s="18">
        <v>45078</v>
      </c>
      <c r="B31" s="19">
        <v>5</v>
      </c>
      <c r="C31" s="19" t="s">
        <v>59</v>
      </c>
      <c r="D31" s="19" t="s">
        <v>64</v>
      </c>
      <c r="E31" s="19" t="s">
        <v>65</v>
      </c>
      <c r="F31" s="19">
        <v>30</v>
      </c>
      <c r="G31" s="20">
        <v>1.1599999999999999E-2</v>
      </c>
      <c r="H31" s="20">
        <v>8.6999999999999994E-3</v>
      </c>
      <c r="I31" s="20">
        <v>3.3099999999999997E-2</v>
      </c>
      <c r="J31" s="20">
        <v>3.0099999999999998E-2</v>
      </c>
      <c r="K31" s="7">
        <f t="shared" si="0"/>
        <v>3.8800000000000001E-2</v>
      </c>
      <c r="N31" s="7"/>
    </row>
    <row r="32" spans="1:16">
      <c r="A32" s="15">
        <v>45078</v>
      </c>
      <c r="B32" s="16">
        <v>6</v>
      </c>
      <c r="C32" s="16" t="s">
        <v>59</v>
      </c>
      <c r="D32" s="16" t="s">
        <v>60</v>
      </c>
      <c r="E32" s="16" t="s">
        <v>61</v>
      </c>
      <c r="F32" s="16">
        <v>31</v>
      </c>
      <c r="G32" s="7">
        <v>0.1459</v>
      </c>
      <c r="H32" s="7">
        <v>0.13200000000000001</v>
      </c>
      <c r="I32" s="7">
        <v>2.2499999999999999E-2</v>
      </c>
      <c r="J32" s="7">
        <v>1.67E-2</v>
      </c>
      <c r="K32" s="7">
        <f t="shared" si="0"/>
        <v>0.1487</v>
      </c>
      <c r="M32" s="7"/>
      <c r="O32" s="7"/>
    </row>
    <row r="33" spans="1:15">
      <c r="A33" s="15">
        <v>45078</v>
      </c>
      <c r="B33" s="16">
        <v>6</v>
      </c>
      <c r="C33" s="16" t="s">
        <v>59</v>
      </c>
      <c r="D33" s="16" t="s">
        <v>60</v>
      </c>
      <c r="E33" s="16" t="s">
        <v>62</v>
      </c>
      <c r="F33" s="16">
        <v>32</v>
      </c>
      <c r="G33" s="7">
        <v>1.6299999999999999E-2</v>
      </c>
      <c r="H33" s="7">
        <v>1.4E-2</v>
      </c>
      <c r="I33" s="7">
        <v>0.1171</v>
      </c>
      <c r="J33" s="7">
        <v>0.1017</v>
      </c>
      <c r="K33" s="7">
        <f t="shared" si="0"/>
        <v>0.1157</v>
      </c>
    </row>
    <row r="34" spans="1:15">
      <c r="A34" s="15">
        <v>45078</v>
      </c>
      <c r="B34" s="16">
        <v>6</v>
      </c>
      <c r="C34" s="16" t="s">
        <v>59</v>
      </c>
      <c r="D34" s="16" t="s">
        <v>60</v>
      </c>
      <c r="E34" s="16" t="s">
        <v>63</v>
      </c>
      <c r="F34" s="16">
        <v>33</v>
      </c>
      <c r="G34" s="7">
        <v>2.1999999999999999E-2</v>
      </c>
      <c r="H34" s="7">
        <v>1.38E-2</v>
      </c>
      <c r="I34" s="7">
        <v>6.8699999999999997E-2</v>
      </c>
      <c r="J34" s="7">
        <v>6.4500000000000002E-2</v>
      </c>
      <c r="K34" s="7">
        <f t="shared" si="0"/>
        <v>7.8300000000000008E-2</v>
      </c>
    </row>
    <row r="35" spans="1:15">
      <c r="A35" s="15">
        <v>45078</v>
      </c>
      <c r="B35" s="16">
        <v>6</v>
      </c>
      <c r="C35" s="16" t="s">
        <v>59</v>
      </c>
      <c r="D35" s="16" t="s">
        <v>64</v>
      </c>
      <c r="E35" s="16" t="s">
        <v>61</v>
      </c>
      <c r="F35" s="16">
        <v>34</v>
      </c>
      <c r="G35" s="7">
        <v>3.4700000000000002E-2</v>
      </c>
      <c r="H35" s="7">
        <v>3.2099999999999997E-2</v>
      </c>
      <c r="I35" s="7">
        <v>1.1599999999999999E-2</v>
      </c>
      <c r="J35" s="7">
        <v>8.0000000000000002E-3</v>
      </c>
      <c r="K35" s="7">
        <f t="shared" si="0"/>
        <v>4.0099999999999997E-2</v>
      </c>
      <c r="M35" s="7"/>
      <c r="O35" s="7"/>
    </row>
    <row r="36" spans="1:15">
      <c r="A36" s="15">
        <v>45078</v>
      </c>
      <c r="B36" s="16">
        <v>6</v>
      </c>
      <c r="C36" s="16" t="s">
        <v>59</v>
      </c>
      <c r="D36" s="16" t="s">
        <v>64</v>
      </c>
      <c r="E36" s="16" t="s">
        <v>62</v>
      </c>
      <c r="F36" s="16">
        <v>35</v>
      </c>
      <c r="G36" s="7">
        <v>1.2800000000000001E-2</v>
      </c>
      <c r="H36" s="7">
        <v>1.26E-2</v>
      </c>
      <c r="I36" s="7">
        <v>9.2999999999999992E-3</v>
      </c>
      <c r="J36" s="7">
        <v>8.8999999999999999E-3</v>
      </c>
      <c r="K36" s="7">
        <f t="shared" si="0"/>
        <v>2.1499999999999998E-2</v>
      </c>
    </row>
    <row r="37" spans="1:15">
      <c r="A37" s="15">
        <v>45078</v>
      </c>
      <c r="B37" s="16">
        <v>6</v>
      </c>
      <c r="C37" s="16" t="s">
        <v>59</v>
      </c>
      <c r="D37" s="16" t="s">
        <v>64</v>
      </c>
      <c r="E37" s="16" t="s">
        <v>63</v>
      </c>
      <c r="F37" s="16">
        <v>36</v>
      </c>
      <c r="G37" s="7">
        <v>5.3E-3</v>
      </c>
      <c r="H37" s="7">
        <v>3.3E-3</v>
      </c>
      <c r="I37" s="7">
        <v>1.9300000000000001E-2</v>
      </c>
      <c r="J37" s="7">
        <v>1.7299999999999999E-2</v>
      </c>
      <c r="K37" s="7">
        <f t="shared" si="0"/>
        <v>2.06E-2</v>
      </c>
    </row>
    <row r="38" spans="1:15">
      <c r="A38" s="15">
        <v>45078</v>
      </c>
      <c r="B38" s="16">
        <v>1</v>
      </c>
      <c r="C38" s="16" t="s">
        <v>66</v>
      </c>
      <c r="D38" s="16" t="s">
        <v>60</v>
      </c>
      <c r="E38" s="16" t="s">
        <v>61</v>
      </c>
      <c r="F38" s="16">
        <v>37</v>
      </c>
      <c r="G38" s="7">
        <v>7.4000000000000003E-3</v>
      </c>
      <c r="H38" s="7">
        <v>5.7000000000000002E-3</v>
      </c>
      <c r="I38" s="17">
        <v>0</v>
      </c>
      <c r="J38" s="17">
        <v>0</v>
      </c>
      <c r="K38" s="7">
        <f t="shared" si="0"/>
        <v>5.7000000000000002E-3</v>
      </c>
    </row>
    <row r="39" spans="1:15">
      <c r="A39" s="15">
        <v>45078</v>
      </c>
      <c r="B39" s="16">
        <v>1</v>
      </c>
      <c r="C39" s="16" t="s">
        <v>66</v>
      </c>
      <c r="D39" s="16" t="s">
        <v>60</v>
      </c>
      <c r="E39" s="16" t="s">
        <v>62</v>
      </c>
      <c r="F39" s="16">
        <v>38</v>
      </c>
      <c r="G39" s="7">
        <v>1.5E-3</v>
      </c>
      <c r="H39" s="7">
        <v>1.1999999999999999E-3</v>
      </c>
      <c r="I39" s="17">
        <v>0</v>
      </c>
      <c r="J39" s="17">
        <v>0</v>
      </c>
      <c r="K39" s="7">
        <f t="shared" si="0"/>
        <v>1.1999999999999999E-3</v>
      </c>
    </row>
    <row r="40" spans="1:15">
      <c r="A40" s="15">
        <v>45078</v>
      </c>
      <c r="B40" s="16">
        <v>1</v>
      </c>
      <c r="C40" s="16" t="s">
        <v>66</v>
      </c>
      <c r="D40" s="16" t="s">
        <v>60</v>
      </c>
      <c r="E40" s="16" t="s">
        <v>63</v>
      </c>
      <c r="F40" s="16">
        <v>39</v>
      </c>
      <c r="G40" s="7">
        <v>3.0000000000000001E-3</v>
      </c>
      <c r="H40" s="7">
        <v>1.8E-3</v>
      </c>
      <c r="I40" s="17">
        <v>0</v>
      </c>
      <c r="J40" s="17">
        <v>0</v>
      </c>
      <c r="K40" s="7">
        <f t="shared" si="0"/>
        <v>1.8E-3</v>
      </c>
    </row>
    <row r="41" spans="1:15">
      <c r="A41" s="15">
        <v>45078</v>
      </c>
      <c r="B41" s="16">
        <v>1</v>
      </c>
      <c r="C41" s="16" t="s">
        <v>66</v>
      </c>
      <c r="D41" s="16" t="s">
        <v>64</v>
      </c>
      <c r="E41" s="16" t="s">
        <v>61</v>
      </c>
      <c r="F41" s="16">
        <v>40</v>
      </c>
      <c r="G41" s="7">
        <v>3.0000000000000001E-3</v>
      </c>
      <c r="H41" s="7">
        <v>2.5000000000000001E-3</v>
      </c>
      <c r="I41" s="7">
        <v>2.2000000000000001E-3</v>
      </c>
      <c r="J41" s="7">
        <v>2E-3</v>
      </c>
      <c r="K41" s="7">
        <f t="shared" si="0"/>
        <v>4.5000000000000005E-3</v>
      </c>
    </row>
    <row r="42" spans="1:15">
      <c r="A42" s="15">
        <v>45078</v>
      </c>
      <c r="B42" s="16">
        <v>1</v>
      </c>
      <c r="C42" s="16" t="s">
        <v>66</v>
      </c>
      <c r="D42" s="16" t="s">
        <v>64</v>
      </c>
      <c r="E42" s="16" t="s">
        <v>62</v>
      </c>
      <c r="F42" s="16">
        <v>41</v>
      </c>
      <c r="G42" s="7">
        <v>2.5999999999999999E-3</v>
      </c>
      <c r="H42" s="7">
        <v>1.6999999999999999E-3</v>
      </c>
      <c r="I42" s="17">
        <v>0</v>
      </c>
      <c r="J42" s="17">
        <v>0</v>
      </c>
      <c r="K42" s="7">
        <f t="shared" si="0"/>
        <v>1.6999999999999999E-3</v>
      </c>
    </row>
    <row r="43" spans="1:15">
      <c r="A43" s="15">
        <v>45078</v>
      </c>
      <c r="B43" s="16">
        <v>1</v>
      </c>
      <c r="C43" s="16" t="s">
        <v>66</v>
      </c>
      <c r="D43" s="16" t="s">
        <v>64</v>
      </c>
      <c r="E43" s="16" t="s">
        <v>63</v>
      </c>
      <c r="F43" s="16">
        <v>42</v>
      </c>
      <c r="G43" s="7">
        <v>2.9999999999999997E-4</v>
      </c>
      <c r="H43" s="7">
        <v>2.9999999999999997E-4</v>
      </c>
      <c r="I43" s="17">
        <v>0</v>
      </c>
      <c r="J43" s="17">
        <v>0</v>
      </c>
      <c r="K43" s="7">
        <f t="shared" si="0"/>
        <v>2.9999999999999997E-4</v>
      </c>
    </row>
    <row r="44" spans="1:15">
      <c r="A44" s="15">
        <v>45078</v>
      </c>
      <c r="B44" s="16">
        <v>2</v>
      </c>
      <c r="C44" s="16" t="s">
        <v>66</v>
      </c>
      <c r="D44" s="16" t="s">
        <v>60</v>
      </c>
      <c r="E44" s="16" t="s">
        <v>61</v>
      </c>
      <c r="F44" s="16">
        <v>43</v>
      </c>
      <c r="G44" s="7">
        <v>4.1000000000000003E-3</v>
      </c>
      <c r="H44" s="7">
        <v>3.0000000000000001E-3</v>
      </c>
      <c r="I44" s="7">
        <v>2.9999999999999997E-4</v>
      </c>
      <c r="J44" s="7">
        <v>2.9999999999999997E-4</v>
      </c>
      <c r="K44" s="7">
        <f t="shared" si="0"/>
        <v>3.3E-3</v>
      </c>
    </row>
    <row r="45" spans="1:15">
      <c r="A45" s="15">
        <v>45078</v>
      </c>
      <c r="B45" s="16">
        <v>2</v>
      </c>
      <c r="C45" s="16" t="s">
        <v>66</v>
      </c>
      <c r="D45" s="16" t="s">
        <v>60</v>
      </c>
      <c r="E45" s="16" t="s">
        <v>62</v>
      </c>
      <c r="F45" s="16">
        <v>44</v>
      </c>
      <c r="G45" s="7">
        <v>2E-3</v>
      </c>
      <c r="H45" s="7">
        <v>1.9E-3</v>
      </c>
      <c r="I45" s="7">
        <v>3.8999999999999998E-3</v>
      </c>
      <c r="J45" s="7">
        <v>3.5000000000000001E-3</v>
      </c>
      <c r="K45" s="7">
        <f t="shared" si="0"/>
        <v>5.4000000000000003E-3</v>
      </c>
    </row>
    <row r="46" spans="1:15">
      <c r="A46" s="15">
        <v>45078</v>
      </c>
      <c r="B46" s="16">
        <v>2</v>
      </c>
      <c r="C46" s="16" t="s">
        <v>66</v>
      </c>
      <c r="D46" s="16" t="s">
        <v>60</v>
      </c>
      <c r="E46" s="16" t="s">
        <v>63</v>
      </c>
      <c r="F46" s="16">
        <v>45</v>
      </c>
      <c r="G46" s="7">
        <v>3.8999999999999998E-3</v>
      </c>
      <c r="H46" s="7">
        <v>1E-3</v>
      </c>
      <c r="I46" s="17">
        <v>0</v>
      </c>
      <c r="J46" s="17">
        <v>0</v>
      </c>
      <c r="K46" s="7">
        <f t="shared" si="0"/>
        <v>1E-3</v>
      </c>
    </row>
    <row r="47" spans="1:15">
      <c r="A47" s="15">
        <v>45078</v>
      </c>
      <c r="B47" s="16">
        <v>2</v>
      </c>
      <c r="C47" s="16" t="s">
        <v>66</v>
      </c>
      <c r="D47" s="16" t="s">
        <v>64</v>
      </c>
      <c r="E47" s="16" t="s">
        <v>61</v>
      </c>
      <c r="F47" s="16">
        <v>46</v>
      </c>
      <c r="G47" s="7">
        <v>4.5999999999999999E-3</v>
      </c>
      <c r="H47" s="7">
        <v>2.5000000000000001E-3</v>
      </c>
      <c r="I47" s="17">
        <v>0</v>
      </c>
      <c r="J47" s="17">
        <v>0</v>
      </c>
      <c r="K47" s="7">
        <f t="shared" si="0"/>
        <v>2.5000000000000001E-3</v>
      </c>
    </row>
    <row r="48" spans="1:15">
      <c r="A48" s="15">
        <v>45078</v>
      </c>
      <c r="B48" s="16">
        <v>2</v>
      </c>
      <c r="C48" s="16" t="s">
        <v>66</v>
      </c>
      <c r="D48" s="16" t="s">
        <v>64</v>
      </c>
      <c r="E48" s="16" t="s">
        <v>62</v>
      </c>
      <c r="F48" s="16">
        <v>47</v>
      </c>
      <c r="G48" s="17">
        <v>0</v>
      </c>
      <c r="H48" s="17">
        <v>0</v>
      </c>
      <c r="I48" s="17">
        <v>0</v>
      </c>
      <c r="J48" s="17">
        <v>0</v>
      </c>
      <c r="K48" s="7">
        <f t="shared" si="0"/>
        <v>0</v>
      </c>
    </row>
    <row r="49" spans="1:16">
      <c r="A49" s="15">
        <v>45078</v>
      </c>
      <c r="B49" s="16">
        <v>2</v>
      </c>
      <c r="C49" s="16" t="s">
        <v>66</v>
      </c>
      <c r="D49" s="16" t="s">
        <v>64</v>
      </c>
      <c r="E49" s="16" t="s">
        <v>63</v>
      </c>
      <c r="F49" s="16">
        <v>48</v>
      </c>
      <c r="G49" s="7">
        <v>2.2000000000000001E-3</v>
      </c>
      <c r="H49" s="7">
        <v>8.0000000000000004E-4</v>
      </c>
      <c r="I49" s="17">
        <v>0</v>
      </c>
      <c r="J49" s="17">
        <v>0</v>
      </c>
      <c r="K49" s="7">
        <f t="shared" si="0"/>
        <v>8.0000000000000004E-4</v>
      </c>
      <c r="O49" s="7"/>
    </row>
    <row r="50" spans="1:16">
      <c r="A50" s="15">
        <v>45078</v>
      </c>
      <c r="B50" s="16">
        <v>3</v>
      </c>
      <c r="C50" s="16" t="s">
        <v>66</v>
      </c>
      <c r="D50" s="16" t="s">
        <v>60</v>
      </c>
      <c r="E50" s="16" t="s">
        <v>61</v>
      </c>
      <c r="F50" s="16">
        <v>49</v>
      </c>
      <c r="G50" s="7">
        <v>4.4200000000000003E-2</v>
      </c>
      <c r="H50" s="7">
        <v>3.5999999999999997E-2</v>
      </c>
      <c r="I50" s="7">
        <v>1.14E-2</v>
      </c>
      <c r="J50" s="7">
        <v>1.0999999999999999E-2</v>
      </c>
      <c r="K50" s="7">
        <f t="shared" si="0"/>
        <v>4.7E-2</v>
      </c>
      <c r="N50" s="7"/>
    </row>
    <row r="51" spans="1:16">
      <c r="A51" s="15">
        <v>45078</v>
      </c>
      <c r="B51" s="16">
        <v>3</v>
      </c>
      <c r="C51" s="16" t="s">
        <v>66</v>
      </c>
      <c r="D51" s="16" t="s">
        <v>60</v>
      </c>
      <c r="E51" s="16" t="s">
        <v>62</v>
      </c>
      <c r="F51" s="16">
        <v>50</v>
      </c>
      <c r="G51" s="7">
        <v>4.7E-2</v>
      </c>
      <c r="H51" s="7">
        <v>4.07E-2</v>
      </c>
      <c r="I51" s="7">
        <v>4.9599999999999998E-2</v>
      </c>
      <c r="J51" s="7">
        <v>3.9899999999999998E-2</v>
      </c>
      <c r="K51" s="7">
        <f t="shared" si="0"/>
        <v>8.0600000000000005E-2</v>
      </c>
      <c r="N51" s="7"/>
      <c r="P51" s="7"/>
    </row>
    <row r="52" spans="1:16">
      <c r="A52" s="15">
        <v>45078</v>
      </c>
      <c r="B52" s="16">
        <v>3</v>
      </c>
      <c r="C52" s="16" t="s">
        <v>66</v>
      </c>
      <c r="D52" s="16" t="s">
        <v>60</v>
      </c>
      <c r="E52" s="16" t="s">
        <v>63</v>
      </c>
      <c r="F52" s="16">
        <v>51</v>
      </c>
      <c r="G52" s="7">
        <v>7.9100000000000004E-2</v>
      </c>
      <c r="H52" s="7">
        <v>6.7400000000000002E-2</v>
      </c>
      <c r="I52" s="7">
        <v>1.26E-2</v>
      </c>
      <c r="J52" s="7">
        <v>1.06E-2</v>
      </c>
      <c r="K52" s="7">
        <f t="shared" si="0"/>
        <v>7.8E-2</v>
      </c>
      <c r="M52" s="7"/>
      <c r="O52" s="7"/>
    </row>
    <row r="53" spans="1:16">
      <c r="A53" s="15">
        <v>45078</v>
      </c>
      <c r="B53" s="16">
        <v>3</v>
      </c>
      <c r="C53" s="16" t="s">
        <v>66</v>
      </c>
      <c r="D53" s="16" t="s">
        <v>64</v>
      </c>
      <c r="E53" s="16" t="s">
        <v>61</v>
      </c>
      <c r="F53" s="16">
        <v>52</v>
      </c>
      <c r="G53" s="17">
        <v>0</v>
      </c>
      <c r="H53" s="17">
        <v>0</v>
      </c>
      <c r="I53" s="17">
        <v>0</v>
      </c>
      <c r="J53" s="17">
        <v>0</v>
      </c>
      <c r="K53" s="7">
        <f t="shared" si="0"/>
        <v>0</v>
      </c>
    </row>
    <row r="54" spans="1:16">
      <c r="A54" s="15">
        <v>45078</v>
      </c>
      <c r="B54" s="16">
        <v>3</v>
      </c>
      <c r="C54" s="16" t="s">
        <v>66</v>
      </c>
      <c r="D54" s="16" t="s">
        <v>64</v>
      </c>
      <c r="E54" s="16" t="s">
        <v>62</v>
      </c>
      <c r="F54" s="16">
        <v>53</v>
      </c>
      <c r="G54" s="17">
        <v>0</v>
      </c>
      <c r="H54" s="17">
        <v>0</v>
      </c>
      <c r="I54" s="17">
        <v>0</v>
      </c>
      <c r="J54" s="17">
        <v>0</v>
      </c>
      <c r="K54" s="7">
        <f t="shared" si="0"/>
        <v>0</v>
      </c>
    </row>
    <row r="55" spans="1:16">
      <c r="A55" s="15">
        <v>45078</v>
      </c>
      <c r="B55" s="16">
        <v>3</v>
      </c>
      <c r="C55" s="16" t="s">
        <v>66</v>
      </c>
      <c r="D55" s="16" t="s">
        <v>64</v>
      </c>
      <c r="E55" s="16" t="s">
        <v>63</v>
      </c>
      <c r="F55" s="16">
        <v>54</v>
      </c>
      <c r="G55" s="17">
        <v>0</v>
      </c>
      <c r="H55" s="17">
        <v>0</v>
      </c>
      <c r="I55" s="17">
        <v>0</v>
      </c>
      <c r="J55" s="17">
        <v>0</v>
      </c>
      <c r="K55" s="7">
        <f t="shared" si="0"/>
        <v>0</v>
      </c>
    </row>
    <row r="56" spans="1:16">
      <c r="A56" s="15">
        <v>45078</v>
      </c>
      <c r="B56" s="16">
        <v>4</v>
      </c>
      <c r="C56" s="16" t="s">
        <v>66</v>
      </c>
      <c r="D56" s="16" t="s">
        <v>60</v>
      </c>
      <c r="E56" s="16" t="s">
        <v>61</v>
      </c>
      <c r="F56" s="16">
        <v>55</v>
      </c>
      <c r="G56" s="7">
        <v>3.1699999999999999E-2</v>
      </c>
      <c r="H56" s="7">
        <v>2.3400000000000001E-2</v>
      </c>
      <c r="I56" s="7">
        <v>2.76E-2</v>
      </c>
      <c r="J56" s="7">
        <v>2.3300000000000001E-2</v>
      </c>
      <c r="K56" s="7">
        <f t="shared" si="0"/>
        <v>4.6700000000000005E-2</v>
      </c>
    </row>
    <row r="57" spans="1:16">
      <c r="A57" s="15">
        <v>45078</v>
      </c>
      <c r="B57" s="16">
        <v>4</v>
      </c>
      <c r="C57" s="16" t="s">
        <v>66</v>
      </c>
      <c r="D57" s="16" t="s">
        <v>60</v>
      </c>
      <c r="E57" s="16" t="s">
        <v>62</v>
      </c>
      <c r="F57" s="16">
        <v>56</v>
      </c>
      <c r="G57" s="7">
        <v>3.5999999999999997E-2</v>
      </c>
      <c r="H57" s="7">
        <v>3.1399999999999997E-2</v>
      </c>
      <c r="I57" s="7">
        <v>0.26490000000000002</v>
      </c>
      <c r="J57" s="7">
        <v>0.1341</v>
      </c>
      <c r="K57" s="7">
        <f t="shared" si="0"/>
        <v>0.16549999999999998</v>
      </c>
    </row>
    <row r="58" spans="1:16">
      <c r="A58" s="15">
        <v>45078</v>
      </c>
      <c r="B58" s="16">
        <v>4</v>
      </c>
      <c r="C58" s="16" t="s">
        <v>66</v>
      </c>
      <c r="D58" s="16" t="s">
        <v>60</v>
      </c>
      <c r="E58" s="16" t="s">
        <v>63</v>
      </c>
      <c r="F58" s="16">
        <v>57</v>
      </c>
      <c r="G58" s="7">
        <v>1.2800000000000001E-2</v>
      </c>
      <c r="H58" s="7">
        <v>1.1900000000000001E-2</v>
      </c>
      <c r="I58" s="7">
        <v>1.6299999999999999E-2</v>
      </c>
      <c r="J58" s="7">
        <v>1.24E-2</v>
      </c>
      <c r="K58" s="7">
        <f t="shared" si="0"/>
        <v>2.4300000000000002E-2</v>
      </c>
    </row>
    <row r="59" spans="1:16">
      <c r="A59" s="15">
        <v>45078</v>
      </c>
      <c r="B59" s="16">
        <v>4</v>
      </c>
      <c r="C59" s="16" t="s">
        <v>66</v>
      </c>
      <c r="D59" s="16" t="s">
        <v>64</v>
      </c>
      <c r="E59" s="16" t="s">
        <v>61</v>
      </c>
      <c r="F59" s="16">
        <v>58</v>
      </c>
      <c r="G59" s="17">
        <v>0</v>
      </c>
      <c r="H59" s="17">
        <v>0</v>
      </c>
      <c r="I59" s="17">
        <v>0</v>
      </c>
      <c r="J59" s="17">
        <v>0</v>
      </c>
      <c r="K59" s="7">
        <f t="shared" si="0"/>
        <v>0</v>
      </c>
    </row>
    <row r="60" spans="1:16">
      <c r="A60" s="15">
        <v>45078</v>
      </c>
      <c r="B60" s="16">
        <v>4</v>
      </c>
      <c r="C60" s="16" t="s">
        <v>66</v>
      </c>
      <c r="D60" s="16" t="s">
        <v>64</v>
      </c>
      <c r="E60" s="16" t="s">
        <v>62</v>
      </c>
      <c r="F60" s="16">
        <v>59</v>
      </c>
      <c r="G60" s="7">
        <v>3.0000000000000001E-3</v>
      </c>
      <c r="H60" s="7">
        <v>2.7000000000000001E-3</v>
      </c>
      <c r="I60" s="7">
        <v>3.0999999999999999E-3</v>
      </c>
      <c r="J60" s="7">
        <v>2.2000000000000001E-3</v>
      </c>
      <c r="K60" s="7">
        <f t="shared" si="0"/>
        <v>4.8999999999999998E-3</v>
      </c>
    </row>
    <row r="61" spans="1:16">
      <c r="A61" s="15">
        <v>45078</v>
      </c>
      <c r="B61" s="16">
        <v>4</v>
      </c>
      <c r="C61" s="16" t="s">
        <v>66</v>
      </c>
      <c r="D61" s="16" t="s">
        <v>64</v>
      </c>
      <c r="E61" s="16" t="s">
        <v>63</v>
      </c>
      <c r="F61" s="16">
        <v>60</v>
      </c>
      <c r="G61" s="7">
        <v>1.6999999999999999E-3</v>
      </c>
      <c r="H61" s="7">
        <v>8.9999999999999998E-4</v>
      </c>
      <c r="I61" s="17">
        <v>0</v>
      </c>
      <c r="J61" s="17">
        <v>0</v>
      </c>
      <c r="K61" s="7">
        <f t="shared" si="0"/>
        <v>8.9999999999999998E-4</v>
      </c>
    </row>
    <row r="63" spans="1:16">
      <c r="C63" s="16" t="s">
        <v>67</v>
      </c>
      <c r="D63" s="16" t="s">
        <v>60</v>
      </c>
      <c r="E63" s="16" t="s">
        <v>61</v>
      </c>
      <c r="F63" s="16" t="s">
        <v>68</v>
      </c>
      <c r="G63" s="7">
        <f>AVERAGE(G2,G8,G14,G20,G26,G32)</f>
        <v>0.72438333333333338</v>
      </c>
      <c r="H63" s="7">
        <f t="shared" ref="H63:K65" si="1">AVERAGE(H2,H8,H14,H20,H26,H32)</f>
        <v>0.65268333333333328</v>
      </c>
      <c r="I63" s="7">
        <f t="shared" si="1"/>
        <v>0.22181666666666666</v>
      </c>
      <c r="J63" s="7">
        <f t="shared" si="1"/>
        <v>0.20524999999999996</v>
      </c>
      <c r="K63" s="7">
        <f t="shared" si="1"/>
        <v>0.8579333333333331</v>
      </c>
    </row>
    <row r="64" spans="1:16">
      <c r="C64" s="16" t="s">
        <v>67</v>
      </c>
      <c r="D64" s="16" t="s">
        <v>60</v>
      </c>
      <c r="E64" s="16" t="s">
        <v>62</v>
      </c>
      <c r="F64" s="16" t="s">
        <v>68</v>
      </c>
      <c r="G64" s="7">
        <f t="shared" ref="G64:J65" si="2">AVERAGE(G3,G9,G15,G21,G27,G33)</f>
        <v>0.25893333333333335</v>
      </c>
      <c r="H64" s="7">
        <f t="shared" si="2"/>
        <v>0.24033333333333332</v>
      </c>
      <c r="I64" s="7">
        <f t="shared" si="2"/>
        <v>0.24254999999999996</v>
      </c>
      <c r="J64" s="7">
        <f t="shared" si="2"/>
        <v>0.2109833333333333</v>
      </c>
      <c r="K64" s="7">
        <f t="shared" si="1"/>
        <v>0.45131666666666664</v>
      </c>
    </row>
    <row r="65" spans="3:11">
      <c r="C65" s="16" t="s">
        <v>67</v>
      </c>
      <c r="D65" s="16" t="s">
        <v>60</v>
      </c>
      <c r="E65" s="16" t="s">
        <v>63</v>
      </c>
      <c r="F65" s="16" t="s">
        <v>68</v>
      </c>
      <c r="G65" s="7">
        <f t="shared" si="2"/>
        <v>0.1148</v>
      </c>
      <c r="H65" s="7">
        <f t="shared" si="2"/>
        <v>0.10248333333333333</v>
      </c>
      <c r="I65" s="7">
        <f t="shared" si="2"/>
        <v>0.10598333333333332</v>
      </c>
      <c r="J65" s="7">
        <f t="shared" si="2"/>
        <v>9.9783333333333335E-2</v>
      </c>
      <c r="K65" s="7">
        <f t="shared" si="1"/>
        <v>0.20226666666666668</v>
      </c>
    </row>
    <row r="67" spans="3:11">
      <c r="E67" s="16" t="s">
        <v>61</v>
      </c>
      <c r="F67" s="16" t="s">
        <v>29</v>
      </c>
      <c r="G67" s="7">
        <f>STDEV(G2,G8,G14,G20,G26,G32)/SQRT(COUNT(G2,G8,G14,G20,G26,G32))</f>
        <v>0.52866737331814895</v>
      </c>
      <c r="H67" s="7">
        <f t="shared" ref="H67:K69" si="3">STDEV(H2,H8,H14,H20,H26,H32)/SQRT(COUNT(H2,H8,H14,H20,H26,H32))</f>
        <v>0.47902172352734801</v>
      </c>
      <c r="I67" s="7">
        <f t="shared" si="3"/>
        <v>8.1557049221865408E-2</v>
      </c>
      <c r="J67" s="7">
        <f t="shared" si="3"/>
        <v>7.7846296208190516E-2</v>
      </c>
      <c r="K67" s="7">
        <f t="shared" si="3"/>
        <v>0.50990422608346553</v>
      </c>
    </row>
    <row r="68" spans="3:11">
      <c r="E68" s="16" t="s">
        <v>62</v>
      </c>
      <c r="F68" s="16" t="s">
        <v>29</v>
      </c>
      <c r="G68" s="7">
        <f t="shared" ref="G68:J69" si="4">STDEV(G3,G9,G15,G21,G27,G33)/SQRT(COUNT(G3,G9,G15,G21,G27,G33))</f>
        <v>0.13426183043259582</v>
      </c>
      <c r="H68" s="7">
        <f t="shared" si="4"/>
        <v>0.12303046415872415</v>
      </c>
      <c r="I68" s="7">
        <f t="shared" si="4"/>
        <v>6.6251594949354509E-2</v>
      </c>
      <c r="J68" s="7">
        <f t="shared" si="4"/>
        <v>6.1583695984498303E-2</v>
      </c>
      <c r="K68" s="7">
        <f t="shared" si="3"/>
        <v>0.16827918749638782</v>
      </c>
    </row>
    <row r="69" spans="3:11">
      <c r="E69" s="16" t="s">
        <v>63</v>
      </c>
      <c r="F69" s="16" t="s">
        <v>29</v>
      </c>
      <c r="G69" s="7">
        <f t="shared" si="4"/>
        <v>5.0277118718823455E-2</v>
      </c>
      <c r="H69" s="7">
        <f t="shared" si="4"/>
        <v>4.5954618314642162E-2</v>
      </c>
      <c r="I69" s="7">
        <f t="shared" si="4"/>
        <v>5.2816344797588732E-2</v>
      </c>
      <c r="J69" s="7">
        <f t="shared" si="4"/>
        <v>5.0044123309113703E-2</v>
      </c>
      <c r="K69" s="7">
        <f t="shared" si="3"/>
        <v>8.3316007532233033E-2</v>
      </c>
    </row>
    <row r="71" spans="3:11">
      <c r="C71" s="16" t="s">
        <v>67</v>
      </c>
      <c r="D71" s="16" t="s">
        <v>64</v>
      </c>
      <c r="E71" s="16" t="s">
        <v>61</v>
      </c>
      <c r="F71" s="16" t="s">
        <v>68</v>
      </c>
      <c r="G71" s="7">
        <f>AVERAGE(G5,G11,G17,G23,G29,G35)</f>
        <v>5.0283333333333326E-2</v>
      </c>
      <c r="H71" s="7">
        <f t="shared" ref="H71:K73" si="5">AVERAGE(H5,H11,H17,H23,H29,H35)</f>
        <v>4.5433333333333333E-2</v>
      </c>
      <c r="I71" s="7">
        <f t="shared" si="5"/>
        <v>4.8250000000000008E-2</v>
      </c>
      <c r="J71" s="7">
        <f t="shared" si="5"/>
        <v>4.3716666666666661E-2</v>
      </c>
      <c r="K71" s="7">
        <f t="shared" si="5"/>
        <v>8.9150000000000007E-2</v>
      </c>
    </row>
    <row r="72" spans="3:11">
      <c r="C72" s="16" t="s">
        <v>67</v>
      </c>
      <c r="D72" s="16" t="s">
        <v>64</v>
      </c>
      <c r="E72" s="16" t="s">
        <v>62</v>
      </c>
      <c r="F72" s="16" t="s">
        <v>68</v>
      </c>
      <c r="G72" s="7">
        <f>AVERAGE(G6,G12,G18,G24,G30,G36)</f>
        <v>2.23E-2</v>
      </c>
      <c r="H72" s="7">
        <f t="shared" si="5"/>
        <v>2.0300000000000002E-2</v>
      </c>
      <c r="I72" s="7">
        <f t="shared" si="5"/>
        <v>0.10238333333333333</v>
      </c>
      <c r="J72" s="7">
        <f t="shared" si="5"/>
        <v>9.4100000000000003E-2</v>
      </c>
      <c r="K72" s="7">
        <f t="shared" si="5"/>
        <v>0.1144</v>
      </c>
    </row>
    <row r="73" spans="3:11">
      <c r="C73" s="16" t="s">
        <v>67</v>
      </c>
      <c r="D73" s="16" t="s">
        <v>64</v>
      </c>
      <c r="E73" s="16" t="s">
        <v>63</v>
      </c>
      <c r="F73" s="16" t="s">
        <v>68</v>
      </c>
      <c r="G73" s="7">
        <f>AVERAGE(G7,G13,G19,G25,G31,G37)</f>
        <v>1.0716666666666666E-2</v>
      </c>
      <c r="H73" s="7">
        <f t="shared" si="5"/>
        <v>8.0666666666666664E-3</v>
      </c>
      <c r="I73" s="7">
        <f t="shared" si="5"/>
        <v>1.09E-2</v>
      </c>
      <c r="J73" s="7">
        <f t="shared" si="5"/>
        <v>9.5166666666666663E-3</v>
      </c>
      <c r="K73" s="7">
        <f t="shared" si="5"/>
        <v>1.7583333333333336E-2</v>
      </c>
    </row>
    <row r="75" spans="3:11">
      <c r="E75" s="16" t="s">
        <v>61</v>
      </c>
      <c r="F75" s="16" t="s">
        <v>29</v>
      </c>
      <c r="G75" s="7">
        <f>STDEV(G5,G11,G17,G23,G29,G35)/SQRT(COUNT(G5,G11,G17,G23,G29,G35))</f>
        <v>1.3284863985420076E-2</v>
      </c>
      <c r="H75" s="7">
        <f t="shared" ref="H75:K77" si="6">STDEV(H5,H11,H17,H23,H29,H35)/SQRT(COUNT(H5,H11,H17,H23,H29,H35))</f>
        <v>1.1939784103761862E-2</v>
      </c>
      <c r="I75" s="7">
        <f t="shared" si="6"/>
        <v>2.0949745424069792E-2</v>
      </c>
      <c r="J75" s="7">
        <f t="shared" si="6"/>
        <v>1.9784613831066923E-2</v>
      </c>
      <c r="K75" s="7">
        <f t="shared" si="6"/>
        <v>1.8626088335092442E-2</v>
      </c>
    </row>
    <row r="76" spans="3:11">
      <c r="E76" s="16" t="s">
        <v>62</v>
      </c>
      <c r="F76" s="16" t="s">
        <v>29</v>
      </c>
      <c r="G76" s="7">
        <f>STDEV(G6,G12,G18,G24,G30,G36)/SQRT(COUNT(G6,G12,G18,G24,G30,G36))</f>
        <v>2.6699563042616743E-3</v>
      </c>
      <c r="H76" s="7">
        <f t="shared" si="6"/>
        <v>2.6446171745642122E-3</v>
      </c>
      <c r="I76" s="7">
        <f t="shared" si="6"/>
        <v>6.5901049140190321E-2</v>
      </c>
      <c r="J76" s="7">
        <f t="shared" si="6"/>
        <v>6.0918732751100456E-2</v>
      </c>
      <c r="K76" s="7">
        <f t="shared" si="6"/>
        <v>6.2627320981607809E-2</v>
      </c>
    </row>
    <row r="77" spans="3:11">
      <c r="E77" s="16" t="s">
        <v>63</v>
      </c>
      <c r="F77" s="16" t="s">
        <v>29</v>
      </c>
      <c r="G77" s="7">
        <f>STDEV(G7,G13,G19,G25,G31,G37)/SQRT(COUNT(G7,G13,G19,G25,G31,G37))</f>
        <v>2.0457136760662392E-3</v>
      </c>
      <c r="H77" s="7">
        <f t="shared" si="6"/>
        <v>2.2397420486396304E-3</v>
      </c>
      <c r="I77" s="7">
        <f t="shared" si="6"/>
        <v>5.5504954733789306E-3</v>
      </c>
      <c r="J77" s="7">
        <f t="shared" si="6"/>
        <v>5.019921424794526E-3</v>
      </c>
      <c r="K77" s="7">
        <f t="shared" si="6"/>
        <v>4.7454129898718434E-3</v>
      </c>
    </row>
    <row r="79" spans="3:11">
      <c r="C79" s="16" t="s">
        <v>69</v>
      </c>
      <c r="D79" s="16" t="s">
        <v>60</v>
      </c>
      <c r="E79" s="16" t="s">
        <v>61</v>
      </c>
      <c r="F79" s="16" t="s">
        <v>68</v>
      </c>
      <c r="G79" s="7">
        <f>AVERAGE(G38,G44,G50,G56)</f>
        <v>2.1850000000000001E-2</v>
      </c>
      <c r="H79" s="7">
        <f t="shared" ref="H79:J79" si="7">AVERAGE(H38,H44,H50,H56)</f>
        <v>1.7024999999999998E-2</v>
      </c>
      <c r="I79" s="7">
        <f t="shared" si="7"/>
        <v>9.8250000000000004E-3</v>
      </c>
      <c r="J79" s="7">
        <f t="shared" si="7"/>
        <v>8.6499999999999997E-3</v>
      </c>
      <c r="K79" s="7">
        <f>AVERAGE(K38,K44,K50,K56)</f>
        <v>2.5675000000000003E-2</v>
      </c>
    </row>
    <row r="80" spans="3:11">
      <c r="C80" s="16" t="s">
        <v>69</v>
      </c>
      <c r="D80" s="16" t="s">
        <v>60</v>
      </c>
      <c r="E80" s="16" t="s">
        <v>62</v>
      </c>
      <c r="F80" s="16" t="s">
        <v>68</v>
      </c>
      <c r="G80" s="7">
        <f t="shared" ref="G80:K81" si="8">AVERAGE(G39,G45,G51,G57)</f>
        <v>2.1624999999999998E-2</v>
      </c>
      <c r="H80" s="7">
        <f t="shared" si="8"/>
        <v>1.8799999999999997E-2</v>
      </c>
      <c r="I80" s="7">
        <f t="shared" si="8"/>
        <v>7.9600000000000004E-2</v>
      </c>
      <c r="J80" s="7">
        <f t="shared" si="8"/>
        <v>4.4374999999999998E-2</v>
      </c>
      <c r="K80" s="7">
        <f t="shared" si="8"/>
        <v>6.3174999999999995E-2</v>
      </c>
    </row>
    <row r="81" spans="3:11">
      <c r="C81" s="16" t="s">
        <v>69</v>
      </c>
      <c r="D81" s="16" t="s">
        <v>60</v>
      </c>
      <c r="E81" s="16" t="s">
        <v>63</v>
      </c>
      <c r="F81" s="16" t="s">
        <v>68</v>
      </c>
      <c r="G81" s="7">
        <f t="shared" si="8"/>
        <v>2.4700000000000003E-2</v>
      </c>
      <c r="H81" s="7">
        <f t="shared" si="8"/>
        <v>2.0525000000000002E-2</v>
      </c>
      <c r="I81" s="7">
        <f t="shared" si="8"/>
        <v>7.2249999999999997E-3</v>
      </c>
      <c r="J81" s="7">
        <f t="shared" si="8"/>
        <v>5.7499999999999999E-3</v>
      </c>
      <c r="K81" s="7">
        <f t="shared" si="8"/>
        <v>2.6275E-2</v>
      </c>
    </row>
    <row r="83" spans="3:11">
      <c r="E83" s="16" t="s">
        <v>61</v>
      </c>
      <c r="F83" s="16" t="s">
        <v>29</v>
      </c>
      <c r="G83" s="7">
        <f>STDEV(G38,G44,G50,G56)/SQRT(COUNT(G38,G44,G50,G56))</f>
        <v>9.6626859619880021E-3</v>
      </c>
      <c r="H83" s="7">
        <f t="shared" ref="H83:K83" si="9">STDEV(H38,H44,H50,H56)/SQRT(COUNT(H38,H44,H50,H56))</f>
        <v>7.7762860672688722E-3</v>
      </c>
      <c r="I83" s="7">
        <f t="shared" si="9"/>
        <v>6.4915810862993927E-3</v>
      </c>
      <c r="J83" s="7">
        <f t="shared" si="9"/>
        <v>5.5127881632920876E-3</v>
      </c>
      <c r="K83" s="7">
        <f t="shared" si="9"/>
        <v>1.2235356894399661E-2</v>
      </c>
    </row>
    <row r="84" spans="3:11">
      <c r="E84" s="16" t="s">
        <v>62</v>
      </c>
      <c r="F84" s="16" t="s">
        <v>29</v>
      </c>
      <c r="G84" s="7">
        <f t="shared" ref="G84:K85" si="10">STDEV(G39,G45,G51,G57)/SQRT(COUNT(G39,G45,G51,G57))</f>
        <v>1.169290204924908E-2</v>
      </c>
      <c r="H84" s="7">
        <f t="shared" si="10"/>
        <v>1.0139608802447296E-2</v>
      </c>
      <c r="I84" s="7">
        <f t="shared" si="10"/>
        <v>6.2784512421456301E-2</v>
      </c>
      <c r="J84" s="7">
        <f t="shared" si="10"/>
        <v>3.1239008066838485E-2</v>
      </c>
      <c r="K84" s="7">
        <f>STDEV(K39,K45,K51,K57)/SQRT(COUNT(K39,K45,K51,K57))</f>
        <v>3.8679115273404757E-2</v>
      </c>
    </row>
    <row r="85" spans="3:11">
      <c r="E85" s="16" t="s">
        <v>63</v>
      </c>
      <c r="F85" s="16" t="s">
        <v>29</v>
      </c>
      <c r="G85" s="7">
        <f t="shared" si="10"/>
        <v>1.8267685494701657E-2</v>
      </c>
      <c r="H85" s="7">
        <f t="shared" si="10"/>
        <v>1.5820628674824103E-2</v>
      </c>
      <c r="I85" s="7">
        <f t="shared" si="10"/>
        <v>4.2391773966183573E-3</v>
      </c>
      <c r="J85" s="7">
        <f t="shared" si="10"/>
        <v>3.3400349299570705E-3</v>
      </c>
      <c r="K85" s="7">
        <f t="shared" si="10"/>
        <v>1.8067529576563587E-2</v>
      </c>
    </row>
    <row r="87" spans="3:11">
      <c r="C87" s="16" t="s">
        <v>69</v>
      </c>
      <c r="D87" s="16" t="s">
        <v>64</v>
      </c>
      <c r="E87" s="16" t="s">
        <v>61</v>
      </c>
      <c r="F87" s="16" t="s">
        <v>68</v>
      </c>
      <c r="G87" s="7">
        <f>AVERAGE(G41,G47,G53,G59)</f>
        <v>1.9E-3</v>
      </c>
      <c r="H87" s="7">
        <f t="shared" ref="H87:K89" si="11">AVERAGE(H41,H47,H53,H59)</f>
        <v>1.25E-3</v>
      </c>
      <c r="I87" s="7">
        <f t="shared" si="11"/>
        <v>5.5000000000000003E-4</v>
      </c>
      <c r="J87" s="7">
        <f t="shared" si="11"/>
        <v>5.0000000000000001E-4</v>
      </c>
      <c r="K87" s="7">
        <f t="shared" si="11"/>
        <v>1.7500000000000003E-3</v>
      </c>
    </row>
    <row r="88" spans="3:11">
      <c r="C88" s="16" t="s">
        <v>69</v>
      </c>
      <c r="D88" s="16" t="s">
        <v>64</v>
      </c>
      <c r="E88" s="16" t="s">
        <v>62</v>
      </c>
      <c r="F88" s="16" t="s">
        <v>68</v>
      </c>
      <c r="G88" s="7">
        <f>AVERAGE(G42,G48,G54,G60)</f>
        <v>1.4E-3</v>
      </c>
      <c r="H88" s="7">
        <f t="shared" si="11"/>
        <v>1.1000000000000001E-3</v>
      </c>
      <c r="I88" s="7">
        <f t="shared" si="11"/>
        <v>7.7499999999999997E-4</v>
      </c>
      <c r="J88" s="7">
        <f t="shared" si="11"/>
        <v>5.5000000000000003E-4</v>
      </c>
      <c r="K88" s="7">
        <f t="shared" si="11"/>
        <v>1.65E-3</v>
      </c>
    </row>
    <row r="89" spans="3:11">
      <c r="C89" s="16" t="s">
        <v>69</v>
      </c>
      <c r="D89" s="16" t="s">
        <v>64</v>
      </c>
      <c r="E89" s="16" t="s">
        <v>63</v>
      </c>
      <c r="F89" s="16" t="s">
        <v>68</v>
      </c>
      <c r="G89" s="7">
        <f>AVERAGE(G43,G49,G55,G61)</f>
        <v>1.0499999999999999E-3</v>
      </c>
      <c r="H89" s="7">
        <f t="shared" si="11"/>
        <v>5.0000000000000001E-4</v>
      </c>
      <c r="I89" s="7">
        <f t="shared" si="11"/>
        <v>0</v>
      </c>
      <c r="J89" s="7">
        <f t="shared" si="11"/>
        <v>0</v>
      </c>
      <c r="K89" s="7">
        <f t="shared" si="11"/>
        <v>5.0000000000000001E-4</v>
      </c>
    </row>
    <row r="91" spans="3:11">
      <c r="E91" s="16" t="s">
        <v>61</v>
      </c>
      <c r="F91" s="16" t="s">
        <v>29</v>
      </c>
      <c r="G91" s="7">
        <f>STDEV(G41,G47,G53,G59)/SQRT(COUNT(G41,G47,G53,G59))</f>
        <v>1.1445523142259598E-3</v>
      </c>
      <c r="H91" s="7">
        <f t="shared" ref="H91:K93" si="12">STDEV(H41,H47,H53,H59)/SQRT(COUNT(H41,H47,H53,H59))</f>
        <v>7.2168783648703225E-4</v>
      </c>
      <c r="I91" s="7">
        <f t="shared" si="12"/>
        <v>5.5000000000000003E-4</v>
      </c>
      <c r="J91" s="7">
        <f t="shared" si="12"/>
        <v>5.0000000000000001E-4</v>
      </c>
      <c r="K91" s="7">
        <f t="shared" si="12"/>
        <v>1.0897247358851684E-3</v>
      </c>
    </row>
    <row r="92" spans="3:11">
      <c r="E92" s="16" t="s">
        <v>62</v>
      </c>
      <c r="F92" s="16" t="s">
        <v>29</v>
      </c>
      <c r="G92" s="7">
        <f>STDEV(G42,G48,G54,G60)/SQRT(COUNT(G42,G48,G54,G60))</f>
        <v>8.1240384046359602E-4</v>
      </c>
      <c r="H92" s="7">
        <f t="shared" si="12"/>
        <v>6.6708320320631675E-4</v>
      </c>
      <c r="I92" s="7">
        <f t="shared" si="12"/>
        <v>7.7499999999999997E-4</v>
      </c>
      <c r="J92" s="7">
        <f t="shared" si="12"/>
        <v>5.5000000000000003E-4</v>
      </c>
      <c r="K92" s="7">
        <f t="shared" si="12"/>
        <v>1.1550613259332452E-3</v>
      </c>
    </row>
    <row r="93" spans="3:11">
      <c r="E93" s="16" t="s">
        <v>63</v>
      </c>
      <c r="F93" s="16" t="s">
        <v>29</v>
      </c>
      <c r="G93" s="7">
        <f>STDEV(G43,G49,G55,G61)/SQRT(COUNT(G43,G49,G55,G61))</f>
        <v>5.3307285305731586E-4</v>
      </c>
      <c r="H93" s="7">
        <f t="shared" si="12"/>
        <v>2.1213203435596425E-4</v>
      </c>
      <c r="I93" s="7">
        <f t="shared" si="12"/>
        <v>0</v>
      </c>
      <c r="J93" s="7">
        <f t="shared" si="12"/>
        <v>0</v>
      </c>
      <c r="K93" s="7">
        <f t="shared" si="12"/>
        <v>2.1213203435596425E-4</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U69"/>
  <sheetViews>
    <sheetView tabSelected="1" topLeftCell="G1" zoomScale="70" zoomScaleNormal="70" workbookViewId="0">
      <selection activeCell="S48" sqref="S48"/>
    </sheetView>
  </sheetViews>
  <sheetFormatPr defaultColWidth="11.42578125" defaultRowHeight="15"/>
  <cols>
    <col min="7" max="7" width="12.42578125" bestFit="1" customWidth="1"/>
    <col min="25" max="25" width="14.42578125" customWidth="1"/>
  </cols>
  <sheetData>
    <row r="1" spans="1:99">
      <c r="A1" t="s">
        <v>70</v>
      </c>
      <c r="B1" t="s">
        <v>70</v>
      </c>
      <c r="C1" t="s">
        <v>70</v>
      </c>
      <c r="D1" t="s">
        <v>70</v>
      </c>
      <c r="E1" t="s">
        <v>70</v>
      </c>
      <c r="F1" t="s">
        <v>71</v>
      </c>
      <c r="G1" t="s">
        <v>0</v>
      </c>
      <c r="H1" t="s">
        <v>71</v>
      </c>
      <c r="I1" t="s">
        <v>72</v>
      </c>
      <c r="J1" t="s">
        <v>73</v>
      </c>
      <c r="K1" t="s">
        <v>71</v>
      </c>
      <c r="L1" t="s">
        <v>71</v>
      </c>
      <c r="M1" s="4" t="s">
        <v>74</v>
      </c>
      <c r="N1" t="s">
        <v>74</v>
      </c>
      <c r="O1" t="s">
        <v>74</v>
      </c>
      <c r="P1" t="s">
        <v>74</v>
      </c>
      <c r="Q1" t="s">
        <v>74</v>
      </c>
      <c r="R1" t="s">
        <v>74</v>
      </c>
      <c r="S1" t="s">
        <v>74</v>
      </c>
      <c r="T1" t="s">
        <v>74</v>
      </c>
      <c r="U1" t="s">
        <v>74</v>
      </c>
      <c r="V1" t="s">
        <v>74</v>
      </c>
      <c r="W1" t="s">
        <v>74</v>
      </c>
      <c r="X1" t="s">
        <v>74</v>
      </c>
      <c r="Y1" t="s">
        <v>75</v>
      </c>
      <c r="Z1" t="s">
        <v>75</v>
      </c>
      <c r="AA1" t="s">
        <v>75</v>
      </c>
      <c r="AB1" t="s">
        <v>75</v>
      </c>
      <c r="AC1" s="4" t="s">
        <v>75</v>
      </c>
      <c r="AD1" t="s">
        <v>75</v>
      </c>
      <c r="AE1" s="4" t="s">
        <v>75</v>
      </c>
      <c r="AF1" t="s">
        <v>75</v>
      </c>
      <c r="AG1" t="s">
        <v>75</v>
      </c>
      <c r="AH1" t="s">
        <v>75</v>
      </c>
      <c r="AI1" t="s">
        <v>76</v>
      </c>
      <c r="AJ1" t="s">
        <v>76</v>
      </c>
      <c r="AK1" t="s">
        <v>76</v>
      </c>
      <c r="AL1" t="s">
        <v>76</v>
      </c>
      <c r="AM1" t="s">
        <v>76</v>
      </c>
      <c r="AN1" t="s">
        <v>76</v>
      </c>
      <c r="AO1" t="s">
        <v>76</v>
      </c>
      <c r="AP1" t="s">
        <v>76</v>
      </c>
      <c r="AQ1" t="s">
        <v>76</v>
      </c>
      <c r="AR1" t="s">
        <v>76</v>
      </c>
      <c r="AS1" t="s">
        <v>77</v>
      </c>
      <c r="AT1" t="s">
        <v>77</v>
      </c>
      <c r="AU1" t="s">
        <v>77</v>
      </c>
      <c r="AV1" t="s">
        <v>78</v>
      </c>
      <c r="AW1" t="s">
        <v>78</v>
      </c>
      <c r="AX1" t="s">
        <v>78</v>
      </c>
      <c r="AY1" t="s">
        <v>78</v>
      </c>
      <c r="AZ1" t="s">
        <v>78</v>
      </c>
      <c r="BA1" t="s">
        <v>78</v>
      </c>
      <c r="BB1" t="s">
        <v>79</v>
      </c>
      <c r="BC1" t="s">
        <v>79</v>
      </c>
      <c r="BD1" t="s">
        <v>79</v>
      </c>
      <c r="BE1" t="s">
        <v>79</v>
      </c>
      <c r="BF1" t="s">
        <v>80</v>
      </c>
      <c r="BG1" t="s">
        <v>80</v>
      </c>
      <c r="BH1" t="s">
        <v>80</v>
      </c>
      <c r="BI1" t="s">
        <v>80</v>
      </c>
      <c r="BJ1" t="s">
        <v>80</v>
      </c>
      <c r="BK1" t="s">
        <v>80</v>
      </c>
      <c r="BL1" t="s">
        <v>80</v>
      </c>
      <c r="BM1" t="s">
        <v>80</v>
      </c>
      <c r="BN1" t="s">
        <v>80</v>
      </c>
      <c r="BO1" t="s">
        <v>80</v>
      </c>
      <c r="BP1" t="s">
        <v>80</v>
      </c>
      <c r="BQ1" t="s">
        <v>80</v>
      </c>
      <c r="BR1" t="s">
        <v>80</v>
      </c>
      <c r="BS1" t="s">
        <v>80</v>
      </c>
      <c r="BT1" t="s">
        <v>80</v>
      </c>
      <c r="BU1" t="s">
        <v>81</v>
      </c>
      <c r="BV1" t="s">
        <v>81</v>
      </c>
      <c r="BW1" t="s">
        <v>81</v>
      </c>
      <c r="BX1" t="s">
        <v>81</v>
      </c>
      <c r="BY1" t="s">
        <v>81</v>
      </c>
      <c r="BZ1" t="s">
        <v>81</v>
      </c>
      <c r="CA1" t="s">
        <v>81</v>
      </c>
      <c r="CB1" t="s">
        <v>81</v>
      </c>
      <c r="CC1" t="s">
        <v>81</v>
      </c>
      <c r="CD1" t="s">
        <v>81</v>
      </c>
      <c r="CE1" t="s">
        <v>82</v>
      </c>
      <c r="CF1" t="s">
        <v>82</v>
      </c>
      <c r="CG1" t="s">
        <v>82</v>
      </c>
      <c r="CH1" t="s">
        <v>82</v>
      </c>
      <c r="CI1" t="s">
        <v>82</v>
      </c>
      <c r="CJ1" t="s">
        <v>82</v>
      </c>
      <c r="CK1" t="s">
        <v>82</v>
      </c>
      <c r="CL1" t="s">
        <v>82</v>
      </c>
      <c r="CM1" t="s">
        <v>82</v>
      </c>
      <c r="CN1" t="s">
        <v>82</v>
      </c>
      <c r="CO1" t="s">
        <v>83</v>
      </c>
      <c r="CP1" t="s">
        <v>83</v>
      </c>
      <c r="CQ1" t="s">
        <v>83</v>
      </c>
      <c r="CR1" t="s">
        <v>83</v>
      </c>
      <c r="CS1" t="s">
        <v>83</v>
      </c>
      <c r="CT1" t="s">
        <v>83</v>
      </c>
      <c r="CU1" t="s">
        <v>83</v>
      </c>
    </row>
    <row r="2" spans="1:99">
      <c r="A2" t="s">
        <v>84</v>
      </c>
      <c r="B2" t="s">
        <v>85</v>
      </c>
      <c r="C2" t="s">
        <v>86</v>
      </c>
      <c r="D2" t="s">
        <v>87</v>
      </c>
      <c r="E2" t="s">
        <v>88</v>
      </c>
      <c r="F2" t="s">
        <v>89</v>
      </c>
      <c r="G2" s="1">
        <v>45042</v>
      </c>
      <c r="H2" t="s">
        <v>90</v>
      </c>
      <c r="M2" s="4" t="s">
        <v>91</v>
      </c>
      <c r="N2" t="s">
        <v>92</v>
      </c>
      <c r="O2" t="s">
        <v>93</v>
      </c>
      <c r="P2" t="s">
        <v>94</v>
      </c>
      <c r="Q2" t="s">
        <v>95</v>
      </c>
      <c r="R2" t="s">
        <v>96</v>
      </c>
      <c r="S2" t="s">
        <v>97</v>
      </c>
      <c r="T2" t="s">
        <v>98</v>
      </c>
      <c r="U2" t="s">
        <v>99</v>
      </c>
      <c r="V2" t="s">
        <v>100</v>
      </c>
      <c r="W2" t="s">
        <v>101</v>
      </c>
      <c r="X2" t="s">
        <v>102</v>
      </c>
      <c r="Y2" t="s">
        <v>103</v>
      </c>
      <c r="Z2" t="s">
        <v>104</v>
      </c>
      <c r="AA2" t="s">
        <v>105</v>
      </c>
      <c r="AB2" t="s">
        <v>106</v>
      </c>
      <c r="AC2" s="4" t="s">
        <v>107</v>
      </c>
      <c r="AD2" t="s">
        <v>108</v>
      </c>
      <c r="AE2" s="4" t="s">
        <v>109</v>
      </c>
      <c r="AF2" t="s">
        <v>110</v>
      </c>
      <c r="AG2" t="s">
        <v>111</v>
      </c>
      <c r="AH2" t="s">
        <v>112</v>
      </c>
      <c r="AI2" t="s">
        <v>113</v>
      </c>
      <c r="AJ2" t="s">
        <v>114</v>
      </c>
      <c r="AK2" t="s">
        <v>115</v>
      </c>
      <c r="AL2" t="s">
        <v>116</v>
      </c>
      <c r="AM2" t="s">
        <v>117</v>
      </c>
      <c r="AN2" t="s">
        <v>118</v>
      </c>
      <c r="AO2" t="s">
        <v>119</v>
      </c>
      <c r="AP2" t="s">
        <v>120</v>
      </c>
      <c r="AQ2" t="s">
        <v>121</v>
      </c>
      <c r="AR2" t="s">
        <v>122</v>
      </c>
      <c r="AS2" t="s">
        <v>123</v>
      </c>
      <c r="AT2" t="s">
        <v>124</v>
      </c>
      <c r="AU2" t="s">
        <v>125</v>
      </c>
      <c r="AV2" t="s">
        <v>126</v>
      </c>
      <c r="AW2" t="s">
        <v>127</v>
      </c>
      <c r="AX2" t="s">
        <v>128</v>
      </c>
      <c r="AY2" t="s">
        <v>129</v>
      </c>
      <c r="AZ2" t="s">
        <v>130</v>
      </c>
      <c r="BA2" t="s">
        <v>131</v>
      </c>
      <c r="BB2" t="s">
        <v>132</v>
      </c>
      <c r="BC2" t="s">
        <v>133</v>
      </c>
      <c r="BD2" t="s">
        <v>134</v>
      </c>
      <c r="BE2" t="s">
        <v>135</v>
      </c>
      <c r="BF2" t="s">
        <v>136</v>
      </c>
      <c r="BG2" t="s">
        <v>137</v>
      </c>
      <c r="BH2" t="s">
        <v>138</v>
      </c>
      <c r="BI2" t="s">
        <v>139</v>
      </c>
      <c r="BJ2" t="s">
        <v>140</v>
      </c>
      <c r="BK2" t="s">
        <v>141</v>
      </c>
      <c r="BL2" t="s">
        <v>142</v>
      </c>
      <c r="BM2" t="s">
        <v>143</v>
      </c>
      <c r="BN2" t="s">
        <v>144</v>
      </c>
      <c r="BO2" t="s">
        <v>145</v>
      </c>
      <c r="BP2" t="s">
        <v>146</v>
      </c>
      <c r="BQ2" t="s">
        <v>147</v>
      </c>
      <c r="BR2" t="s">
        <v>148</v>
      </c>
      <c r="BS2" t="s">
        <v>149</v>
      </c>
      <c r="BT2" t="s">
        <v>150</v>
      </c>
      <c r="BU2" t="s">
        <v>151</v>
      </c>
      <c r="BV2" t="s">
        <v>152</v>
      </c>
      <c r="BW2" t="s">
        <v>153</v>
      </c>
      <c r="BX2" t="s">
        <v>154</v>
      </c>
      <c r="BY2" t="s">
        <v>155</v>
      </c>
      <c r="BZ2" t="s">
        <v>156</v>
      </c>
      <c r="CA2" t="s">
        <v>157</v>
      </c>
      <c r="CB2" t="s">
        <v>158</v>
      </c>
      <c r="CC2" t="s">
        <v>159</v>
      </c>
      <c r="CD2" t="s">
        <v>160</v>
      </c>
      <c r="CE2" t="s">
        <v>161</v>
      </c>
      <c r="CF2" t="s">
        <v>162</v>
      </c>
      <c r="CG2" t="s">
        <v>163</v>
      </c>
      <c r="CH2" t="s">
        <v>164</v>
      </c>
      <c r="CI2" t="s">
        <v>165</v>
      </c>
      <c r="CJ2" t="s">
        <v>166</v>
      </c>
      <c r="CK2" t="s">
        <v>167</v>
      </c>
      <c r="CL2" t="s">
        <v>168</v>
      </c>
      <c r="CM2" t="s">
        <v>169</v>
      </c>
      <c r="CN2" t="s">
        <v>170</v>
      </c>
      <c r="CO2" t="s">
        <v>171</v>
      </c>
      <c r="CP2" t="s">
        <v>172</v>
      </c>
      <c r="CQ2" t="s">
        <v>173</v>
      </c>
      <c r="CR2" t="s">
        <v>174</v>
      </c>
      <c r="CS2" t="s">
        <v>175</v>
      </c>
      <c r="CT2" t="s">
        <v>176</v>
      </c>
      <c r="CU2" t="s">
        <v>177</v>
      </c>
    </row>
    <row r="3" spans="1:99">
      <c r="B3" t="s">
        <v>178</v>
      </c>
      <c r="C3" t="s">
        <v>179</v>
      </c>
      <c r="G3" s="1">
        <v>45042</v>
      </c>
      <c r="M3" t="s">
        <v>180</v>
      </c>
      <c r="N3" t="s">
        <v>180</v>
      </c>
      <c r="O3" t="s">
        <v>180</v>
      </c>
      <c r="P3" t="s">
        <v>181</v>
      </c>
      <c r="Q3" t="s">
        <v>182</v>
      </c>
      <c r="R3" t="s">
        <v>182</v>
      </c>
      <c r="S3" t="s">
        <v>182</v>
      </c>
      <c r="T3" t="s">
        <v>182</v>
      </c>
      <c r="U3" t="s">
        <v>183</v>
      </c>
      <c r="V3" t="s">
        <v>183</v>
      </c>
      <c r="W3" t="s">
        <v>183</v>
      </c>
      <c r="X3" t="s">
        <v>184</v>
      </c>
      <c r="AH3" t="s">
        <v>185</v>
      </c>
      <c r="AI3" t="s">
        <v>186</v>
      </c>
      <c r="AJ3" t="s">
        <v>186</v>
      </c>
      <c r="AK3" t="s">
        <v>187</v>
      </c>
      <c r="AL3" t="s">
        <v>187</v>
      </c>
      <c r="AM3" t="s">
        <v>182</v>
      </c>
      <c r="AN3" t="s">
        <v>188</v>
      </c>
      <c r="AO3" t="s">
        <v>188</v>
      </c>
      <c r="AP3" t="s">
        <v>186</v>
      </c>
      <c r="AQ3" t="s">
        <v>185</v>
      </c>
      <c r="AR3" t="s">
        <v>189</v>
      </c>
      <c r="AS3" t="s">
        <v>178</v>
      </c>
      <c r="AT3" t="s">
        <v>179</v>
      </c>
      <c r="AU3" t="s">
        <v>186</v>
      </c>
      <c r="BC3" t="s">
        <v>188</v>
      </c>
      <c r="BD3" t="s">
        <v>190</v>
      </c>
      <c r="BE3" t="s">
        <v>191</v>
      </c>
      <c r="BH3" t="s">
        <v>185</v>
      </c>
      <c r="BI3" t="s">
        <v>192</v>
      </c>
      <c r="BJ3" t="s">
        <v>193</v>
      </c>
      <c r="BK3" t="s">
        <v>191</v>
      </c>
      <c r="BL3" t="s">
        <v>194</v>
      </c>
      <c r="BM3" t="s">
        <v>194</v>
      </c>
      <c r="BN3" t="s">
        <v>194</v>
      </c>
      <c r="BP3" t="s">
        <v>186</v>
      </c>
      <c r="BU3" t="s">
        <v>189</v>
      </c>
      <c r="BV3" t="s">
        <v>189</v>
      </c>
      <c r="BW3" t="s">
        <v>189</v>
      </c>
      <c r="BX3" t="s">
        <v>189</v>
      </c>
      <c r="BY3" t="s">
        <v>189</v>
      </c>
      <c r="BZ3" t="s">
        <v>189</v>
      </c>
      <c r="CA3" t="s">
        <v>189</v>
      </c>
      <c r="CB3" t="s">
        <v>189</v>
      </c>
      <c r="CC3" t="s">
        <v>189</v>
      </c>
      <c r="CD3" t="s">
        <v>195</v>
      </c>
    </row>
    <row r="4" spans="1:99">
      <c r="A4">
        <v>1</v>
      </c>
      <c r="B4" s="3">
        <v>0.54767361111111112</v>
      </c>
      <c r="C4" s="1">
        <v>45042</v>
      </c>
      <c r="D4" t="s">
        <v>196</v>
      </c>
      <c r="E4" t="s">
        <v>197</v>
      </c>
      <c r="G4" s="1">
        <v>45042</v>
      </c>
      <c r="H4">
        <v>1</v>
      </c>
      <c r="I4" t="s">
        <v>198</v>
      </c>
      <c r="J4">
        <v>1</v>
      </c>
      <c r="M4">
        <v>0.12569</v>
      </c>
      <c r="N4">
        <v>2.919206</v>
      </c>
      <c r="O4">
        <v>0.120502</v>
      </c>
      <c r="P4">
        <v>4.2086819999999996</v>
      </c>
      <c r="Q4">
        <v>1.0802099999999999</v>
      </c>
      <c r="R4">
        <v>0.96853599999999995</v>
      </c>
      <c r="S4">
        <v>4.3045780000000002</v>
      </c>
      <c r="T4">
        <v>3.2243689999999998</v>
      </c>
      <c r="U4">
        <v>10.193878</v>
      </c>
      <c r="V4">
        <v>11.369251999999999</v>
      </c>
      <c r="W4">
        <v>45.305866000000002</v>
      </c>
      <c r="X4">
        <v>0.44178600000000001</v>
      </c>
      <c r="Y4" t="s">
        <v>199</v>
      </c>
      <c r="Z4">
        <v>0</v>
      </c>
      <c r="AA4">
        <v>0</v>
      </c>
      <c r="AB4">
        <v>0</v>
      </c>
      <c r="AC4">
        <v>94.852920999999995</v>
      </c>
      <c r="AD4">
        <v>340.061218</v>
      </c>
      <c r="AE4">
        <v>0.72107100000000002</v>
      </c>
      <c r="AF4">
        <v>0.5</v>
      </c>
      <c r="AG4">
        <v>0.8</v>
      </c>
      <c r="AH4">
        <v>33.249671999999997</v>
      </c>
      <c r="AI4">
        <v>22.95</v>
      </c>
      <c r="AJ4">
        <v>20.58</v>
      </c>
      <c r="AK4">
        <v>31.75</v>
      </c>
      <c r="AL4">
        <v>30.18</v>
      </c>
      <c r="AM4">
        <v>95.01</v>
      </c>
      <c r="AN4">
        <v>156.4</v>
      </c>
      <c r="AO4">
        <v>147.6</v>
      </c>
      <c r="AP4">
        <v>5.6</v>
      </c>
      <c r="AQ4">
        <v>115</v>
      </c>
      <c r="AR4">
        <v>3.6930000000000001</v>
      </c>
      <c r="AS4" s="3">
        <v>0.5464930555555555</v>
      </c>
      <c r="AT4" s="1">
        <v>45042</v>
      </c>
      <c r="AU4">
        <v>-0.27</v>
      </c>
      <c r="AV4">
        <v>0</v>
      </c>
      <c r="AW4">
        <v>1E-3</v>
      </c>
      <c r="AX4">
        <v>1.4999999999999999E-2</v>
      </c>
      <c r="AY4">
        <v>0.98</v>
      </c>
      <c r="AZ4">
        <v>0.123</v>
      </c>
      <c r="BA4">
        <v>2.302</v>
      </c>
      <c r="BB4">
        <v>1</v>
      </c>
      <c r="BC4">
        <v>150</v>
      </c>
      <c r="BD4">
        <v>5.0000000000000001E-3</v>
      </c>
      <c r="BE4">
        <v>2</v>
      </c>
      <c r="BF4">
        <v>0</v>
      </c>
      <c r="BG4" t="s">
        <v>200</v>
      </c>
      <c r="BH4">
        <v>7000</v>
      </c>
      <c r="BI4">
        <v>500</v>
      </c>
      <c r="BJ4">
        <v>5</v>
      </c>
      <c r="BK4">
        <v>2</v>
      </c>
      <c r="BL4">
        <v>300</v>
      </c>
      <c r="BM4">
        <v>300</v>
      </c>
      <c r="BN4">
        <v>300</v>
      </c>
      <c r="BO4">
        <v>306.60510299999999</v>
      </c>
      <c r="BP4">
        <v>25</v>
      </c>
      <c r="BQ4">
        <v>-24.151489000000002</v>
      </c>
      <c r="BR4">
        <v>306.22994999999997</v>
      </c>
      <c r="BS4">
        <v>305.42056300000002</v>
      </c>
      <c r="BT4">
        <v>0.80938699999999997</v>
      </c>
      <c r="BU4">
        <v>2.381456</v>
      </c>
      <c r="BV4">
        <v>2.4502120000000001</v>
      </c>
      <c r="BW4">
        <v>1.588319</v>
      </c>
      <c r="BX4">
        <v>0.97114500000000004</v>
      </c>
      <c r="BY4">
        <v>0.208815</v>
      </c>
      <c r="BZ4">
        <v>-2.0015999999999999E-2</v>
      </c>
      <c r="CA4">
        <v>0.191332</v>
      </c>
      <c r="CB4">
        <v>0.20950299999999999</v>
      </c>
      <c r="CC4">
        <v>94.852920999999995</v>
      </c>
      <c r="CD4">
        <v>3.4400000000000001E-4</v>
      </c>
      <c r="CE4">
        <v>2.3486280000000002</v>
      </c>
      <c r="CF4">
        <v>-5.1E-5</v>
      </c>
      <c r="CG4">
        <v>1</v>
      </c>
      <c r="CH4">
        <v>2.4109430000000001</v>
      </c>
      <c r="CI4">
        <v>-5.7000000000000003E-5</v>
      </c>
      <c r="CJ4">
        <v>1</v>
      </c>
      <c r="CK4">
        <v>0.60051900000000002</v>
      </c>
      <c r="CL4">
        <v>0.60216099999999995</v>
      </c>
      <c r="CM4">
        <v>0.107265</v>
      </c>
      <c r="CN4">
        <v>0</v>
      </c>
      <c r="CO4" t="s">
        <v>199</v>
      </c>
      <c r="CP4" t="s">
        <v>201</v>
      </c>
      <c r="CQ4" t="s">
        <v>202</v>
      </c>
      <c r="CR4" t="s">
        <v>203</v>
      </c>
      <c r="CS4" t="s">
        <v>204</v>
      </c>
      <c r="CT4" t="s">
        <v>205</v>
      </c>
      <c r="CU4" t="s">
        <v>206</v>
      </c>
    </row>
    <row r="5" spans="1:99">
      <c r="A5">
        <v>2</v>
      </c>
      <c r="B5" s="3">
        <v>0.54873842592592592</v>
      </c>
      <c r="C5" s="1">
        <v>45042</v>
      </c>
      <c r="D5" t="s">
        <v>196</v>
      </c>
      <c r="E5" t="s">
        <v>197</v>
      </c>
      <c r="G5" s="1">
        <v>45042</v>
      </c>
      <c r="H5">
        <v>2</v>
      </c>
      <c r="I5" t="s">
        <v>198</v>
      </c>
      <c r="J5">
        <v>1</v>
      </c>
      <c r="M5">
        <v>0.11663900000000001</v>
      </c>
      <c r="N5">
        <v>2.918777</v>
      </c>
      <c r="O5">
        <v>0.11215700000000001</v>
      </c>
      <c r="P5">
        <v>3.9113699999999998</v>
      </c>
      <c r="Q5">
        <v>1.0510330000000001</v>
      </c>
      <c r="R5">
        <v>0.94719699999999996</v>
      </c>
      <c r="S5">
        <v>4.2711600000000001</v>
      </c>
      <c r="T5">
        <v>3.2201270000000002</v>
      </c>
      <c r="U5">
        <v>9.9708369999999995</v>
      </c>
      <c r="V5">
        <v>11.063886999999999</v>
      </c>
      <c r="W5">
        <v>44.961117000000002</v>
      </c>
      <c r="X5">
        <v>0.44178600000000001</v>
      </c>
      <c r="Y5" t="s">
        <v>207</v>
      </c>
      <c r="Z5">
        <v>0</v>
      </c>
      <c r="AA5">
        <v>0</v>
      </c>
      <c r="AB5">
        <v>0</v>
      </c>
      <c r="AC5">
        <v>87.271568000000002</v>
      </c>
      <c r="AD5">
        <v>342.57284499999997</v>
      </c>
      <c r="AE5">
        <v>0.74524699999999999</v>
      </c>
      <c r="AF5">
        <v>0.5</v>
      </c>
      <c r="AG5">
        <v>0.8</v>
      </c>
      <c r="AH5">
        <v>25.770306000000001</v>
      </c>
      <c r="AI5">
        <v>22.17</v>
      </c>
      <c r="AJ5">
        <v>19.98</v>
      </c>
      <c r="AK5">
        <v>31.87</v>
      </c>
      <c r="AL5">
        <v>30.04</v>
      </c>
      <c r="AM5">
        <v>95</v>
      </c>
      <c r="AN5">
        <v>156.30000000000001</v>
      </c>
      <c r="AO5">
        <v>147.30000000000001</v>
      </c>
      <c r="AP5">
        <v>5.8</v>
      </c>
      <c r="AQ5">
        <v>86</v>
      </c>
      <c r="AR5">
        <v>3.6930000000000001</v>
      </c>
      <c r="AS5" s="3">
        <v>0.5464930555555555</v>
      </c>
      <c r="AT5" s="1">
        <v>45042</v>
      </c>
      <c r="AU5">
        <v>-0.27</v>
      </c>
      <c r="AV5">
        <v>2E-3</v>
      </c>
      <c r="AW5">
        <v>1E-3</v>
      </c>
      <c r="AX5">
        <v>-9999</v>
      </c>
      <c r="AY5">
        <v>-3.0000000000000001E-3</v>
      </c>
      <c r="AZ5">
        <v>-5.0999999999999997E-2</v>
      </c>
      <c r="BA5">
        <v>-9999</v>
      </c>
      <c r="BB5">
        <v>1</v>
      </c>
      <c r="BC5">
        <v>150</v>
      </c>
      <c r="BD5">
        <v>5.0000000000000001E-3</v>
      </c>
      <c r="BE5">
        <v>2</v>
      </c>
      <c r="BF5">
        <v>0</v>
      </c>
      <c r="BG5" t="s">
        <v>200</v>
      </c>
      <c r="BH5">
        <v>7000</v>
      </c>
      <c r="BI5">
        <v>500</v>
      </c>
      <c r="BJ5">
        <v>5</v>
      </c>
      <c r="BK5">
        <v>2</v>
      </c>
      <c r="BL5">
        <v>300</v>
      </c>
      <c r="BM5">
        <v>300</v>
      </c>
      <c r="BN5">
        <v>300</v>
      </c>
      <c r="BO5">
        <v>333.8349</v>
      </c>
      <c r="BP5">
        <v>25</v>
      </c>
      <c r="BQ5">
        <v>-5.6351060000000004</v>
      </c>
      <c r="BR5">
        <v>343.61849999999998</v>
      </c>
      <c r="BS5">
        <v>334.49035600000002</v>
      </c>
      <c r="BT5">
        <v>9.1281429999999997</v>
      </c>
      <c r="BU5">
        <v>2.380566</v>
      </c>
      <c r="BV5">
        <v>2.4489920000000001</v>
      </c>
      <c r="BW5">
        <v>1.587904</v>
      </c>
      <c r="BX5">
        <v>0.97031800000000001</v>
      </c>
      <c r="BY5">
        <v>0.20776900000000001</v>
      </c>
      <c r="BZ5">
        <v>-2.3342000000000002E-2</v>
      </c>
      <c r="CA5">
        <v>0.201681</v>
      </c>
      <c r="CB5">
        <v>0.18393499999999999</v>
      </c>
      <c r="CC5">
        <v>87.271568000000002</v>
      </c>
      <c r="CD5">
        <v>3.5399999999999999E-4</v>
      </c>
      <c r="CE5">
        <v>2.3486280000000002</v>
      </c>
      <c r="CF5">
        <v>-5.1E-5</v>
      </c>
      <c r="CG5">
        <v>1</v>
      </c>
      <c r="CH5">
        <v>2.4109430000000001</v>
      </c>
      <c r="CI5">
        <v>-5.7000000000000003E-5</v>
      </c>
      <c r="CJ5">
        <v>1</v>
      </c>
      <c r="CK5">
        <v>0.60051900000000002</v>
      </c>
      <c r="CL5">
        <v>0.60216099999999995</v>
      </c>
      <c r="CM5">
        <v>0.107265</v>
      </c>
      <c r="CN5">
        <v>0</v>
      </c>
      <c r="CO5" t="s">
        <v>207</v>
      </c>
      <c r="CP5" t="s">
        <v>201</v>
      </c>
      <c r="CQ5" t="s">
        <v>202</v>
      </c>
      <c r="CR5" t="s">
        <v>203</v>
      </c>
      <c r="CS5" t="s">
        <v>204</v>
      </c>
      <c r="CT5" t="s">
        <v>205</v>
      </c>
      <c r="CU5" t="s">
        <v>206</v>
      </c>
    </row>
    <row r="6" spans="1:99">
      <c r="A6">
        <v>3</v>
      </c>
      <c r="B6" s="3">
        <v>0.54907407407407405</v>
      </c>
      <c r="C6" s="1">
        <v>45042</v>
      </c>
      <c r="D6" t="s">
        <v>196</v>
      </c>
      <c r="E6" t="s">
        <v>197</v>
      </c>
      <c r="G6" s="1">
        <v>45042</v>
      </c>
      <c r="H6">
        <v>3</v>
      </c>
      <c r="I6" t="s">
        <v>198</v>
      </c>
      <c r="J6">
        <v>1</v>
      </c>
      <c r="M6">
        <v>0.12403599999999999</v>
      </c>
      <c r="N6">
        <v>2.9182269999999999</v>
      </c>
      <c r="O6">
        <v>0.118979</v>
      </c>
      <c r="P6">
        <v>4.3198290000000004</v>
      </c>
      <c r="Q6">
        <v>1.104028</v>
      </c>
      <c r="R6">
        <v>0.98936199999999996</v>
      </c>
      <c r="S6">
        <v>4.4522830000000004</v>
      </c>
      <c r="T6">
        <v>3.3482560000000001</v>
      </c>
      <c r="U6">
        <v>10.414580000000001</v>
      </c>
      <c r="V6">
        <v>11.621618</v>
      </c>
      <c r="W6">
        <v>46.867252000000001</v>
      </c>
      <c r="X6">
        <v>0.44178600000000001</v>
      </c>
      <c r="Y6" t="s">
        <v>208</v>
      </c>
      <c r="Z6">
        <v>0</v>
      </c>
      <c r="AA6">
        <v>0</v>
      </c>
      <c r="AB6">
        <v>0</v>
      </c>
      <c r="AC6">
        <v>74.455619999999996</v>
      </c>
      <c r="AD6">
        <v>229.352249</v>
      </c>
      <c r="AE6">
        <v>0.67536600000000002</v>
      </c>
      <c r="AF6">
        <v>0.5</v>
      </c>
      <c r="AG6">
        <v>0.8</v>
      </c>
      <c r="AH6">
        <v>19.121746000000002</v>
      </c>
      <c r="AI6">
        <v>23.24</v>
      </c>
      <c r="AJ6">
        <v>20.82</v>
      </c>
      <c r="AK6">
        <v>31.91</v>
      </c>
      <c r="AL6">
        <v>30.77</v>
      </c>
      <c r="AM6">
        <v>95</v>
      </c>
      <c r="AN6">
        <v>156.30000000000001</v>
      </c>
      <c r="AO6">
        <v>147.4</v>
      </c>
      <c r="AP6">
        <v>5.6</v>
      </c>
      <c r="AQ6">
        <v>71</v>
      </c>
      <c r="AR6">
        <v>3.6909999999999998</v>
      </c>
      <c r="AS6" s="3">
        <v>0.5464930555555555</v>
      </c>
      <c r="AT6" s="1">
        <v>45042</v>
      </c>
      <c r="AU6">
        <v>-0.27</v>
      </c>
      <c r="AV6">
        <v>-1E-3</v>
      </c>
      <c r="AW6">
        <v>-2E-3</v>
      </c>
      <c r="AX6">
        <v>-9999</v>
      </c>
      <c r="AY6">
        <v>0.155</v>
      </c>
      <c r="AZ6">
        <v>0.20899999999999999</v>
      </c>
      <c r="BA6">
        <v>-9999</v>
      </c>
      <c r="BB6">
        <v>1</v>
      </c>
      <c r="BC6">
        <v>150</v>
      </c>
      <c r="BD6">
        <v>5.0000000000000001E-3</v>
      </c>
      <c r="BE6">
        <v>2</v>
      </c>
      <c r="BF6">
        <v>0</v>
      </c>
      <c r="BG6" t="s">
        <v>200</v>
      </c>
      <c r="BH6">
        <v>7000</v>
      </c>
      <c r="BI6">
        <v>500</v>
      </c>
      <c r="BJ6">
        <v>5</v>
      </c>
      <c r="BK6">
        <v>2</v>
      </c>
      <c r="BL6">
        <v>300</v>
      </c>
      <c r="BM6">
        <v>300</v>
      </c>
      <c r="BN6">
        <v>300</v>
      </c>
      <c r="BO6">
        <v>214.435104</v>
      </c>
      <c r="BP6">
        <v>25</v>
      </c>
      <c r="BQ6">
        <v>-10.050148</v>
      </c>
      <c r="BR6">
        <v>218.24670399999999</v>
      </c>
      <c r="BS6">
        <v>214.937241</v>
      </c>
      <c r="BT6">
        <v>3.3094640000000002</v>
      </c>
      <c r="BU6">
        <v>2.3817949999999999</v>
      </c>
      <c r="BV6">
        <v>2.4506290000000002</v>
      </c>
      <c r="BW6">
        <v>1.5873729999999999</v>
      </c>
      <c r="BX6">
        <v>0.970696</v>
      </c>
      <c r="BY6">
        <v>0.20746700000000001</v>
      </c>
      <c r="BZ6">
        <v>-1.472E-2</v>
      </c>
      <c r="CA6">
        <v>0.20471700000000001</v>
      </c>
      <c r="CB6">
        <v>0.170041</v>
      </c>
      <c r="CC6">
        <v>74.455619999999996</v>
      </c>
      <c r="CD6">
        <v>3.4400000000000001E-4</v>
      </c>
      <c r="CE6">
        <v>2.3486280000000002</v>
      </c>
      <c r="CF6">
        <v>-5.1E-5</v>
      </c>
      <c r="CG6">
        <v>1</v>
      </c>
      <c r="CH6">
        <v>2.4109430000000001</v>
      </c>
      <c r="CI6">
        <v>-5.7000000000000003E-5</v>
      </c>
      <c r="CJ6">
        <v>1</v>
      </c>
      <c r="CK6">
        <v>0.60051900000000002</v>
      </c>
      <c r="CL6">
        <v>0.60216099999999995</v>
      </c>
      <c r="CM6">
        <v>0.107265</v>
      </c>
      <c r="CN6">
        <v>0</v>
      </c>
      <c r="CO6" t="s">
        <v>208</v>
      </c>
      <c r="CP6" t="s">
        <v>201</v>
      </c>
      <c r="CQ6" t="s">
        <v>202</v>
      </c>
      <c r="CR6" t="s">
        <v>203</v>
      </c>
      <c r="CS6" t="s">
        <v>204</v>
      </c>
      <c r="CT6" t="s">
        <v>205</v>
      </c>
      <c r="CU6" t="s">
        <v>206</v>
      </c>
    </row>
    <row r="7" spans="1:99">
      <c r="A7">
        <v>4</v>
      </c>
      <c r="B7" s="3">
        <v>0.54935185185185187</v>
      </c>
      <c r="C7" s="1">
        <v>45042</v>
      </c>
      <c r="D7" t="s">
        <v>196</v>
      </c>
      <c r="E7" t="s">
        <v>197</v>
      </c>
      <c r="G7" s="1">
        <v>45042</v>
      </c>
      <c r="H7">
        <v>4</v>
      </c>
      <c r="I7" t="s">
        <v>198</v>
      </c>
      <c r="J7">
        <v>1</v>
      </c>
      <c r="M7">
        <v>0.112647</v>
      </c>
      <c r="N7">
        <v>2.9187970000000001</v>
      </c>
      <c r="O7">
        <v>0.108461</v>
      </c>
      <c r="P7">
        <v>3.9904480000000002</v>
      </c>
      <c r="Q7">
        <v>1.0210669999999999</v>
      </c>
      <c r="R7">
        <v>0.91509799999999997</v>
      </c>
      <c r="S7">
        <v>4.4161970000000004</v>
      </c>
      <c r="T7">
        <v>3.3951289999999998</v>
      </c>
      <c r="U7">
        <v>9.6327599999999993</v>
      </c>
      <c r="V7">
        <v>10.748246999999999</v>
      </c>
      <c r="W7">
        <v>46.487018999999997</v>
      </c>
      <c r="X7">
        <v>0.44178600000000001</v>
      </c>
      <c r="Y7" t="s">
        <v>209</v>
      </c>
      <c r="Z7">
        <v>0</v>
      </c>
      <c r="AA7">
        <v>0</v>
      </c>
      <c r="AB7">
        <v>0</v>
      </c>
      <c r="AC7">
        <v>171.35595699999999</v>
      </c>
      <c r="AD7">
        <v>438.790436</v>
      </c>
      <c r="AE7">
        <v>0.60948100000000005</v>
      </c>
      <c r="AF7">
        <v>0.5</v>
      </c>
      <c r="AG7">
        <v>0.8</v>
      </c>
      <c r="AH7">
        <v>441.20098899999999</v>
      </c>
      <c r="AI7">
        <v>21.46</v>
      </c>
      <c r="AJ7">
        <v>19.23</v>
      </c>
      <c r="AK7">
        <v>31.94</v>
      </c>
      <c r="AL7">
        <v>30.63</v>
      </c>
      <c r="AM7">
        <v>95</v>
      </c>
      <c r="AN7">
        <v>156.30000000000001</v>
      </c>
      <c r="AO7">
        <v>147.4</v>
      </c>
      <c r="AP7">
        <v>5.7</v>
      </c>
      <c r="AQ7">
        <v>1810</v>
      </c>
      <c r="AR7">
        <v>3.69</v>
      </c>
      <c r="AS7" s="3">
        <v>0.5464930555555555</v>
      </c>
      <c r="AT7" s="1">
        <v>45042</v>
      </c>
      <c r="AU7">
        <v>-0.27</v>
      </c>
      <c r="AV7">
        <v>3.0000000000000001E-3</v>
      </c>
      <c r="AW7">
        <v>0</v>
      </c>
      <c r="AX7">
        <v>1E-3</v>
      </c>
      <c r="AY7">
        <v>-63.658000000000001</v>
      </c>
      <c r="AZ7">
        <v>-2.4940000000000002</v>
      </c>
      <c r="BA7">
        <v>44.006</v>
      </c>
      <c r="BB7">
        <v>1</v>
      </c>
      <c r="BC7">
        <v>150</v>
      </c>
      <c r="BD7">
        <v>5.0000000000000001E-3</v>
      </c>
      <c r="BE7">
        <v>2</v>
      </c>
      <c r="BF7">
        <v>0</v>
      </c>
      <c r="BG7" t="s">
        <v>200</v>
      </c>
      <c r="BH7">
        <v>7000</v>
      </c>
      <c r="BI7">
        <v>500</v>
      </c>
      <c r="BJ7">
        <v>5</v>
      </c>
      <c r="BK7">
        <v>2</v>
      </c>
      <c r="BL7">
        <v>300</v>
      </c>
      <c r="BM7">
        <v>300</v>
      </c>
      <c r="BN7">
        <v>300</v>
      </c>
      <c r="BO7">
        <v>418.12634300000002</v>
      </c>
      <c r="BP7">
        <v>25</v>
      </c>
      <c r="BQ7">
        <v>-16.432860999999999</v>
      </c>
      <c r="BR7">
        <v>412.93109099999998</v>
      </c>
      <c r="BS7">
        <v>415.220642</v>
      </c>
      <c r="BT7">
        <v>-2.2895509999999999</v>
      </c>
      <c r="BU7">
        <v>2.379461</v>
      </c>
      <c r="BV7">
        <v>2.4478849999999999</v>
      </c>
      <c r="BW7">
        <v>1.5879239999999999</v>
      </c>
      <c r="BX7">
        <v>0.97062800000000005</v>
      </c>
      <c r="BY7">
        <v>0.20724699999999999</v>
      </c>
      <c r="BZ7">
        <v>-1.6855999999999999E-2</v>
      </c>
      <c r="CA7">
        <v>0.207206</v>
      </c>
      <c r="CB7">
        <v>1.7122869999999999</v>
      </c>
      <c r="CC7">
        <v>171.35595699999999</v>
      </c>
      <c r="CD7">
        <v>3.5E-4</v>
      </c>
      <c r="CE7">
        <v>2.3486280000000002</v>
      </c>
      <c r="CF7">
        <v>-5.1E-5</v>
      </c>
      <c r="CG7">
        <v>1</v>
      </c>
      <c r="CH7">
        <v>2.4109430000000001</v>
      </c>
      <c r="CI7">
        <v>-5.7000000000000003E-5</v>
      </c>
      <c r="CJ7">
        <v>1</v>
      </c>
      <c r="CK7">
        <v>0.60051900000000002</v>
      </c>
      <c r="CL7">
        <v>0.60216099999999995</v>
      </c>
      <c r="CM7">
        <v>0.107265</v>
      </c>
      <c r="CN7">
        <v>0</v>
      </c>
      <c r="CO7" t="s">
        <v>209</v>
      </c>
      <c r="CP7" t="s">
        <v>201</v>
      </c>
      <c r="CQ7" t="s">
        <v>202</v>
      </c>
      <c r="CR7" t="s">
        <v>203</v>
      </c>
      <c r="CS7" t="s">
        <v>204</v>
      </c>
      <c r="CT7" t="s">
        <v>205</v>
      </c>
      <c r="CU7" t="s">
        <v>206</v>
      </c>
    </row>
    <row r="8" spans="1:99">
      <c r="A8">
        <v>5</v>
      </c>
      <c r="B8" s="3">
        <v>0.54971064814814818</v>
      </c>
      <c r="C8" s="1">
        <v>45042</v>
      </c>
      <c r="D8" t="s">
        <v>196</v>
      </c>
      <c r="E8" t="s">
        <v>197</v>
      </c>
      <c r="G8" s="1">
        <v>45042</v>
      </c>
      <c r="H8">
        <v>5</v>
      </c>
      <c r="I8" t="s">
        <v>198</v>
      </c>
      <c r="J8">
        <v>1</v>
      </c>
      <c r="M8">
        <v>0.19378300000000001</v>
      </c>
      <c r="N8">
        <v>2.919082</v>
      </c>
      <c r="O8">
        <v>0.18171999999999999</v>
      </c>
      <c r="P8">
        <v>6.2920540000000003</v>
      </c>
      <c r="Q8">
        <v>1.12449</v>
      </c>
      <c r="R8">
        <v>0.95761399999999997</v>
      </c>
      <c r="S8">
        <v>4.3196880000000002</v>
      </c>
      <c r="T8">
        <v>3.195198</v>
      </c>
      <c r="U8">
        <v>10.079936999999999</v>
      </c>
      <c r="V8">
        <v>11.836484</v>
      </c>
      <c r="W8">
        <v>45.469439999999999</v>
      </c>
      <c r="X8">
        <v>0.44178600000000001</v>
      </c>
      <c r="Y8" t="s">
        <v>210</v>
      </c>
      <c r="Z8">
        <v>0</v>
      </c>
      <c r="AA8">
        <v>0</v>
      </c>
      <c r="AB8">
        <v>0</v>
      </c>
      <c r="AC8">
        <v>90.330001999999993</v>
      </c>
      <c r="AD8">
        <v>339.17626999999999</v>
      </c>
      <c r="AE8">
        <v>0.73367800000000005</v>
      </c>
      <c r="AF8">
        <v>0.5</v>
      </c>
      <c r="AG8">
        <v>0.8</v>
      </c>
      <c r="AH8">
        <v>451.08667000000003</v>
      </c>
      <c r="AI8">
        <v>23.55</v>
      </c>
      <c r="AJ8">
        <v>20.059999999999999</v>
      </c>
      <c r="AK8">
        <v>32</v>
      </c>
      <c r="AL8">
        <v>30.24</v>
      </c>
      <c r="AM8">
        <v>95</v>
      </c>
      <c r="AN8">
        <v>156.4</v>
      </c>
      <c r="AO8">
        <v>147.5</v>
      </c>
      <c r="AP8">
        <v>5.7</v>
      </c>
      <c r="AQ8">
        <v>1537</v>
      </c>
      <c r="AR8">
        <v>3.6890000000000001</v>
      </c>
      <c r="AS8" s="3">
        <v>0.5464930555555555</v>
      </c>
      <c r="AT8" s="1">
        <v>45042</v>
      </c>
      <c r="AU8">
        <v>-0.27</v>
      </c>
      <c r="AV8">
        <v>0</v>
      </c>
      <c r="AW8">
        <v>2E-3</v>
      </c>
      <c r="AX8">
        <v>-9999</v>
      </c>
      <c r="AY8">
        <v>-0.20200000000000001</v>
      </c>
      <c r="AZ8">
        <v>-0.89300000000000002</v>
      </c>
      <c r="BA8">
        <v>-9999</v>
      </c>
      <c r="BB8">
        <v>1</v>
      </c>
      <c r="BC8">
        <v>150</v>
      </c>
      <c r="BD8">
        <v>5.0000000000000001E-3</v>
      </c>
      <c r="BE8">
        <v>2</v>
      </c>
      <c r="BF8">
        <v>0</v>
      </c>
      <c r="BG8" t="s">
        <v>200</v>
      </c>
      <c r="BH8">
        <v>7000</v>
      </c>
      <c r="BI8">
        <v>500</v>
      </c>
      <c r="BJ8">
        <v>5</v>
      </c>
      <c r="BK8">
        <v>2</v>
      </c>
      <c r="BL8">
        <v>300</v>
      </c>
      <c r="BM8">
        <v>300</v>
      </c>
      <c r="BN8">
        <v>300</v>
      </c>
      <c r="BO8">
        <v>297.86575299999998</v>
      </c>
      <c r="BP8">
        <v>25</v>
      </c>
      <c r="BQ8">
        <v>-28.794615</v>
      </c>
      <c r="BR8">
        <v>296.65588400000001</v>
      </c>
      <c r="BS8">
        <v>297.875946</v>
      </c>
      <c r="BT8">
        <v>-1.220062</v>
      </c>
      <c r="BU8">
        <v>2.380665</v>
      </c>
      <c r="BV8">
        <v>2.451095</v>
      </c>
      <c r="BW8">
        <v>1.5881989999999999</v>
      </c>
      <c r="BX8">
        <v>0.97071499999999999</v>
      </c>
      <c r="BY8">
        <v>0.206756</v>
      </c>
      <c r="BZ8">
        <v>-2.2467999999999998E-2</v>
      </c>
      <c r="CA8">
        <v>0.21044099999999999</v>
      </c>
      <c r="CB8">
        <v>1.470464</v>
      </c>
      <c r="CC8">
        <v>90.330001999999993</v>
      </c>
      <c r="CD8">
        <v>3.5199999999999999E-4</v>
      </c>
      <c r="CE8">
        <v>2.3486280000000002</v>
      </c>
      <c r="CF8">
        <v>-5.1E-5</v>
      </c>
      <c r="CG8">
        <v>1</v>
      </c>
      <c r="CH8">
        <v>2.4109430000000001</v>
      </c>
      <c r="CI8">
        <v>-5.7000000000000003E-5</v>
      </c>
      <c r="CJ8">
        <v>1</v>
      </c>
      <c r="CK8">
        <v>0.60051900000000002</v>
      </c>
      <c r="CL8">
        <v>0.60216099999999995</v>
      </c>
      <c r="CM8">
        <v>0.107265</v>
      </c>
      <c r="CN8">
        <v>0</v>
      </c>
      <c r="CO8" t="s">
        <v>210</v>
      </c>
      <c r="CP8" t="s">
        <v>201</v>
      </c>
      <c r="CQ8" t="s">
        <v>202</v>
      </c>
      <c r="CR8" t="s">
        <v>203</v>
      </c>
      <c r="CS8" t="s">
        <v>204</v>
      </c>
      <c r="CT8" t="s">
        <v>205</v>
      </c>
      <c r="CU8" t="s">
        <v>206</v>
      </c>
    </row>
    <row r="9" spans="1:99">
      <c r="A9">
        <v>6</v>
      </c>
      <c r="B9" s="3">
        <v>0.55015046296296299</v>
      </c>
      <c r="C9" s="1">
        <v>45042</v>
      </c>
      <c r="D9" t="s">
        <v>196</v>
      </c>
      <c r="E9" t="s">
        <v>197</v>
      </c>
      <c r="G9" s="1">
        <v>45042</v>
      </c>
      <c r="H9">
        <v>6</v>
      </c>
      <c r="I9" t="s">
        <v>198</v>
      </c>
      <c r="J9">
        <v>1</v>
      </c>
      <c r="M9">
        <v>0.12518599999999999</v>
      </c>
      <c r="N9">
        <v>2.9180609999999998</v>
      </c>
      <c r="O9">
        <v>0.120036</v>
      </c>
      <c r="P9">
        <v>4.7820939999999998</v>
      </c>
      <c r="Q9">
        <v>1.0121690000000001</v>
      </c>
      <c r="R9">
        <v>0.88507400000000003</v>
      </c>
      <c r="S9">
        <v>4.6838249999999997</v>
      </c>
      <c r="T9">
        <v>3.671656</v>
      </c>
      <c r="U9">
        <v>9.3154889999999995</v>
      </c>
      <c r="V9">
        <v>10.653176999999999</v>
      </c>
      <c r="W9">
        <v>49.297710000000002</v>
      </c>
      <c r="X9">
        <v>0.44178600000000001</v>
      </c>
      <c r="Y9" t="s">
        <v>211</v>
      </c>
      <c r="Z9">
        <v>0</v>
      </c>
      <c r="AA9">
        <v>0</v>
      </c>
      <c r="AB9">
        <v>0</v>
      </c>
      <c r="AC9">
        <v>102.88739</v>
      </c>
      <c r="AD9">
        <v>272.84954800000003</v>
      </c>
      <c r="AE9">
        <v>0.622915</v>
      </c>
      <c r="AF9">
        <v>0.5</v>
      </c>
      <c r="AG9">
        <v>0.8</v>
      </c>
      <c r="AH9">
        <v>456.64761399999998</v>
      </c>
      <c r="AI9">
        <v>21.12</v>
      </c>
      <c r="AJ9">
        <v>18.47</v>
      </c>
      <c r="AK9">
        <v>32.06</v>
      </c>
      <c r="AL9">
        <v>31.66</v>
      </c>
      <c r="AM9">
        <v>95.01</v>
      </c>
      <c r="AN9">
        <v>156.30000000000001</v>
      </c>
      <c r="AO9">
        <v>147.19999999999999</v>
      </c>
      <c r="AP9">
        <v>5.8</v>
      </c>
      <c r="AQ9">
        <v>1833</v>
      </c>
      <c r="AR9">
        <v>3.6829999999999998</v>
      </c>
      <c r="AS9" s="3">
        <v>0.5464930555555555</v>
      </c>
      <c r="AT9" s="1">
        <v>45042</v>
      </c>
      <c r="AU9">
        <v>-0.27</v>
      </c>
      <c r="AV9">
        <v>-2E-3</v>
      </c>
      <c r="AW9">
        <v>0</v>
      </c>
      <c r="AX9">
        <v>-3.0000000000000001E-3</v>
      </c>
      <c r="AY9">
        <v>26.515999999999998</v>
      </c>
      <c r="AZ9">
        <v>-3.6659999999999999</v>
      </c>
      <c r="BA9">
        <v>16.379000000000001</v>
      </c>
      <c r="BB9">
        <v>1</v>
      </c>
      <c r="BC9">
        <v>150</v>
      </c>
      <c r="BD9">
        <v>5.0000000000000001E-3</v>
      </c>
      <c r="BE9">
        <v>2</v>
      </c>
      <c r="BF9">
        <v>0</v>
      </c>
      <c r="BG9" t="s">
        <v>200</v>
      </c>
      <c r="BH9">
        <v>7000</v>
      </c>
      <c r="BI9">
        <v>500</v>
      </c>
      <c r="BJ9">
        <v>5</v>
      </c>
      <c r="BK9">
        <v>2</v>
      </c>
      <c r="BL9">
        <v>300</v>
      </c>
      <c r="BM9">
        <v>300</v>
      </c>
      <c r="BN9">
        <v>300</v>
      </c>
      <c r="BO9">
        <v>240.577347</v>
      </c>
      <c r="BP9">
        <v>25</v>
      </c>
      <c r="BQ9">
        <v>-22.558527000000002</v>
      </c>
      <c r="BR9">
        <v>239.00520299999999</v>
      </c>
      <c r="BS9">
        <v>240.493683</v>
      </c>
      <c r="BT9">
        <v>-1.48848</v>
      </c>
      <c r="BU9">
        <v>2.3783150000000002</v>
      </c>
      <c r="BV9">
        <v>2.4473400000000001</v>
      </c>
      <c r="BW9">
        <v>1.587213</v>
      </c>
      <c r="BX9">
        <v>0.97007500000000002</v>
      </c>
      <c r="BY9">
        <v>0.20621700000000001</v>
      </c>
      <c r="BZ9">
        <v>-5.4229999999999999E-3</v>
      </c>
      <c r="CA9">
        <v>0.21431700000000001</v>
      </c>
      <c r="CB9">
        <v>1.732653</v>
      </c>
      <c r="CC9">
        <v>102.88739</v>
      </c>
      <c r="CD9">
        <v>3.4400000000000001E-4</v>
      </c>
      <c r="CE9">
        <v>2.3486280000000002</v>
      </c>
      <c r="CF9">
        <v>-5.1E-5</v>
      </c>
      <c r="CG9">
        <v>1</v>
      </c>
      <c r="CH9">
        <v>2.4109430000000001</v>
      </c>
      <c r="CI9">
        <v>-5.7000000000000003E-5</v>
      </c>
      <c r="CJ9">
        <v>1</v>
      </c>
      <c r="CK9">
        <v>0.60051900000000002</v>
      </c>
      <c r="CL9">
        <v>0.60216099999999995</v>
      </c>
      <c r="CM9">
        <v>0.107265</v>
      </c>
      <c r="CN9">
        <v>0</v>
      </c>
      <c r="CO9" t="s">
        <v>211</v>
      </c>
      <c r="CP9" t="s">
        <v>201</v>
      </c>
      <c r="CQ9" t="s">
        <v>202</v>
      </c>
      <c r="CR9" t="s">
        <v>203</v>
      </c>
      <c r="CS9" t="s">
        <v>204</v>
      </c>
      <c r="CT9" t="s">
        <v>205</v>
      </c>
      <c r="CU9" t="s">
        <v>206</v>
      </c>
    </row>
    <row r="10" spans="1:99">
      <c r="A10">
        <v>1</v>
      </c>
      <c r="B10" s="3">
        <v>0.56038194444444445</v>
      </c>
      <c r="C10" s="1">
        <v>45042</v>
      </c>
      <c r="D10" t="s">
        <v>196</v>
      </c>
      <c r="E10" t="s">
        <v>197</v>
      </c>
      <c r="G10" s="1">
        <v>45042</v>
      </c>
      <c r="H10">
        <v>1</v>
      </c>
      <c r="I10" t="s">
        <v>212</v>
      </c>
      <c r="J10">
        <v>1</v>
      </c>
      <c r="M10">
        <v>0.20111299999999999</v>
      </c>
      <c r="N10">
        <v>2.9201890000000001</v>
      </c>
      <c r="O10">
        <v>0.18815499999999999</v>
      </c>
      <c r="P10">
        <v>8.1510660000000001</v>
      </c>
      <c r="Q10">
        <v>1.2029510000000001</v>
      </c>
      <c r="R10">
        <v>0.98716300000000001</v>
      </c>
      <c r="S10">
        <v>5.1798820000000001</v>
      </c>
      <c r="T10">
        <v>3.9769299999999999</v>
      </c>
      <c r="U10">
        <v>10.391978</v>
      </c>
      <c r="V10">
        <v>12.663613</v>
      </c>
      <c r="W10">
        <v>54.529232</v>
      </c>
      <c r="X10">
        <v>0.44178600000000001</v>
      </c>
      <c r="Y10" t="s">
        <v>213</v>
      </c>
      <c r="Z10">
        <v>0</v>
      </c>
      <c r="AA10">
        <v>0</v>
      </c>
      <c r="AB10">
        <v>0</v>
      </c>
      <c r="AC10">
        <v>96.143958999999995</v>
      </c>
      <c r="AD10">
        <v>186.88256799999999</v>
      </c>
      <c r="AE10">
        <v>0.48553800000000003</v>
      </c>
      <c r="AF10">
        <v>0.5</v>
      </c>
      <c r="AG10">
        <v>0.8</v>
      </c>
      <c r="AH10">
        <v>406.881012</v>
      </c>
      <c r="AI10">
        <v>24.2</v>
      </c>
      <c r="AJ10">
        <v>19.86</v>
      </c>
      <c r="AK10">
        <v>32.71</v>
      </c>
      <c r="AL10">
        <v>33.450000000000003</v>
      </c>
      <c r="AM10">
        <v>94.99</v>
      </c>
      <c r="AN10">
        <v>156.5</v>
      </c>
      <c r="AO10">
        <v>147.6</v>
      </c>
      <c r="AP10">
        <v>5.7</v>
      </c>
      <c r="AQ10">
        <v>2095</v>
      </c>
      <c r="AR10">
        <v>3.6829999999999998</v>
      </c>
      <c r="AS10" s="3">
        <v>0.55966435185185182</v>
      </c>
      <c r="AT10" s="1">
        <v>45042</v>
      </c>
      <c r="AU10">
        <v>-0.2</v>
      </c>
      <c r="AV10">
        <v>2E-3</v>
      </c>
      <c r="AW10">
        <v>0</v>
      </c>
      <c r="AX10">
        <v>2.1999999999999999E-2</v>
      </c>
      <c r="AY10">
        <v>-3.9020000000000001</v>
      </c>
      <c r="AZ10">
        <v>2.3340000000000001</v>
      </c>
      <c r="BA10">
        <v>-1.464</v>
      </c>
      <c r="BB10">
        <v>1</v>
      </c>
      <c r="BC10">
        <v>150</v>
      </c>
      <c r="BD10">
        <v>5.0000000000000001E-3</v>
      </c>
      <c r="BE10">
        <v>2</v>
      </c>
      <c r="BF10">
        <v>0</v>
      </c>
      <c r="BG10" t="s">
        <v>200</v>
      </c>
      <c r="BH10">
        <v>7000</v>
      </c>
      <c r="BI10">
        <v>500</v>
      </c>
      <c r="BJ10">
        <v>5</v>
      </c>
      <c r="BK10">
        <v>2</v>
      </c>
      <c r="BL10">
        <v>300</v>
      </c>
      <c r="BM10">
        <v>300</v>
      </c>
      <c r="BN10">
        <v>300</v>
      </c>
      <c r="BO10">
        <v>172.522186</v>
      </c>
      <c r="BP10">
        <v>25</v>
      </c>
      <c r="BQ10">
        <v>-9.9225300000000001</v>
      </c>
      <c r="BR10">
        <v>172.852631</v>
      </c>
      <c r="BS10">
        <v>172.65060399999999</v>
      </c>
      <c r="BT10">
        <v>0.20202600000000001</v>
      </c>
      <c r="BU10">
        <v>2.3802949999999998</v>
      </c>
      <c r="BV10">
        <v>2.4518800000000001</v>
      </c>
      <c r="BW10">
        <v>1.5892710000000001</v>
      </c>
      <c r="BX10">
        <v>0.97114</v>
      </c>
      <c r="BY10">
        <v>0.201073</v>
      </c>
      <c r="BZ10">
        <v>9.2110000000000004E-3</v>
      </c>
      <c r="CA10">
        <v>0.11698799999999999</v>
      </c>
      <c r="CB10">
        <v>1.965279</v>
      </c>
      <c r="CC10">
        <v>96.143958999999995</v>
      </c>
      <c r="CD10">
        <v>3.4699999999999998E-4</v>
      </c>
      <c r="CE10">
        <v>2.3486280000000002</v>
      </c>
      <c r="CF10">
        <v>-5.1E-5</v>
      </c>
      <c r="CG10">
        <v>1</v>
      </c>
      <c r="CH10">
        <v>2.4109430000000001</v>
      </c>
      <c r="CI10">
        <v>-5.7000000000000003E-5</v>
      </c>
      <c r="CJ10">
        <v>1</v>
      </c>
      <c r="CK10">
        <v>0.60051900000000002</v>
      </c>
      <c r="CL10">
        <v>0.60216099999999995</v>
      </c>
      <c r="CM10">
        <v>0.107265</v>
      </c>
      <c r="CN10">
        <v>0</v>
      </c>
      <c r="CO10" t="s">
        <v>213</v>
      </c>
      <c r="CP10" t="s">
        <v>201</v>
      </c>
      <c r="CQ10" t="s">
        <v>202</v>
      </c>
      <c r="CR10" t="s">
        <v>203</v>
      </c>
      <c r="CS10" t="s">
        <v>204</v>
      </c>
      <c r="CT10" t="s">
        <v>205</v>
      </c>
      <c r="CU10" t="s">
        <v>206</v>
      </c>
    </row>
    <row r="11" spans="1:99">
      <c r="A11">
        <v>2</v>
      </c>
      <c r="B11" s="3">
        <v>0.5615162037037037</v>
      </c>
      <c r="C11" s="1">
        <v>45042</v>
      </c>
      <c r="D11" t="s">
        <v>196</v>
      </c>
      <c r="E11" t="s">
        <v>197</v>
      </c>
      <c r="G11" s="1">
        <v>45042</v>
      </c>
      <c r="H11">
        <v>2</v>
      </c>
      <c r="I11" t="s">
        <v>212</v>
      </c>
      <c r="J11">
        <v>1</v>
      </c>
      <c r="M11">
        <v>0.10581699999999999</v>
      </c>
      <c r="N11">
        <v>2.9180820000000001</v>
      </c>
      <c r="O11">
        <v>0.102114</v>
      </c>
      <c r="P11">
        <v>3.6244610000000002</v>
      </c>
      <c r="Q11">
        <v>1.054135</v>
      </c>
      <c r="R11">
        <v>0.95785500000000001</v>
      </c>
      <c r="S11">
        <v>4.3307599999999997</v>
      </c>
      <c r="T11">
        <v>3.2766250000000001</v>
      </c>
      <c r="U11">
        <v>10.081970999999999</v>
      </c>
      <c r="V11">
        <v>11.095366</v>
      </c>
      <c r="W11">
        <v>45.583702000000002</v>
      </c>
      <c r="X11">
        <v>0.44178600000000001</v>
      </c>
      <c r="Y11" t="s">
        <v>214</v>
      </c>
      <c r="Z11">
        <v>0</v>
      </c>
      <c r="AA11">
        <v>0</v>
      </c>
      <c r="AB11">
        <v>0</v>
      </c>
      <c r="AC11">
        <v>91.318489</v>
      </c>
      <c r="AD11">
        <v>398.00082400000002</v>
      </c>
      <c r="AE11">
        <v>0.77055700000000005</v>
      </c>
      <c r="AF11">
        <v>0.5</v>
      </c>
      <c r="AG11">
        <v>0.8</v>
      </c>
      <c r="AH11">
        <v>24.897532999999999</v>
      </c>
      <c r="AI11">
        <v>21.05</v>
      </c>
      <c r="AJ11">
        <v>19.13</v>
      </c>
      <c r="AK11">
        <v>32.840000000000003</v>
      </c>
      <c r="AL11">
        <v>30.29</v>
      </c>
      <c r="AM11">
        <v>95.01</v>
      </c>
      <c r="AN11">
        <v>156.30000000000001</v>
      </c>
      <c r="AO11">
        <v>134.30000000000001</v>
      </c>
      <c r="AP11">
        <v>14</v>
      </c>
      <c r="AQ11">
        <v>81</v>
      </c>
      <c r="AR11">
        <v>3.68</v>
      </c>
      <c r="AS11" s="3">
        <v>0.55966435185185182</v>
      </c>
      <c r="AT11" s="1">
        <v>45042</v>
      </c>
      <c r="AU11">
        <v>-0.2</v>
      </c>
      <c r="AV11">
        <v>0</v>
      </c>
      <c r="AW11">
        <v>1E-3</v>
      </c>
      <c r="AX11">
        <v>-9999</v>
      </c>
      <c r="AY11">
        <v>0.17399999999999999</v>
      </c>
      <c r="AZ11">
        <v>0.49099999999999999</v>
      </c>
      <c r="BA11">
        <v>-9999</v>
      </c>
      <c r="BB11">
        <v>1</v>
      </c>
      <c r="BC11">
        <v>150</v>
      </c>
      <c r="BD11">
        <v>5.0000000000000001E-3</v>
      </c>
      <c r="BE11">
        <v>2</v>
      </c>
      <c r="BF11">
        <v>0</v>
      </c>
      <c r="BG11" t="s">
        <v>200</v>
      </c>
      <c r="BH11">
        <v>7000</v>
      </c>
      <c r="BI11">
        <v>500</v>
      </c>
      <c r="BJ11">
        <v>5</v>
      </c>
      <c r="BK11">
        <v>2</v>
      </c>
      <c r="BL11">
        <v>300</v>
      </c>
      <c r="BM11">
        <v>300</v>
      </c>
      <c r="BN11">
        <v>300</v>
      </c>
      <c r="BO11">
        <v>398.00082400000002</v>
      </c>
      <c r="BP11">
        <v>25</v>
      </c>
      <c r="BQ11">
        <v>2.9831850000000002</v>
      </c>
      <c r="BR11">
        <v>410.79068000000001</v>
      </c>
      <c r="BS11">
        <v>402.27963299999999</v>
      </c>
      <c r="BT11">
        <v>8.5110469999999996</v>
      </c>
      <c r="BU11">
        <v>2.3792</v>
      </c>
      <c r="BV11">
        <v>2.4470230000000002</v>
      </c>
      <c r="BW11">
        <v>1.5872329999999999</v>
      </c>
      <c r="BX11">
        <v>0.930535</v>
      </c>
      <c r="BY11">
        <v>0.200017</v>
      </c>
      <c r="BZ11">
        <v>-3.2733999999999999E-2</v>
      </c>
      <c r="CA11">
        <v>0.13122800000000001</v>
      </c>
      <c r="CB11">
        <v>0.17890500000000001</v>
      </c>
      <c r="CC11">
        <v>91.318489</v>
      </c>
      <c r="CD11">
        <v>3.57E-4</v>
      </c>
      <c r="CE11">
        <v>2.3486280000000002</v>
      </c>
      <c r="CF11">
        <v>-5.1E-5</v>
      </c>
      <c r="CG11">
        <v>1</v>
      </c>
      <c r="CH11">
        <v>2.4109430000000001</v>
      </c>
      <c r="CI11">
        <v>-5.7000000000000003E-5</v>
      </c>
      <c r="CJ11">
        <v>1</v>
      </c>
      <c r="CK11">
        <v>0.60051900000000002</v>
      </c>
      <c r="CL11">
        <v>0.60216099999999995</v>
      </c>
      <c r="CM11">
        <v>0.107265</v>
      </c>
      <c r="CN11">
        <v>0</v>
      </c>
      <c r="CO11" t="s">
        <v>214</v>
      </c>
      <c r="CP11" t="s">
        <v>201</v>
      </c>
      <c r="CQ11" t="s">
        <v>202</v>
      </c>
      <c r="CR11" t="s">
        <v>203</v>
      </c>
      <c r="CS11" t="s">
        <v>204</v>
      </c>
      <c r="CT11" t="s">
        <v>205</v>
      </c>
      <c r="CU11" t="s">
        <v>206</v>
      </c>
    </row>
    <row r="12" spans="1:99">
      <c r="A12">
        <v>3</v>
      </c>
      <c r="B12" s="3">
        <v>0.56186342592592597</v>
      </c>
      <c r="C12" s="1">
        <v>45042</v>
      </c>
      <c r="D12" t="s">
        <v>196</v>
      </c>
      <c r="E12" t="s">
        <v>197</v>
      </c>
      <c r="G12" s="1">
        <v>45042</v>
      </c>
      <c r="H12">
        <v>3</v>
      </c>
      <c r="I12" t="s">
        <v>212</v>
      </c>
      <c r="J12">
        <v>1</v>
      </c>
      <c r="M12">
        <v>6.2575000000000006E-2</v>
      </c>
      <c r="N12">
        <v>2.919025</v>
      </c>
      <c r="O12">
        <v>6.1261999999999997E-2</v>
      </c>
      <c r="P12">
        <v>2.4079519999999999</v>
      </c>
      <c r="Q12">
        <v>1.0021</v>
      </c>
      <c r="R12">
        <v>0.93814600000000004</v>
      </c>
      <c r="S12">
        <v>4.6259439999999996</v>
      </c>
      <c r="T12">
        <v>3.6238440000000001</v>
      </c>
      <c r="U12">
        <v>9.8742040000000006</v>
      </c>
      <c r="V12">
        <v>10.547337000000001</v>
      </c>
      <c r="W12">
        <v>48.689143999999999</v>
      </c>
      <c r="X12">
        <v>0.44178600000000001</v>
      </c>
      <c r="Y12" t="s">
        <v>215</v>
      </c>
      <c r="Z12">
        <v>0</v>
      </c>
      <c r="AA12">
        <v>0</v>
      </c>
      <c r="AB12">
        <v>0</v>
      </c>
      <c r="AC12">
        <v>95.610382000000001</v>
      </c>
      <c r="AD12">
        <v>403.58575400000001</v>
      </c>
      <c r="AE12">
        <v>0.76309800000000005</v>
      </c>
      <c r="AF12">
        <v>0.5</v>
      </c>
      <c r="AG12">
        <v>0.8</v>
      </c>
      <c r="AH12">
        <v>26.229177</v>
      </c>
      <c r="AI12">
        <v>20.010000000000002</v>
      </c>
      <c r="AJ12">
        <v>18.73</v>
      </c>
      <c r="AK12">
        <v>32.840000000000003</v>
      </c>
      <c r="AL12">
        <v>31.44</v>
      </c>
      <c r="AM12">
        <v>95.01</v>
      </c>
      <c r="AN12">
        <v>156.4</v>
      </c>
      <c r="AO12">
        <v>129.6</v>
      </c>
      <c r="AP12">
        <v>17.100000000000001</v>
      </c>
      <c r="AQ12">
        <v>86</v>
      </c>
      <c r="AR12">
        <v>3.64</v>
      </c>
      <c r="AS12" s="3">
        <v>0.55966435185185182</v>
      </c>
      <c r="AT12" s="1">
        <v>45042</v>
      </c>
      <c r="AU12">
        <v>-0.2</v>
      </c>
      <c r="AV12">
        <v>-1E-3</v>
      </c>
      <c r="AW12">
        <v>-1E-3</v>
      </c>
      <c r="AX12">
        <v>-9999</v>
      </c>
      <c r="AY12">
        <v>0.28499999999999998</v>
      </c>
      <c r="AZ12">
        <v>0.872</v>
      </c>
      <c r="BA12">
        <v>-9999</v>
      </c>
      <c r="BB12">
        <v>1</v>
      </c>
      <c r="BC12">
        <v>150</v>
      </c>
      <c r="BD12">
        <v>5.0000000000000001E-3</v>
      </c>
      <c r="BE12">
        <v>2</v>
      </c>
      <c r="BF12">
        <v>0</v>
      </c>
      <c r="BG12" t="s">
        <v>200</v>
      </c>
      <c r="BH12">
        <v>7000</v>
      </c>
      <c r="BI12">
        <v>500</v>
      </c>
      <c r="BJ12">
        <v>5</v>
      </c>
      <c r="BK12">
        <v>2</v>
      </c>
      <c r="BL12">
        <v>300</v>
      </c>
      <c r="BM12">
        <v>300</v>
      </c>
      <c r="BN12">
        <v>300</v>
      </c>
      <c r="BO12">
        <v>398.51403800000003</v>
      </c>
      <c r="BP12">
        <v>25</v>
      </c>
      <c r="BQ12">
        <v>-2.776824</v>
      </c>
      <c r="BR12">
        <v>407.35531600000002</v>
      </c>
      <c r="BS12">
        <v>399.602936</v>
      </c>
      <c r="BT12">
        <v>7.7523799999999996</v>
      </c>
      <c r="BU12">
        <v>2.378622</v>
      </c>
      <c r="BV12">
        <v>2.4454030000000002</v>
      </c>
      <c r="BW12">
        <v>1.5881449999999999</v>
      </c>
      <c r="BX12">
        <v>0.91635299999999997</v>
      </c>
      <c r="BY12">
        <v>0.20002400000000001</v>
      </c>
      <c r="BZ12">
        <v>-1.8179000000000001E-2</v>
      </c>
      <c r="CA12">
        <v>0.13525699999999999</v>
      </c>
      <c r="CB12">
        <v>0.183475</v>
      </c>
      <c r="CC12">
        <v>95.610382000000001</v>
      </c>
      <c r="CD12">
        <v>3.5199999999999999E-4</v>
      </c>
      <c r="CE12">
        <v>2.3486280000000002</v>
      </c>
      <c r="CF12">
        <v>-5.1E-5</v>
      </c>
      <c r="CG12">
        <v>1</v>
      </c>
      <c r="CH12">
        <v>2.4109430000000001</v>
      </c>
      <c r="CI12">
        <v>-5.7000000000000003E-5</v>
      </c>
      <c r="CJ12">
        <v>1</v>
      </c>
      <c r="CK12">
        <v>0.60051900000000002</v>
      </c>
      <c r="CL12">
        <v>0.60216099999999995</v>
      </c>
      <c r="CM12">
        <v>0.107265</v>
      </c>
      <c r="CN12">
        <v>0</v>
      </c>
      <c r="CO12" t="s">
        <v>215</v>
      </c>
      <c r="CP12" t="s">
        <v>201</v>
      </c>
      <c r="CQ12" t="s">
        <v>202</v>
      </c>
      <c r="CR12" t="s">
        <v>203</v>
      </c>
      <c r="CS12" t="s">
        <v>204</v>
      </c>
      <c r="CT12" t="s">
        <v>205</v>
      </c>
      <c r="CU12" t="s">
        <v>206</v>
      </c>
    </row>
    <row r="13" spans="1:99">
      <c r="A13">
        <v>4</v>
      </c>
      <c r="B13" s="3">
        <v>0.56231481481481482</v>
      </c>
      <c r="C13" s="1">
        <v>45042</v>
      </c>
      <c r="D13" t="s">
        <v>196</v>
      </c>
      <c r="E13" t="s">
        <v>197</v>
      </c>
      <c r="G13" s="1">
        <v>45042</v>
      </c>
      <c r="H13">
        <v>4</v>
      </c>
      <c r="I13" t="s">
        <v>212</v>
      </c>
      <c r="J13">
        <v>1</v>
      </c>
      <c r="M13">
        <v>0.15940799999999999</v>
      </c>
      <c r="N13">
        <v>2.9196800000000001</v>
      </c>
      <c r="O13">
        <v>0.15115500000000001</v>
      </c>
      <c r="P13">
        <v>6.9179459999999997</v>
      </c>
      <c r="Q13">
        <v>1.1032949999999999</v>
      </c>
      <c r="R13">
        <v>0.91984600000000005</v>
      </c>
      <c r="S13">
        <v>5.3050639999999998</v>
      </c>
      <c r="T13">
        <v>4.2017699999999998</v>
      </c>
      <c r="U13">
        <v>9.6813880000000001</v>
      </c>
      <c r="V13">
        <v>11.612190999999999</v>
      </c>
      <c r="W13">
        <v>55.835875999999999</v>
      </c>
      <c r="X13">
        <v>0.44178600000000001</v>
      </c>
      <c r="Y13" t="s">
        <v>216</v>
      </c>
      <c r="Z13">
        <v>0</v>
      </c>
      <c r="AA13">
        <v>0</v>
      </c>
      <c r="AB13">
        <v>0</v>
      </c>
      <c r="AC13">
        <v>136.48689300000001</v>
      </c>
      <c r="AD13">
        <v>209.388779</v>
      </c>
      <c r="AE13">
        <v>0.348165</v>
      </c>
      <c r="AF13">
        <v>0.5</v>
      </c>
      <c r="AG13">
        <v>0.8</v>
      </c>
      <c r="AH13">
        <v>261.39801</v>
      </c>
      <c r="AI13">
        <v>22.02</v>
      </c>
      <c r="AJ13">
        <v>18.36</v>
      </c>
      <c r="AK13">
        <v>32.85</v>
      </c>
      <c r="AL13">
        <v>33.869999999999997</v>
      </c>
      <c r="AM13">
        <v>95.01</v>
      </c>
      <c r="AN13">
        <v>156.5</v>
      </c>
      <c r="AO13">
        <v>139.19999999999999</v>
      </c>
      <c r="AP13">
        <v>11</v>
      </c>
      <c r="AQ13">
        <v>1877</v>
      </c>
      <c r="AR13">
        <v>3.6760000000000002</v>
      </c>
      <c r="AS13" s="3">
        <v>0.55966435185185182</v>
      </c>
      <c r="AT13" s="1">
        <v>45042</v>
      </c>
      <c r="AU13">
        <v>-0.2</v>
      </c>
      <c r="AV13">
        <v>0</v>
      </c>
      <c r="AW13">
        <v>2E-3</v>
      </c>
      <c r="AX13">
        <v>-9999</v>
      </c>
      <c r="AY13">
        <v>-3.3119999999999998</v>
      </c>
      <c r="AZ13">
        <v>-2.2589999999999999</v>
      </c>
      <c r="BA13">
        <v>-9999</v>
      </c>
      <c r="BB13">
        <v>1</v>
      </c>
      <c r="BC13">
        <v>150</v>
      </c>
      <c r="BD13">
        <v>5.0000000000000001E-3</v>
      </c>
      <c r="BE13">
        <v>2</v>
      </c>
      <c r="BF13">
        <v>0</v>
      </c>
      <c r="BG13" t="s">
        <v>200</v>
      </c>
      <c r="BH13">
        <v>7000</v>
      </c>
      <c r="BI13">
        <v>500</v>
      </c>
      <c r="BJ13">
        <v>5</v>
      </c>
      <c r="BK13">
        <v>2</v>
      </c>
      <c r="BL13">
        <v>300</v>
      </c>
      <c r="BM13">
        <v>300</v>
      </c>
      <c r="BN13">
        <v>300</v>
      </c>
      <c r="BO13">
        <v>193.01139800000001</v>
      </c>
      <c r="BP13">
        <v>25</v>
      </c>
      <c r="BQ13">
        <v>-12.524671</v>
      </c>
      <c r="BR13">
        <v>189.278839</v>
      </c>
      <c r="BS13">
        <v>191.42454499999999</v>
      </c>
      <c r="BT13">
        <v>-2.1457060000000001</v>
      </c>
      <c r="BU13">
        <v>2.3780610000000002</v>
      </c>
      <c r="BV13">
        <v>2.4485209999999999</v>
      </c>
      <c r="BW13">
        <v>1.588778</v>
      </c>
      <c r="BX13">
        <v>0.94538699999999998</v>
      </c>
      <c r="BY13">
        <v>0.199934</v>
      </c>
      <c r="BZ13">
        <v>1.2883E-2</v>
      </c>
      <c r="CA13">
        <v>0.140406</v>
      </c>
      <c r="CB13">
        <v>1.7719100000000001</v>
      </c>
      <c r="CC13">
        <v>136.48689300000001</v>
      </c>
      <c r="CD13">
        <v>3.4499999999999998E-4</v>
      </c>
      <c r="CE13">
        <v>2.3486280000000002</v>
      </c>
      <c r="CF13">
        <v>-5.1E-5</v>
      </c>
      <c r="CG13">
        <v>1</v>
      </c>
      <c r="CH13">
        <v>2.4109430000000001</v>
      </c>
      <c r="CI13">
        <v>-5.7000000000000003E-5</v>
      </c>
      <c r="CJ13">
        <v>1</v>
      </c>
      <c r="CK13">
        <v>0.60051900000000002</v>
      </c>
      <c r="CL13">
        <v>0.60216099999999995</v>
      </c>
      <c r="CM13">
        <v>0.107265</v>
      </c>
      <c r="CN13">
        <v>0</v>
      </c>
      <c r="CO13" t="s">
        <v>216</v>
      </c>
      <c r="CP13" t="s">
        <v>201</v>
      </c>
      <c r="CQ13" t="s">
        <v>202</v>
      </c>
      <c r="CR13" t="s">
        <v>203</v>
      </c>
      <c r="CS13" t="s">
        <v>204</v>
      </c>
      <c r="CT13" t="s">
        <v>205</v>
      </c>
      <c r="CU13" t="s">
        <v>206</v>
      </c>
    </row>
    <row r="14" spans="1:99">
      <c r="A14">
        <v>5</v>
      </c>
      <c r="B14" s="3">
        <v>0.56381944444444443</v>
      </c>
      <c r="C14" s="1">
        <v>45042</v>
      </c>
      <c r="D14" t="s">
        <v>196</v>
      </c>
      <c r="E14" t="s">
        <v>197</v>
      </c>
      <c r="G14" s="1">
        <v>45042</v>
      </c>
      <c r="H14">
        <v>5</v>
      </c>
      <c r="I14" t="s">
        <v>212</v>
      </c>
      <c r="J14">
        <v>1</v>
      </c>
      <c r="M14">
        <v>9.6672999999999995E-2</v>
      </c>
      <c r="N14">
        <v>2.9189020000000001</v>
      </c>
      <c r="O14">
        <v>9.3574000000000004E-2</v>
      </c>
      <c r="P14">
        <v>5.2963870000000002</v>
      </c>
      <c r="Q14">
        <v>1.1235980000000001</v>
      </c>
      <c r="R14">
        <v>0.98310600000000004</v>
      </c>
      <c r="S14">
        <v>6.2910300000000001</v>
      </c>
      <c r="T14">
        <v>5.1674319999999998</v>
      </c>
      <c r="U14">
        <v>10.348132</v>
      </c>
      <c r="V14">
        <v>11.826943</v>
      </c>
      <c r="W14">
        <v>66.219109000000003</v>
      </c>
      <c r="X14">
        <v>0.44178600000000001</v>
      </c>
      <c r="Y14" t="s">
        <v>217</v>
      </c>
      <c r="Z14">
        <v>0</v>
      </c>
      <c r="AA14">
        <v>0</v>
      </c>
      <c r="AB14">
        <v>0</v>
      </c>
      <c r="AC14">
        <v>88.902709999999999</v>
      </c>
      <c r="AD14">
        <v>109.62545799999999</v>
      </c>
      <c r="AE14">
        <v>0.18903200000000001</v>
      </c>
      <c r="AF14">
        <v>0.5</v>
      </c>
      <c r="AG14">
        <v>0.8</v>
      </c>
      <c r="AH14">
        <v>148.52264400000001</v>
      </c>
      <c r="AI14">
        <v>22.2</v>
      </c>
      <c r="AJ14">
        <v>19.43</v>
      </c>
      <c r="AK14">
        <v>33.03</v>
      </c>
      <c r="AL14">
        <v>36.96</v>
      </c>
      <c r="AM14">
        <v>95</v>
      </c>
      <c r="AN14">
        <v>156.4</v>
      </c>
      <c r="AO14">
        <v>137.5</v>
      </c>
      <c r="AP14">
        <v>12</v>
      </c>
      <c r="AQ14">
        <v>1964</v>
      </c>
      <c r="AR14">
        <v>3.673</v>
      </c>
      <c r="AS14" s="3">
        <v>0.55966435185185182</v>
      </c>
      <c r="AT14" s="1">
        <v>45042</v>
      </c>
      <c r="AU14">
        <v>-0.2</v>
      </c>
      <c r="AV14">
        <v>0</v>
      </c>
      <c r="AW14">
        <v>-1E-3</v>
      </c>
      <c r="AX14">
        <v>-9999</v>
      </c>
      <c r="AY14">
        <v>-0.55100000000000005</v>
      </c>
      <c r="AZ14">
        <v>-1.6439999999999999</v>
      </c>
      <c r="BA14">
        <v>-9999</v>
      </c>
      <c r="BB14">
        <v>1</v>
      </c>
      <c r="BC14">
        <v>150</v>
      </c>
      <c r="BD14">
        <v>5.0000000000000001E-3</v>
      </c>
      <c r="BE14">
        <v>2</v>
      </c>
      <c r="BF14">
        <v>0</v>
      </c>
      <c r="BG14" t="s">
        <v>200</v>
      </c>
      <c r="BH14">
        <v>7000</v>
      </c>
      <c r="BI14">
        <v>500</v>
      </c>
      <c r="BJ14">
        <v>5</v>
      </c>
      <c r="BK14">
        <v>2</v>
      </c>
      <c r="BL14">
        <v>300</v>
      </c>
      <c r="BM14">
        <v>300</v>
      </c>
      <c r="BN14">
        <v>300</v>
      </c>
      <c r="BO14">
        <v>109.62545799999999</v>
      </c>
      <c r="BP14">
        <v>25</v>
      </c>
      <c r="BQ14">
        <v>0.209981</v>
      </c>
      <c r="BR14">
        <v>112.29014599999999</v>
      </c>
      <c r="BS14">
        <v>109.926636</v>
      </c>
      <c r="BT14">
        <v>2.3635100000000002</v>
      </c>
      <c r="BU14">
        <v>2.3796219999999999</v>
      </c>
      <c r="BV14">
        <v>2.4487839999999998</v>
      </c>
      <c r="BW14">
        <v>1.588025</v>
      </c>
      <c r="BX14">
        <v>0.94023199999999996</v>
      </c>
      <c r="BY14">
        <v>0.198577</v>
      </c>
      <c r="BZ14">
        <v>5.1500999999999998E-2</v>
      </c>
      <c r="CA14">
        <v>0.15746199999999999</v>
      </c>
      <c r="CB14">
        <v>1.8493189999999999</v>
      </c>
      <c r="CC14">
        <v>88.902709999999999</v>
      </c>
      <c r="CD14">
        <v>3.4600000000000001E-4</v>
      </c>
      <c r="CE14">
        <v>2.3486280000000002</v>
      </c>
      <c r="CF14">
        <v>-5.1E-5</v>
      </c>
      <c r="CG14">
        <v>1</v>
      </c>
      <c r="CH14">
        <v>2.4109430000000001</v>
      </c>
      <c r="CI14">
        <v>-5.7000000000000003E-5</v>
      </c>
      <c r="CJ14">
        <v>1</v>
      </c>
      <c r="CK14">
        <v>0.60051900000000002</v>
      </c>
      <c r="CL14">
        <v>0.60216099999999995</v>
      </c>
      <c r="CM14">
        <v>0.107265</v>
      </c>
      <c r="CN14">
        <v>0</v>
      </c>
      <c r="CO14" t="s">
        <v>217</v>
      </c>
      <c r="CP14" t="s">
        <v>201</v>
      </c>
      <c r="CQ14" t="s">
        <v>202</v>
      </c>
      <c r="CR14" t="s">
        <v>203</v>
      </c>
      <c r="CS14" t="s">
        <v>204</v>
      </c>
      <c r="CT14" t="s">
        <v>205</v>
      </c>
      <c r="CU14" t="s">
        <v>206</v>
      </c>
    </row>
    <row r="15" spans="1:99">
      <c r="A15">
        <v>6</v>
      </c>
      <c r="B15" s="3">
        <v>0.56581018518518522</v>
      </c>
      <c r="C15" s="1">
        <v>45042</v>
      </c>
      <c r="D15" t="s">
        <v>196</v>
      </c>
      <c r="E15" t="s">
        <v>197</v>
      </c>
      <c r="G15" s="1">
        <v>45042</v>
      </c>
      <c r="H15">
        <v>6</v>
      </c>
      <c r="I15" t="s">
        <v>212</v>
      </c>
      <c r="J15">
        <v>1</v>
      </c>
      <c r="M15">
        <v>0.124305</v>
      </c>
      <c r="N15">
        <v>2.9194490000000002</v>
      </c>
      <c r="O15">
        <v>0.119228</v>
      </c>
      <c r="P15">
        <v>6.2147040000000002</v>
      </c>
      <c r="Q15">
        <v>1.055582</v>
      </c>
      <c r="R15">
        <v>0.89066299999999998</v>
      </c>
      <c r="S15">
        <v>5.8287259999999996</v>
      </c>
      <c r="T15">
        <v>4.7731450000000004</v>
      </c>
      <c r="U15">
        <v>9.3739939999999997</v>
      </c>
      <c r="V15">
        <v>11.109719999999999</v>
      </c>
      <c r="W15">
        <v>61.345813999999997</v>
      </c>
      <c r="X15">
        <v>0.44178600000000001</v>
      </c>
      <c r="Y15" t="s">
        <v>218</v>
      </c>
      <c r="Z15">
        <v>0</v>
      </c>
      <c r="AA15">
        <v>0</v>
      </c>
      <c r="AB15">
        <v>0</v>
      </c>
      <c r="AC15">
        <v>116.226555</v>
      </c>
      <c r="AD15">
        <v>152.35162399999999</v>
      </c>
      <c r="AE15">
        <v>0.23711599999999999</v>
      </c>
      <c r="AF15">
        <v>0.5</v>
      </c>
      <c r="AG15">
        <v>0.8</v>
      </c>
      <c r="AH15">
        <v>198.53440900000001</v>
      </c>
      <c r="AI15">
        <v>20.58</v>
      </c>
      <c r="AJ15">
        <v>17.37</v>
      </c>
      <c r="AK15">
        <v>33.270000000000003</v>
      </c>
      <c r="AL15">
        <v>35.57</v>
      </c>
      <c r="AM15">
        <v>95.01</v>
      </c>
      <c r="AN15">
        <v>156.4</v>
      </c>
      <c r="AO15">
        <v>147.5</v>
      </c>
      <c r="AP15">
        <v>5.7</v>
      </c>
      <c r="AQ15">
        <v>2093</v>
      </c>
      <c r="AR15">
        <v>3.669</v>
      </c>
      <c r="AS15" s="3">
        <v>0.55966435185185182</v>
      </c>
      <c r="AT15" s="1">
        <v>45042</v>
      </c>
      <c r="AU15">
        <v>-0.2</v>
      </c>
      <c r="AV15">
        <v>0</v>
      </c>
      <c r="AW15">
        <v>0</v>
      </c>
      <c r="AX15">
        <v>-9999</v>
      </c>
      <c r="AY15">
        <v>-0.46100000000000002</v>
      </c>
      <c r="AZ15">
        <v>-0.92100000000000004</v>
      </c>
      <c r="BA15">
        <v>-9999</v>
      </c>
      <c r="BB15">
        <v>1</v>
      </c>
      <c r="BC15">
        <v>150</v>
      </c>
      <c r="BD15">
        <v>5.0000000000000001E-3</v>
      </c>
      <c r="BE15">
        <v>2</v>
      </c>
      <c r="BF15">
        <v>0</v>
      </c>
      <c r="BG15" t="s">
        <v>200</v>
      </c>
      <c r="BH15">
        <v>7000</v>
      </c>
      <c r="BI15">
        <v>500</v>
      </c>
      <c r="BJ15">
        <v>5</v>
      </c>
      <c r="BK15">
        <v>2</v>
      </c>
      <c r="BL15">
        <v>300</v>
      </c>
      <c r="BM15">
        <v>300</v>
      </c>
      <c r="BN15">
        <v>300</v>
      </c>
      <c r="BO15">
        <v>147.056229</v>
      </c>
      <c r="BP15">
        <v>25</v>
      </c>
      <c r="BQ15">
        <v>-3.6203699999999999</v>
      </c>
      <c r="BR15">
        <v>147.36019899999999</v>
      </c>
      <c r="BS15">
        <v>147.158905</v>
      </c>
      <c r="BT15">
        <v>0.201294</v>
      </c>
      <c r="BU15">
        <v>2.376538</v>
      </c>
      <c r="BV15">
        <v>2.4462380000000001</v>
      </c>
      <c r="BW15">
        <v>1.588554</v>
      </c>
      <c r="BX15">
        <v>0.97099100000000005</v>
      </c>
      <c r="BY15">
        <v>0.196719</v>
      </c>
      <c r="BZ15">
        <v>2.9789E-2</v>
      </c>
      <c r="CA15">
        <v>0.17751600000000001</v>
      </c>
      <c r="CB15">
        <v>1.963697</v>
      </c>
      <c r="CC15">
        <v>116.226555</v>
      </c>
      <c r="CD15">
        <v>3.48E-4</v>
      </c>
      <c r="CE15">
        <v>2.3486280000000002</v>
      </c>
      <c r="CF15">
        <v>-5.1E-5</v>
      </c>
      <c r="CG15">
        <v>1</v>
      </c>
      <c r="CH15">
        <v>2.4109430000000001</v>
      </c>
      <c r="CI15">
        <v>-5.7000000000000003E-5</v>
      </c>
      <c r="CJ15">
        <v>1</v>
      </c>
      <c r="CK15">
        <v>0.60051900000000002</v>
      </c>
      <c r="CL15">
        <v>0.60216099999999995</v>
      </c>
      <c r="CM15">
        <v>0.107265</v>
      </c>
      <c r="CN15">
        <v>0</v>
      </c>
      <c r="CO15" t="s">
        <v>218</v>
      </c>
      <c r="CP15" t="s">
        <v>201</v>
      </c>
      <c r="CQ15" t="s">
        <v>202</v>
      </c>
      <c r="CR15" t="s">
        <v>203</v>
      </c>
      <c r="CS15" t="s">
        <v>204</v>
      </c>
      <c r="CT15" t="s">
        <v>205</v>
      </c>
      <c r="CU15" t="s">
        <v>206</v>
      </c>
    </row>
    <row r="16" spans="1:99">
      <c r="A16">
        <v>1</v>
      </c>
      <c r="B16" s="3">
        <v>0.56914351851851852</v>
      </c>
      <c r="C16" s="1">
        <v>45042</v>
      </c>
      <c r="D16" t="s">
        <v>196</v>
      </c>
      <c r="E16" t="s">
        <v>197</v>
      </c>
      <c r="G16" s="1">
        <v>45042</v>
      </c>
      <c r="H16">
        <v>1</v>
      </c>
      <c r="I16" s="4" t="s">
        <v>198</v>
      </c>
      <c r="J16" s="4">
        <v>2</v>
      </c>
      <c r="M16">
        <v>6.0845999999999997E-2</v>
      </c>
      <c r="N16">
        <v>2.9192819999999999</v>
      </c>
      <c r="O16">
        <v>5.9603999999999997E-2</v>
      </c>
      <c r="P16">
        <v>3.0831360000000001</v>
      </c>
      <c r="Q16">
        <v>1.000097</v>
      </c>
      <c r="R16">
        <v>0.91822199999999998</v>
      </c>
      <c r="S16">
        <v>5.7404840000000004</v>
      </c>
      <c r="T16">
        <v>4.7403870000000001</v>
      </c>
      <c r="U16">
        <v>9.6641999999999992</v>
      </c>
      <c r="V16">
        <v>10.525922</v>
      </c>
      <c r="W16">
        <v>60.418044999999999</v>
      </c>
      <c r="X16">
        <v>0.44178600000000001</v>
      </c>
      <c r="Y16" t="s">
        <v>219</v>
      </c>
      <c r="Z16">
        <v>0</v>
      </c>
      <c r="AA16">
        <v>0</v>
      </c>
      <c r="AB16">
        <v>0</v>
      </c>
      <c r="AC16">
        <v>109.03501900000001</v>
      </c>
      <c r="AD16">
        <v>174.03623999999999</v>
      </c>
      <c r="AE16">
        <v>0.37349199999999999</v>
      </c>
      <c r="AF16">
        <v>0.5</v>
      </c>
      <c r="AG16">
        <v>0.8</v>
      </c>
      <c r="AH16">
        <v>69.089149000000006</v>
      </c>
      <c r="AI16">
        <v>19.260000000000002</v>
      </c>
      <c r="AJ16">
        <v>17.68</v>
      </c>
      <c r="AK16">
        <v>33.49</v>
      </c>
      <c r="AL16">
        <v>35.29</v>
      </c>
      <c r="AM16">
        <v>95.01</v>
      </c>
      <c r="AN16">
        <v>156.4</v>
      </c>
      <c r="AO16">
        <v>125.4</v>
      </c>
      <c r="AP16">
        <v>19.8</v>
      </c>
      <c r="AQ16">
        <v>462</v>
      </c>
      <c r="AR16">
        <v>3.67</v>
      </c>
      <c r="AS16" s="3">
        <v>0.56892361111111112</v>
      </c>
      <c r="AT16" s="1">
        <v>45042</v>
      </c>
      <c r="AU16">
        <v>-0.26</v>
      </c>
      <c r="AV16">
        <v>0</v>
      </c>
      <c r="AW16">
        <v>-1E-3</v>
      </c>
      <c r="AX16">
        <v>-3.0000000000000001E-3</v>
      </c>
      <c r="AY16">
        <v>-2.1819999999999999</v>
      </c>
      <c r="AZ16">
        <v>-1.554</v>
      </c>
      <c r="BA16">
        <v>14.058999999999999</v>
      </c>
      <c r="BB16">
        <v>1</v>
      </c>
      <c r="BC16">
        <v>150</v>
      </c>
      <c r="BD16">
        <v>5.0000000000000001E-3</v>
      </c>
      <c r="BE16">
        <v>2</v>
      </c>
      <c r="BF16">
        <v>0</v>
      </c>
      <c r="BG16" t="s">
        <v>200</v>
      </c>
      <c r="BH16">
        <v>7000</v>
      </c>
      <c r="BI16">
        <v>500</v>
      </c>
      <c r="BJ16">
        <v>5</v>
      </c>
      <c r="BK16">
        <v>2</v>
      </c>
      <c r="BL16">
        <v>300</v>
      </c>
      <c r="BM16">
        <v>300</v>
      </c>
      <c r="BN16">
        <v>300</v>
      </c>
      <c r="BO16">
        <v>162.849075</v>
      </c>
      <c r="BP16">
        <v>25</v>
      </c>
      <c r="BQ16">
        <v>-7.6697550000000003</v>
      </c>
      <c r="BR16">
        <v>162.67955000000001</v>
      </c>
      <c r="BS16">
        <v>163.03544600000001</v>
      </c>
      <c r="BT16">
        <v>-0.35589599999999999</v>
      </c>
      <c r="BU16">
        <v>2.3769870000000002</v>
      </c>
      <c r="BV16">
        <v>2.444226</v>
      </c>
      <c r="BW16">
        <v>1.5883929999999999</v>
      </c>
      <c r="BX16">
        <v>0.90395700000000001</v>
      </c>
      <c r="BY16">
        <v>0.195024</v>
      </c>
      <c r="BZ16">
        <v>2.3255999999999999E-2</v>
      </c>
      <c r="CA16">
        <v>0.15670300000000001</v>
      </c>
      <c r="CB16">
        <v>0.51740600000000003</v>
      </c>
      <c r="CC16">
        <v>109.03501900000001</v>
      </c>
      <c r="CD16">
        <v>3.4699999999999998E-4</v>
      </c>
      <c r="CE16">
        <v>2.3486280000000002</v>
      </c>
      <c r="CF16">
        <v>-5.1E-5</v>
      </c>
      <c r="CG16">
        <v>1</v>
      </c>
      <c r="CH16">
        <v>2.4109430000000001</v>
      </c>
      <c r="CI16">
        <v>-5.7000000000000003E-5</v>
      </c>
      <c r="CJ16">
        <v>1</v>
      </c>
      <c r="CK16">
        <v>0.60051900000000002</v>
      </c>
      <c r="CL16">
        <v>0.60216099999999995</v>
      </c>
      <c r="CM16">
        <v>0.107265</v>
      </c>
      <c r="CN16">
        <v>0</v>
      </c>
      <c r="CO16" t="s">
        <v>219</v>
      </c>
      <c r="CP16" t="s">
        <v>201</v>
      </c>
      <c r="CQ16" t="s">
        <v>202</v>
      </c>
      <c r="CR16" t="s">
        <v>203</v>
      </c>
      <c r="CS16" t="s">
        <v>204</v>
      </c>
      <c r="CT16" t="s">
        <v>205</v>
      </c>
      <c r="CU16" t="s">
        <v>206</v>
      </c>
    </row>
    <row r="17" spans="1:99">
      <c r="A17">
        <v>2</v>
      </c>
      <c r="B17" s="3">
        <v>0.56953703703703706</v>
      </c>
      <c r="C17" s="1">
        <v>45042</v>
      </c>
      <c r="D17" t="s">
        <v>196</v>
      </c>
      <c r="E17" t="s">
        <v>197</v>
      </c>
      <c r="G17" s="1">
        <v>45042</v>
      </c>
      <c r="H17">
        <v>2</v>
      </c>
      <c r="I17" s="4" t="s">
        <v>198</v>
      </c>
      <c r="J17" s="4">
        <v>2</v>
      </c>
      <c r="M17">
        <v>7.2316000000000005E-2</v>
      </c>
      <c r="N17">
        <v>2.919527</v>
      </c>
      <c r="O17">
        <v>7.0568000000000006E-2</v>
      </c>
      <c r="P17">
        <v>3.7971590000000002</v>
      </c>
      <c r="Q17">
        <v>1.122663</v>
      </c>
      <c r="R17">
        <v>1.02197</v>
      </c>
      <c r="S17">
        <v>6.0427999999999997</v>
      </c>
      <c r="T17">
        <v>4.9201370000000004</v>
      </c>
      <c r="U17">
        <v>10.755253</v>
      </c>
      <c r="V17">
        <v>11.814954</v>
      </c>
      <c r="W17">
        <v>63.594700000000003</v>
      </c>
      <c r="X17">
        <v>0.44178600000000001</v>
      </c>
      <c r="Y17" t="s">
        <v>220</v>
      </c>
      <c r="Z17">
        <v>0</v>
      </c>
      <c r="AA17">
        <v>0</v>
      </c>
      <c r="AB17">
        <v>0</v>
      </c>
      <c r="AC17">
        <v>125.529167</v>
      </c>
      <c r="AD17">
        <v>167.632599</v>
      </c>
      <c r="AE17">
        <v>0.25116500000000003</v>
      </c>
      <c r="AF17">
        <v>0.5</v>
      </c>
      <c r="AG17">
        <v>0.8</v>
      </c>
      <c r="AH17">
        <v>203.237762</v>
      </c>
      <c r="AI17">
        <v>21.55</v>
      </c>
      <c r="AJ17">
        <v>19.62</v>
      </c>
      <c r="AK17">
        <v>33.549999999999997</v>
      </c>
      <c r="AL17">
        <v>36.22</v>
      </c>
      <c r="AM17">
        <v>95.02</v>
      </c>
      <c r="AN17">
        <v>156.4</v>
      </c>
      <c r="AO17">
        <v>138.30000000000001</v>
      </c>
      <c r="AP17">
        <v>11.6</v>
      </c>
      <c r="AQ17">
        <v>2023</v>
      </c>
      <c r="AR17">
        <v>3.669</v>
      </c>
      <c r="AS17" s="3">
        <v>0.56892361111111112</v>
      </c>
      <c r="AT17" s="1">
        <v>45042</v>
      </c>
      <c r="AU17">
        <v>-0.26</v>
      </c>
      <c r="AV17">
        <v>-2E-3</v>
      </c>
      <c r="AW17">
        <v>-2E-3</v>
      </c>
      <c r="AX17">
        <v>-1E-3</v>
      </c>
      <c r="AY17">
        <v>-4.3860000000000001</v>
      </c>
      <c r="AZ17">
        <v>-4.6120000000000001</v>
      </c>
      <c r="BA17">
        <v>10.632999999999999</v>
      </c>
      <c r="BB17">
        <v>1</v>
      </c>
      <c r="BC17">
        <v>150</v>
      </c>
      <c r="BD17">
        <v>5.0000000000000001E-3</v>
      </c>
      <c r="BE17">
        <v>2</v>
      </c>
      <c r="BF17">
        <v>0</v>
      </c>
      <c r="BG17" t="s">
        <v>200</v>
      </c>
      <c r="BH17">
        <v>7000</v>
      </c>
      <c r="BI17">
        <v>500</v>
      </c>
      <c r="BJ17">
        <v>5</v>
      </c>
      <c r="BK17">
        <v>2</v>
      </c>
      <c r="BL17">
        <v>300</v>
      </c>
      <c r="BM17">
        <v>300</v>
      </c>
      <c r="BN17">
        <v>300</v>
      </c>
      <c r="BO17">
        <v>160.711884</v>
      </c>
      <c r="BP17">
        <v>25</v>
      </c>
      <c r="BQ17">
        <v>-4.9816289999999999</v>
      </c>
      <c r="BR17">
        <v>160.05062899999999</v>
      </c>
      <c r="BS17">
        <v>160.48741100000001</v>
      </c>
      <c r="BT17">
        <v>-0.43678299999999998</v>
      </c>
      <c r="BU17">
        <v>2.3798360000000001</v>
      </c>
      <c r="BV17">
        <v>2.4477899999999999</v>
      </c>
      <c r="BW17">
        <v>1.5886290000000001</v>
      </c>
      <c r="BX17">
        <v>0.94261799999999996</v>
      </c>
      <c r="BY17">
        <v>0.194581</v>
      </c>
      <c r="BZ17">
        <v>3.4866000000000001E-2</v>
      </c>
      <c r="CA17">
        <v>0.161493</v>
      </c>
      <c r="CB17">
        <v>1.9013800000000001</v>
      </c>
      <c r="CC17">
        <v>125.529167</v>
      </c>
      <c r="CD17">
        <v>3.4600000000000001E-4</v>
      </c>
      <c r="CE17">
        <v>2.3486280000000002</v>
      </c>
      <c r="CF17">
        <v>-5.1E-5</v>
      </c>
      <c r="CG17">
        <v>1</v>
      </c>
      <c r="CH17">
        <v>2.4109430000000001</v>
      </c>
      <c r="CI17">
        <v>-5.7000000000000003E-5</v>
      </c>
      <c r="CJ17">
        <v>1</v>
      </c>
      <c r="CK17">
        <v>0.60051900000000002</v>
      </c>
      <c r="CL17">
        <v>0.60216099999999995</v>
      </c>
      <c r="CM17">
        <v>0.107265</v>
      </c>
      <c r="CN17">
        <v>0</v>
      </c>
      <c r="CO17" t="s">
        <v>220</v>
      </c>
      <c r="CP17" t="s">
        <v>201</v>
      </c>
      <c r="CQ17" t="s">
        <v>202</v>
      </c>
      <c r="CR17" t="s">
        <v>203</v>
      </c>
      <c r="CS17" t="s">
        <v>204</v>
      </c>
      <c r="CT17" t="s">
        <v>205</v>
      </c>
      <c r="CU17" t="s">
        <v>206</v>
      </c>
    </row>
    <row r="18" spans="1:99">
      <c r="A18">
        <v>3</v>
      </c>
      <c r="B18" s="3">
        <v>0.56981481481481489</v>
      </c>
      <c r="C18" s="1">
        <v>45042</v>
      </c>
      <c r="D18" t="s">
        <v>196</v>
      </c>
      <c r="E18" t="s">
        <v>197</v>
      </c>
      <c r="G18" s="1">
        <v>45042</v>
      </c>
      <c r="H18">
        <v>3</v>
      </c>
      <c r="I18" s="4" t="s">
        <v>198</v>
      </c>
      <c r="J18" s="4">
        <v>2</v>
      </c>
      <c r="M18">
        <v>4.5901999999999998E-2</v>
      </c>
      <c r="N18">
        <v>2.9200300000000001</v>
      </c>
      <c r="O18">
        <v>4.5192000000000003E-2</v>
      </c>
      <c r="P18">
        <v>2.4056039999999999</v>
      </c>
      <c r="Q18">
        <v>1.0458609999999999</v>
      </c>
      <c r="R18">
        <v>0.98204199999999997</v>
      </c>
      <c r="S18">
        <v>5.9185569999999998</v>
      </c>
      <c r="T18">
        <v>4.8726960000000004</v>
      </c>
      <c r="U18">
        <v>10.335058999999999</v>
      </c>
      <c r="V18">
        <v>11.006691</v>
      </c>
      <c r="W18">
        <v>62.287159000000003</v>
      </c>
      <c r="X18">
        <v>0.44178600000000001</v>
      </c>
      <c r="Y18" t="s">
        <v>221</v>
      </c>
      <c r="Z18">
        <v>0</v>
      </c>
      <c r="AA18">
        <v>0</v>
      </c>
      <c r="AB18">
        <v>0</v>
      </c>
      <c r="AC18">
        <v>175.88031000000001</v>
      </c>
      <c r="AD18">
        <v>250.67301900000001</v>
      </c>
      <c r="AE18">
        <v>0.29836800000000002</v>
      </c>
      <c r="AF18">
        <v>0.5</v>
      </c>
      <c r="AG18">
        <v>0.8</v>
      </c>
      <c r="AH18">
        <v>203.688019</v>
      </c>
      <c r="AI18">
        <v>20.010000000000002</v>
      </c>
      <c r="AJ18">
        <v>18.79</v>
      </c>
      <c r="AK18">
        <v>33.61</v>
      </c>
      <c r="AL18">
        <v>35.85</v>
      </c>
      <c r="AM18">
        <v>95.02</v>
      </c>
      <c r="AN18">
        <v>156.5</v>
      </c>
      <c r="AO18">
        <v>147.30000000000001</v>
      </c>
      <c r="AP18">
        <v>5.9</v>
      </c>
      <c r="AQ18">
        <v>1707</v>
      </c>
      <c r="AR18">
        <v>3.6680000000000001</v>
      </c>
      <c r="AS18" s="3">
        <v>0.56892361111111112</v>
      </c>
      <c r="AT18" s="1">
        <v>45042</v>
      </c>
      <c r="AU18">
        <v>-0.26</v>
      </c>
      <c r="AV18">
        <v>-1E-3</v>
      </c>
      <c r="AW18">
        <v>0</v>
      </c>
      <c r="AX18">
        <v>6.0000000000000001E-3</v>
      </c>
      <c r="AY18">
        <v>-2.09</v>
      </c>
      <c r="AZ18">
        <v>-4.024</v>
      </c>
      <c r="BA18">
        <v>-13.728</v>
      </c>
      <c r="BB18">
        <v>1</v>
      </c>
      <c r="BC18">
        <v>150</v>
      </c>
      <c r="BD18">
        <v>5.0000000000000001E-3</v>
      </c>
      <c r="BE18">
        <v>2</v>
      </c>
      <c r="BF18">
        <v>0</v>
      </c>
      <c r="BG18" t="s">
        <v>200</v>
      </c>
      <c r="BH18">
        <v>7000</v>
      </c>
      <c r="BI18">
        <v>500</v>
      </c>
      <c r="BJ18">
        <v>5</v>
      </c>
      <c r="BK18">
        <v>2</v>
      </c>
      <c r="BL18">
        <v>300</v>
      </c>
      <c r="BM18">
        <v>300</v>
      </c>
      <c r="BN18">
        <v>300</v>
      </c>
      <c r="BO18">
        <v>245.32055700000001</v>
      </c>
      <c r="BP18">
        <v>25</v>
      </c>
      <c r="BQ18">
        <v>-3.61313</v>
      </c>
      <c r="BR18">
        <v>246.88267500000001</v>
      </c>
      <c r="BS18">
        <v>245.49067700000001</v>
      </c>
      <c r="BT18">
        <v>1.3919980000000001</v>
      </c>
      <c r="BU18">
        <v>2.3786109999999998</v>
      </c>
      <c r="BV18">
        <v>2.4453860000000001</v>
      </c>
      <c r="BW18">
        <v>1.5891169999999999</v>
      </c>
      <c r="BX18">
        <v>0.97015600000000002</v>
      </c>
      <c r="BY18">
        <v>0.19412499999999999</v>
      </c>
      <c r="BZ18">
        <v>2.9051E-2</v>
      </c>
      <c r="CA18">
        <v>0.16469800000000001</v>
      </c>
      <c r="CB18">
        <v>1.6208910000000001</v>
      </c>
      <c r="CC18">
        <v>175.88031000000001</v>
      </c>
      <c r="CD18">
        <v>3.4299999999999999E-4</v>
      </c>
      <c r="CE18">
        <v>2.3486280000000002</v>
      </c>
      <c r="CF18">
        <v>-5.1E-5</v>
      </c>
      <c r="CG18">
        <v>1</v>
      </c>
      <c r="CH18">
        <v>2.4109430000000001</v>
      </c>
      <c r="CI18">
        <v>-5.7000000000000003E-5</v>
      </c>
      <c r="CJ18">
        <v>1</v>
      </c>
      <c r="CK18">
        <v>0.60051900000000002</v>
      </c>
      <c r="CL18">
        <v>0.60216099999999995</v>
      </c>
      <c r="CM18">
        <v>0.107265</v>
      </c>
      <c r="CN18">
        <v>0</v>
      </c>
      <c r="CO18" t="s">
        <v>221</v>
      </c>
      <c r="CP18" t="s">
        <v>201</v>
      </c>
      <c r="CQ18" t="s">
        <v>202</v>
      </c>
      <c r="CR18" t="s">
        <v>203</v>
      </c>
      <c r="CS18" t="s">
        <v>204</v>
      </c>
      <c r="CT18" t="s">
        <v>205</v>
      </c>
      <c r="CU18" t="s">
        <v>206</v>
      </c>
    </row>
    <row r="19" spans="1:99">
      <c r="A19">
        <v>4</v>
      </c>
      <c r="B19" s="3">
        <v>0.56998842592592591</v>
      </c>
      <c r="C19" s="1">
        <v>45042</v>
      </c>
      <c r="D19" t="s">
        <v>196</v>
      </c>
      <c r="E19" t="s">
        <v>197</v>
      </c>
      <c r="G19" s="1">
        <v>45042</v>
      </c>
      <c r="H19">
        <v>4</v>
      </c>
      <c r="I19" s="4" t="s">
        <v>198</v>
      </c>
      <c r="J19" s="4">
        <v>2</v>
      </c>
      <c r="M19">
        <v>6.5584000000000003E-2</v>
      </c>
      <c r="N19">
        <v>2.9208959999999999</v>
      </c>
      <c r="O19">
        <v>6.4144000000000007E-2</v>
      </c>
      <c r="P19">
        <v>2.681317</v>
      </c>
      <c r="Q19">
        <v>1.018389</v>
      </c>
      <c r="R19">
        <v>0.94728800000000002</v>
      </c>
      <c r="S19">
        <v>4.8671600000000002</v>
      </c>
      <c r="T19">
        <v>3.8487710000000002</v>
      </c>
      <c r="U19">
        <v>9.9698209999999996</v>
      </c>
      <c r="V19">
        <v>10.718135999999999</v>
      </c>
      <c r="W19">
        <v>51.224907000000002</v>
      </c>
      <c r="X19">
        <v>0.44178600000000001</v>
      </c>
      <c r="Y19" t="s">
        <v>222</v>
      </c>
      <c r="Z19">
        <v>0</v>
      </c>
      <c r="AA19">
        <v>0</v>
      </c>
      <c r="AB19">
        <v>0</v>
      </c>
      <c r="AC19">
        <v>103.679535</v>
      </c>
      <c r="AD19">
        <v>409.70822099999998</v>
      </c>
      <c r="AE19">
        <v>0.74694300000000002</v>
      </c>
      <c r="AF19">
        <v>0.5</v>
      </c>
      <c r="AG19">
        <v>0.8</v>
      </c>
      <c r="AH19">
        <v>360.98095699999999</v>
      </c>
      <c r="AI19">
        <v>19.45</v>
      </c>
      <c r="AJ19">
        <v>18.09</v>
      </c>
      <c r="AK19">
        <v>33.64</v>
      </c>
      <c r="AL19">
        <v>32.340000000000003</v>
      </c>
      <c r="AM19">
        <v>95.02</v>
      </c>
      <c r="AN19">
        <v>156.6</v>
      </c>
      <c r="AO19">
        <v>137</v>
      </c>
      <c r="AP19">
        <v>12.5</v>
      </c>
      <c r="AQ19">
        <v>1208</v>
      </c>
      <c r="AR19">
        <v>3.6669999999999998</v>
      </c>
      <c r="AS19" s="3">
        <v>0.56892361111111112</v>
      </c>
      <c r="AT19" s="1">
        <v>45042</v>
      </c>
      <c r="AU19">
        <v>-0.26</v>
      </c>
      <c r="AV19">
        <v>1E-3</v>
      </c>
      <c r="AW19">
        <v>3.0000000000000001E-3</v>
      </c>
      <c r="AX19">
        <v>-9999</v>
      </c>
      <c r="AY19">
        <v>-0.54400000000000004</v>
      </c>
      <c r="AZ19">
        <v>-2.399</v>
      </c>
      <c r="BA19">
        <v>-9999</v>
      </c>
      <c r="BB19">
        <v>1</v>
      </c>
      <c r="BC19">
        <v>150</v>
      </c>
      <c r="BD19">
        <v>5.0000000000000001E-3</v>
      </c>
      <c r="BE19">
        <v>2</v>
      </c>
      <c r="BF19">
        <v>0</v>
      </c>
      <c r="BG19" t="s">
        <v>200</v>
      </c>
      <c r="BH19">
        <v>7000</v>
      </c>
      <c r="BI19">
        <v>500</v>
      </c>
      <c r="BJ19">
        <v>5</v>
      </c>
      <c r="BK19">
        <v>2</v>
      </c>
      <c r="BL19">
        <v>300</v>
      </c>
      <c r="BM19">
        <v>300</v>
      </c>
      <c r="BN19">
        <v>300</v>
      </c>
      <c r="BO19">
        <v>382.05779999999999</v>
      </c>
      <c r="BP19">
        <v>25</v>
      </c>
      <c r="BQ19">
        <v>-20.415268000000001</v>
      </c>
      <c r="BR19">
        <v>381.91653400000001</v>
      </c>
      <c r="BS19">
        <v>380.42645299999998</v>
      </c>
      <c r="BT19">
        <v>1.4900819999999999</v>
      </c>
      <c r="BU19">
        <v>2.3775770000000001</v>
      </c>
      <c r="BV19">
        <v>2.4445039999999998</v>
      </c>
      <c r="BW19">
        <v>1.5899570000000001</v>
      </c>
      <c r="BX19">
        <v>0.93859599999999999</v>
      </c>
      <c r="BY19">
        <v>0.193887</v>
      </c>
      <c r="BZ19">
        <v>-1.7056999999999999E-2</v>
      </c>
      <c r="CA19">
        <v>0.16665099999999999</v>
      </c>
      <c r="CB19">
        <v>1.1787879999999999</v>
      </c>
      <c r="CC19">
        <v>103.679535</v>
      </c>
      <c r="CD19">
        <v>3.5199999999999999E-4</v>
      </c>
      <c r="CE19">
        <v>2.3486280000000002</v>
      </c>
      <c r="CF19">
        <v>-5.1E-5</v>
      </c>
      <c r="CG19">
        <v>1</v>
      </c>
      <c r="CH19">
        <v>2.4109430000000001</v>
      </c>
      <c r="CI19">
        <v>-5.7000000000000003E-5</v>
      </c>
      <c r="CJ19">
        <v>1</v>
      </c>
      <c r="CK19">
        <v>0.60051900000000002</v>
      </c>
      <c r="CL19">
        <v>0.60216099999999995</v>
      </c>
      <c r="CM19">
        <v>0.107265</v>
      </c>
      <c r="CN19">
        <v>0</v>
      </c>
      <c r="CO19" t="s">
        <v>222</v>
      </c>
      <c r="CP19" t="s">
        <v>201</v>
      </c>
      <c r="CQ19" t="s">
        <v>202</v>
      </c>
      <c r="CR19" t="s">
        <v>203</v>
      </c>
      <c r="CS19" t="s">
        <v>204</v>
      </c>
      <c r="CT19" t="s">
        <v>205</v>
      </c>
      <c r="CU19" t="s">
        <v>206</v>
      </c>
    </row>
    <row r="20" spans="1:99">
      <c r="A20">
        <v>5</v>
      </c>
      <c r="B20" s="3">
        <v>0.57021990740740736</v>
      </c>
      <c r="C20" s="1">
        <v>45042</v>
      </c>
      <c r="D20" t="s">
        <v>196</v>
      </c>
      <c r="E20" t="s">
        <v>197</v>
      </c>
      <c r="G20" s="1">
        <v>45042</v>
      </c>
      <c r="H20">
        <v>5</v>
      </c>
      <c r="I20" s="4" t="s">
        <v>198</v>
      </c>
      <c r="J20" s="4">
        <v>2</v>
      </c>
      <c r="M20">
        <v>6.7154000000000005E-2</v>
      </c>
      <c r="N20">
        <v>2.9195980000000001</v>
      </c>
      <c r="O20">
        <v>6.5643999999999994E-2</v>
      </c>
      <c r="P20">
        <v>3.3305829999999998</v>
      </c>
      <c r="Q20">
        <v>1.09158</v>
      </c>
      <c r="R20">
        <v>1.0032350000000001</v>
      </c>
      <c r="S20">
        <v>5.7393349999999996</v>
      </c>
      <c r="T20">
        <v>4.6477550000000001</v>
      </c>
      <c r="U20">
        <v>10.558059999999999</v>
      </c>
      <c r="V20">
        <v>11.487804000000001</v>
      </c>
      <c r="W20">
        <v>60.400855999999997</v>
      </c>
      <c r="X20">
        <v>0.44178600000000001</v>
      </c>
      <c r="Y20" t="s">
        <v>223</v>
      </c>
      <c r="Z20">
        <v>0</v>
      </c>
      <c r="AA20">
        <v>0</v>
      </c>
      <c r="AB20">
        <v>0</v>
      </c>
      <c r="AC20">
        <v>240.02087399999999</v>
      </c>
      <c r="AD20">
        <v>346.72412100000003</v>
      </c>
      <c r="AE20">
        <v>0.30774699999999999</v>
      </c>
      <c r="AF20">
        <v>0.5</v>
      </c>
      <c r="AG20">
        <v>0.8</v>
      </c>
      <c r="AH20">
        <v>219.72135900000001</v>
      </c>
      <c r="AI20">
        <v>20.81</v>
      </c>
      <c r="AJ20">
        <v>19.13</v>
      </c>
      <c r="AK20">
        <v>33.67</v>
      </c>
      <c r="AL20">
        <v>35.29</v>
      </c>
      <c r="AM20">
        <v>95.02</v>
      </c>
      <c r="AN20">
        <v>156.4</v>
      </c>
      <c r="AO20">
        <v>142.5</v>
      </c>
      <c r="AP20">
        <v>8.9</v>
      </c>
      <c r="AQ20">
        <v>1785</v>
      </c>
      <c r="AR20">
        <v>3.6659999999999999</v>
      </c>
      <c r="AS20" s="3">
        <v>0.56892361111111112</v>
      </c>
      <c r="AT20" s="1">
        <v>45042</v>
      </c>
      <c r="AU20">
        <v>-0.26</v>
      </c>
      <c r="AV20">
        <v>1E-3</v>
      </c>
      <c r="AW20">
        <v>2E-3</v>
      </c>
      <c r="AX20">
        <v>0</v>
      </c>
      <c r="AY20">
        <v>-2.7269999999999999</v>
      </c>
      <c r="AZ20">
        <v>2.9089999999999998</v>
      </c>
      <c r="BA20">
        <v>-22.739000000000001</v>
      </c>
      <c r="BB20">
        <v>1</v>
      </c>
      <c r="BC20">
        <v>150</v>
      </c>
      <c r="BD20">
        <v>5.0000000000000001E-3</v>
      </c>
      <c r="BE20">
        <v>2</v>
      </c>
      <c r="BF20">
        <v>0</v>
      </c>
      <c r="BG20" t="s">
        <v>200</v>
      </c>
      <c r="BH20">
        <v>7000</v>
      </c>
      <c r="BI20">
        <v>500</v>
      </c>
      <c r="BJ20">
        <v>5</v>
      </c>
      <c r="BK20">
        <v>2</v>
      </c>
      <c r="BL20">
        <v>300</v>
      </c>
      <c r="BM20">
        <v>300</v>
      </c>
      <c r="BN20">
        <v>300</v>
      </c>
      <c r="BO20">
        <v>336.383331</v>
      </c>
      <c r="BP20">
        <v>25</v>
      </c>
      <c r="BQ20">
        <v>-7.1122170000000002</v>
      </c>
      <c r="BR20">
        <v>337.281342</v>
      </c>
      <c r="BS20">
        <v>336.52301</v>
      </c>
      <c r="BT20">
        <v>0.75833099999999998</v>
      </c>
      <c r="BU20">
        <v>2.3791039999999999</v>
      </c>
      <c r="BV20">
        <v>2.4466299999999999</v>
      </c>
      <c r="BW20">
        <v>1.5886990000000001</v>
      </c>
      <c r="BX20">
        <v>0.95524100000000001</v>
      </c>
      <c r="BY20">
        <v>0.193662</v>
      </c>
      <c r="BZ20">
        <v>2.0872000000000002E-2</v>
      </c>
      <c r="CA20">
        <v>0.16919200000000001</v>
      </c>
      <c r="CB20">
        <v>1.6902740000000001</v>
      </c>
      <c r="CC20">
        <v>240.02087399999999</v>
      </c>
      <c r="CD20">
        <v>3.5E-4</v>
      </c>
      <c r="CE20">
        <v>2.3486280000000002</v>
      </c>
      <c r="CF20">
        <v>-5.1E-5</v>
      </c>
      <c r="CG20">
        <v>1</v>
      </c>
      <c r="CH20">
        <v>2.4109430000000001</v>
      </c>
      <c r="CI20">
        <v>-5.7000000000000003E-5</v>
      </c>
      <c r="CJ20">
        <v>1</v>
      </c>
      <c r="CK20">
        <v>0.60051900000000002</v>
      </c>
      <c r="CL20">
        <v>0.60216099999999995</v>
      </c>
      <c r="CM20">
        <v>0.107265</v>
      </c>
      <c r="CN20">
        <v>0</v>
      </c>
      <c r="CO20" t="s">
        <v>223</v>
      </c>
      <c r="CP20" t="s">
        <v>201</v>
      </c>
      <c r="CQ20" t="s">
        <v>202</v>
      </c>
      <c r="CR20" t="s">
        <v>203</v>
      </c>
      <c r="CS20" t="s">
        <v>204</v>
      </c>
      <c r="CT20" t="s">
        <v>205</v>
      </c>
      <c r="CU20" t="s">
        <v>206</v>
      </c>
    </row>
    <row r="21" spans="1:99">
      <c r="A21">
        <v>6</v>
      </c>
      <c r="B21" s="3">
        <v>0.5704745370370371</v>
      </c>
      <c r="C21" s="1">
        <v>45042</v>
      </c>
      <c r="D21" t="s">
        <v>196</v>
      </c>
      <c r="E21" t="s">
        <v>197</v>
      </c>
      <c r="G21" s="1">
        <v>45042</v>
      </c>
      <c r="H21">
        <v>6</v>
      </c>
      <c r="I21" s="4" t="s">
        <v>198</v>
      </c>
      <c r="J21" s="4">
        <v>2</v>
      </c>
      <c r="M21">
        <v>3.6476000000000001E-2</v>
      </c>
      <c r="N21">
        <v>2.9196339999999998</v>
      </c>
      <c r="O21">
        <v>3.6026000000000002E-2</v>
      </c>
      <c r="P21">
        <v>1.5734710000000001</v>
      </c>
      <c r="Q21">
        <v>0.99890999999999996</v>
      </c>
      <c r="R21">
        <v>0.95713199999999998</v>
      </c>
      <c r="S21">
        <v>5.0177870000000002</v>
      </c>
      <c r="T21">
        <v>4.0188769999999998</v>
      </c>
      <c r="U21">
        <v>10.072582000000001</v>
      </c>
      <c r="V21">
        <v>10.512244000000001</v>
      </c>
      <c r="W21">
        <v>52.805756000000002</v>
      </c>
      <c r="X21">
        <v>0.44178600000000001</v>
      </c>
      <c r="Y21" t="s">
        <v>224</v>
      </c>
      <c r="Z21">
        <v>0</v>
      </c>
      <c r="AA21">
        <v>0</v>
      </c>
      <c r="AB21">
        <v>0</v>
      </c>
      <c r="AC21">
        <v>104.842545</v>
      </c>
      <c r="AD21">
        <v>403.648529</v>
      </c>
      <c r="AE21">
        <v>0.740263</v>
      </c>
      <c r="AF21">
        <v>0.5</v>
      </c>
      <c r="AG21">
        <v>0.8</v>
      </c>
      <c r="AH21">
        <v>400.47357199999999</v>
      </c>
      <c r="AI21">
        <v>18.98</v>
      </c>
      <c r="AJ21">
        <v>18.190000000000001</v>
      </c>
      <c r="AK21">
        <v>33.729999999999997</v>
      </c>
      <c r="AL21">
        <v>32.880000000000003</v>
      </c>
      <c r="AM21">
        <v>95.02</v>
      </c>
      <c r="AN21">
        <v>156.4</v>
      </c>
      <c r="AO21">
        <v>135.30000000000001</v>
      </c>
      <c r="AP21">
        <v>13.5</v>
      </c>
      <c r="AQ21">
        <v>1352</v>
      </c>
      <c r="AR21">
        <v>3.66</v>
      </c>
      <c r="AS21" s="3">
        <v>0.56892361111111112</v>
      </c>
      <c r="AT21" s="1">
        <v>45042</v>
      </c>
      <c r="AU21">
        <v>-0.26</v>
      </c>
      <c r="AV21">
        <v>1E-3</v>
      </c>
      <c r="AW21">
        <v>1E-3</v>
      </c>
      <c r="AX21">
        <v>-9999</v>
      </c>
      <c r="AY21">
        <v>-4.5750000000000002</v>
      </c>
      <c r="AZ21">
        <v>1.1839999999999999</v>
      </c>
      <c r="BA21">
        <v>-9999</v>
      </c>
      <c r="BB21">
        <v>1</v>
      </c>
      <c r="BC21">
        <v>150</v>
      </c>
      <c r="BD21">
        <v>5.0000000000000001E-3</v>
      </c>
      <c r="BE21">
        <v>2</v>
      </c>
      <c r="BF21">
        <v>0</v>
      </c>
      <c r="BG21" t="s">
        <v>200</v>
      </c>
      <c r="BH21">
        <v>7000</v>
      </c>
      <c r="BI21">
        <v>500</v>
      </c>
      <c r="BJ21">
        <v>5</v>
      </c>
      <c r="BK21">
        <v>2</v>
      </c>
      <c r="BL21">
        <v>300</v>
      </c>
      <c r="BM21">
        <v>300</v>
      </c>
      <c r="BN21">
        <v>300</v>
      </c>
      <c r="BO21">
        <v>394.569031</v>
      </c>
      <c r="BP21">
        <v>25</v>
      </c>
      <c r="BQ21">
        <v>-5.8867219999999998</v>
      </c>
      <c r="BR21">
        <v>401.69726600000001</v>
      </c>
      <c r="BS21">
        <v>395.20517000000001</v>
      </c>
      <c r="BT21">
        <v>6.4920960000000001</v>
      </c>
      <c r="BU21">
        <v>2.3777170000000001</v>
      </c>
      <c r="BV21">
        <v>2.4437639999999998</v>
      </c>
      <c r="BW21">
        <v>1.588733</v>
      </c>
      <c r="BX21">
        <v>0.93335999999999997</v>
      </c>
      <c r="BY21">
        <v>0.193241</v>
      </c>
      <c r="BZ21">
        <v>-1.1233999999999999E-2</v>
      </c>
      <c r="CA21">
        <v>0.172018</v>
      </c>
      <c r="CB21">
        <v>1.3067439999999999</v>
      </c>
      <c r="CC21">
        <v>104.842545</v>
      </c>
      <c r="CD21">
        <v>3.5599999999999998E-4</v>
      </c>
      <c r="CE21">
        <v>2.3486280000000002</v>
      </c>
      <c r="CF21">
        <v>-5.1E-5</v>
      </c>
      <c r="CG21">
        <v>1</v>
      </c>
      <c r="CH21">
        <v>2.4109430000000001</v>
      </c>
      <c r="CI21">
        <v>-5.7000000000000003E-5</v>
      </c>
      <c r="CJ21">
        <v>1</v>
      </c>
      <c r="CK21">
        <v>0.60051900000000002</v>
      </c>
      <c r="CL21">
        <v>0.60216099999999995</v>
      </c>
      <c r="CM21">
        <v>0.107265</v>
      </c>
      <c r="CN21">
        <v>0</v>
      </c>
      <c r="CO21" t="s">
        <v>224</v>
      </c>
      <c r="CP21" t="s">
        <v>201</v>
      </c>
      <c r="CQ21" t="s">
        <v>202</v>
      </c>
      <c r="CR21" t="s">
        <v>203</v>
      </c>
      <c r="CS21" t="s">
        <v>204</v>
      </c>
      <c r="CT21" t="s">
        <v>205</v>
      </c>
      <c r="CU21" t="s">
        <v>206</v>
      </c>
    </row>
    <row r="22" spans="1:99">
      <c r="A22">
        <v>1</v>
      </c>
      <c r="B22" s="3">
        <v>0.57859953703703704</v>
      </c>
      <c r="C22" s="1">
        <v>45042</v>
      </c>
      <c r="D22" t="s">
        <v>196</v>
      </c>
      <c r="E22" t="s">
        <v>197</v>
      </c>
      <c r="G22" s="1">
        <v>45042</v>
      </c>
      <c r="H22">
        <v>1</v>
      </c>
      <c r="I22" t="s">
        <v>212</v>
      </c>
      <c r="J22">
        <v>2</v>
      </c>
      <c r="M22">
        <v>4.8029000000000002E-2</v>
      </c>
      <c r="N22">
        <v>2.9193169999999999</v>
      </c>
      <c r="O22">
        <v>4.7252000000000002E-2</v>
      </c>
      <c r="P22">
        <v>1.986866</v>
      </c>
      <c r="Q22">
        <v>0.963584</v>
      </c>
      <c r="R22">
        <v>0.91081299999999998</v>
      </c>
      <c r="S22">
        <v>4.836023</v>
      </c>
      <c r="T22">
        <v>3.8724379999999998</v>
      </c>
      <c r="U22">
        <v>9.5881150000000002</v>
      </c>
      <c r="V22">
        <v>10.143634</v>
      </c>
      <c r="W22">
        <v>50.908718</v>
      </c>
      <c r="X22">
        <v>0.44178600000000001</v>
      </c>
      <c r="Y22" t="s">
        <v>225</v>
      </c>
      <c r="Z22">
        <v>0</v>
      </c>
      <c r="AA22">
        <v>0</v>
      </c>
      <c r="AB22">
        <v>0</v>
      </c>
      <c r="AC22">
        <v>102.496864</v>
      </c>
      <c r="AD22">
        <v>360.63958700000001</v>
      </c>
      <c r="AE22">
        <v>0.71579099999999996</v>
      </c>
      <c r="AF22">
        <v>0.5</v>
      </c>
      <c r="AG22">
        <v>0.8</v>
      </c>
      <c r="AH22">
        <v>34.361778000000001</v>
      </c>
      <c r="AI22">
        <v>17.73</v>
      </c>
      <c r="AJ22">
        <v>16.75</v>
      </c>
      <c r="AK22">
        <v>34.31</v>
      </c>
      <c r="AL22">
        <v>32.22</v>
      </c>
      <c r="AM22">
        <v>94.99</v>
      </c>
      <c r="AN22">
        <v>156.4</v>
      </c>
      <c r="AO22">
        <v>147.19999999999999</v>
      </c>
      <c r="AP22">
        <v>5.9</v>
      </c>
      <c r="AQ22">
        <v>120</v>
      </c>
      <c r="AR22">
        <v>3.657</v>
      </c>
      <c r="AS22" s="3">
        <v>0.57630787037037035</v>
      </c>
      <c r="AT22" s="1">
        <v>45042</v>
      </c>
      <c r="AU22">
        <v>-0.2</v>
      </c>
      <c r="AV22">
        <v>2E-3</v>
      </c>
      <c r="AW22">
        <v>2E-3</v>
      </c>
      <c r="AX22">
        <v>-9999</v>
      </c>
      <c r="AY22">
        <v>0.217</v>
      </c>
      <c r="AZ22">
        <v>0.81299999999999994</v>
      </c>
      <c r="BA22">
        <v>-9999</v>
      </c>
      <c r="BB22">
        <v>1</v>
      </c>
      <c r="BC22">
        <v>150</v>
      </c>
      <c r="BD22">
        <v>5.0000000000000001E-3</v>
      </c>
      <c r="BE22">
        <v>2</v>
      </c>
      <c r="BF22">
        <v>0</v>
      </c>
      <c r="BG22" t="s">
        <v>200</v>
      </c>
      <c r="BH22">
        <v>7000</v>
      </c>
      <c r="BI22">
        <v>500</v>
      </c>
      <c r="BJ22">
        <v>5</v>
      </c>
      <c r="BK22">
        <v>2</v>
      </c>
      <c r="BL22">
        <v>300</v>
      </c>
      <c r="BM22">
        <v>300</v>
      </c>
      <c r="BN22">
        <v>300</v>
      </c>
      <c r="BO22">
        <v>347.62893700000001</v>
      </c>
      <c r="BP22">
        <v>25</v>
      </c>
      <c r="BQ22">
        <v>-10.509933999999999</v>
      </c>
      <c r="BR22">
        <v>348.04129</v>
      </c>
      <c r="BS22">
        <v>345.56509399999999</v>
      </c>
      <c r="BT22">
        <v>2.4761959999999998</v>
      </c>
      <c r="BU22">
        <v>2.3755120000000001</v>
      </c>
      <c r="BV22">
        <v>2.4416060000000002</v>
      </c>
      <c r="BW22">
        <v>1.5884259999999999</v>
      </c>
      <c r="BX22">
        <v>0.96991400000000005</v>
      </c>
      <c r="BY22">
        <v>0.188888</v>
      </c>
      <c r="BZ22">
        <v>-2.7213000000000001E-2</v>
      </c>
      <c r="CA22">
        <v>0.18531900000000001</v>
      </c>
      <c r="CB22">
        <v>0.213702</v>
      </c>
      <c r="CC22">
        <v>102.496864</v>
      </c>
      <c r="CD22">
        <v>3.5500000000000001E-4</v>
      </c>
      <c r="CE22">
        <v>2.3486280000000002</v>
      </c>
      <c r="CF22">
        <v>-5.1E-5</v>
      </c>
      <c r="CG22">
        <v>1</v>
      </c>
      <c r="CH22">
        <v>2.4109430000000001</v>
      </c>
      <c r="CI22">
        <v>-5.7000000000000003E-5</v>
      </c>
      <c r="CJ22">
        <v>1</v>
      </c>
      <c r="CK22">
        <v>0.60051900000000002</v>
      </c>
      <c r="CL22">
        <v>0.60216099999999995</v>
      </c>
      <c r="CM22">
        <v>0.107265</v>
      </c>
      <c r="CN22">
        <v>0</v>
      </c>
      <c r="CO22" t="s">
        <v>225</v>
      </c>
      <c r="CP22" t="s">
        <v>201</v>
      </c>
      <c r="CQ22" t="s">
        <v>202</v>
      </c>
      <c r="CR22" t="s">
        <v>203</v>
      </c>
      <c r="CS22" t="s">
        <v>204</v>
      </c>
      <c r="CT22" t="s">
        <v>205</v>
      </c>
      <c r="CU22" t="s">
        <v>206</v>
      </c>
    </row>
    <row r="23" spans="1:99">
      <c r="A23">
        <v>2</v>
      </c>
      <c r="B23" s="3">
        <v>0.57891203703703698</v>
      </c>
      <c r="C23" s="1">
        <v>45042</v>
      </c>
      <c r="D23" t="s">
        <v>196</v>
      </c>
      <c r="E23" t="s">
        <v>197</v>
      </c>
      <c r="G23" s="1">
        <v>45042</v>
      </c>
      <c r="H23">
        <v>2</v>
      </c>
      <c r="I23" t="s">
        <v>212</v>
      </c>
      <c r="J23">
        <v>2</v>
      </c>
      <c r="M23">
        <v>0.17982000000000001</v>
      </c>
      <c r="N23">
        <v>2.919632</v>
      </c>
      <c r="O23">
        <v>0.16938700000000001</v>
      </c>
      <c r="P23">
        <v>8.7323509999999995</v>
      </c>
      <c r="Q23">
        <v>1.1180289999999999</v>
      </c>
      <c r="R23">
        <v>0.88654200000000005</v>
      </c>
      <c r="S23">
        <v>5.8358699999999999</v>
      </c>
      <c r="T23">
        <v>4.7178420000000001</v>
      </c>
      <c r="U23">
        <v>9.3328070000000007</v>
      </c>
      <c r="V23">
        <v>11.769715</v>
      </c>
      <c r="W23">
        <v>61.435389999999998</v>
      </c>
      <c r="X23">
        <v>0.44178600000000001</v>
      </c>
      <c r="Y23" t="s">
        <v>226</v>
      </c>
      <c r="Z23">
        <v>0</v>
      </c>
      <c r="AA23">
        <v>0</v>
      </c>
      <c r="AB23">
        <v>0</v>
      </c>
      <c r="AC23">
        <v>100.637558</v>
      </c>
      <c r="AD23">
        <v>186.66160600000001</v>
      </c>
      <c r="AE23">
        <v>0.46085599999999999</v>
      </c>
      <c r="AF23">
        <v>0.5</v>
      </c>
      <c r="AG23">
        <v>0.8</v>
      </c>
      <c r="AH23">
        <v>41.393363999999998</v>
      </c>
      <c r="AI23">
        <v>20.57</v>
      </c>
      <c r="AJ23">
        <v>16.309999999999999</v>
      </c>
      <c r="AK23">
        <v>34.31</v>
      </c>
      <c r="AL23">
        <v>35.590000000000003</v>
      </c>
      <c r="AM23">
        <v>94.99</v>
      </c>
      <c r="AN23">
        <v>156.4</v>
      </c>
      <c r="AO23">
        <v>147.6</v>
      </c>
      <c r="AP23">
        <v>5.7</v>
      </c>
      <c r="AQ23">
        <v>225</v>
      </c>
      <c r="AR23">
        <v>3.6560000000000001</v>
      </c>
      <c r="AS23" s="3">
        <v>0.57630787037037035</v>
      </c>
      <c r="AT23" s="1">
        <v>45042</v>
      </c>
      <c r="AU23">
        <v>-0.2</v>
      </c>
      <c r="AV23">
        <v>2E-3</v>
      </c>
      <c r="AW23">
        <v>4.0000000000000001E-3</v>
      </c>
      <c r="AX23">
        <v>-9999</v>
      </c>
      <c r="AY23">
        <v>-4.4969999999999999</v>
      </c>
      <c r="AZ23">
        <v>-3.5510000000000002</v>
      </c>
      <c r="BA23">
        <v>-9999</v>
      </c>
      <c r="BB23">
        <v>1</v>
      </c>
      <c r="BC23">
        <v>150</v>
      </c>
      <c r="BD23">
        <v>5.0000000000000001E-3</v>
      </c>
      <c r="BE23">
        <v>2</v>
      </c>
      <c r="BF23">
        <v>0</v>
      </c>
      <c r="BG23" t="s">
        <v>200</v>
      </c>
      <c r="BH23">
        <v>7000</v>
      </c>
      <c r="BI23">
        <v>500</v>
      </c>
      <c r="BJ23">
        <v>5</v>
      </c>
      <c r="BK23">
        <v>2</v>
      </c>
      <c r="BL23">
        <v>300</v>
      </c>
      <c r="BM23">
        <v>300</v>
      </c>
      <c r="BN23">
        <v>300</v>
      </c>
      <c r="BO23">
        <v>172.25181599999999</v>
      </c>
      <c r="BP23">
        <v>25</v>
      </c>
      <c r="BQ23">
        <v>-9.8618889999999997</v>
      </c>
      <c r="BR23">
        <v>172.600143</v>
      </c>
      <c r="BS23">
        <v>172.516617</v>
      </c>
      <c r="BT23">
        <v>8.3527000000000004E-2</v>
      </c>
      <c r="BU23">
        <v>2.374844</v>
      </c>
      <c r="BV23">
        <v>2.446088</v>
      </c>
      <c r="BW23">
        <v>1.588732</v>
      </c>
      <c r="BX23">
        <v>0.97111499999999995</v>
      </c>
      <c r="BY23">
        <v>0.188913</v>
      </c>
      <c r="BZ23">
        <v>1.6556999999999999E-2</v>
      </c>
      <c r="CA23">
        <v>0.18809600000000001</v>
      </c>
      <c r="CB23">
        <v>0.30641099999999999</v>
      </c>
      <c r="CC23">
        <v>100.637558</v>
      </c>
      <c r="CD23">
        <v>3.4299999999999999E-4</v>
      </c>
      <c r="CE23">
        <v>2.3486280000000002</v>
      </c>
      <c r="CF23">
        <v>-5.1E-5</v>
      </c>
      <c r="CG23">
        <v>1</v>
      </c>
      <c r="CH23">
        <v>2.4109430000000001</v>
      </c>
      <c r="CI23">
        <v>-5.7000000000000003E-5</v>
      </c>
      <c r="CJ23">
        <v>1</v>
      </c>
      <c r="CK23">
        <v>0.60051900000000002</v>
      </c>
      <c r="CL23">
        <v>0.60216099999999995</v>
      </c>
      <c r="CM23">
        <v>0.107265</v>
      </c>
      <c r="CN23">
        <v>0</v>
      </c>
      <c r="CO23" t="s">
        <v>226</v>
      </c>
      <c r="CP23" t="s">
        <v>201</v>
      </c>
      <c r="CQ23" t="s">
        <v>202</v>
      </c>
      <c r="CR23" t="s">
        <v>203</v>
      </c>
      <c r="CS23" t="s">
        <v>204</v>
      </c>
      <c r="CT23" t="s">
        <v>205</v>
      </c>
      <c r="CU23" t="s">
        <v>206</v>
      </c>
    </row>
    <row r="24" spans="1:99">
      <c r="A24">
        <v>3</v>
      </c>
      <c r="B24" s="3">
        <v>0.57947916666666666</v>
      </c>
      <c r="C24" s="1">
        <v>45042</v>
      </c>
      <c r="D24" t="s">
        <v>196</v>
      </c>
      <c r="E24" t="s">
        <v>197</v>
      </c>
      <c r="G24" s="1">
        <v>45042</v>
      </c>
      <c r="H24">
        <v>3</v>
      </c>
      <c r="I24" t="s">
        <v>212</v>
      </c>
      <c r="J24">
        <v>2</v>
      </c>
      <c r="M24">
        <v>0.136408</v>
      </c>
      <c r="N24">
        <v>2.9208419999999999</v>
      </c>
      <c r="O24">
        <v>0.13032199999999999</v>
      </c>
      <c r="P24">
        <v>5.2536529999999999</v>
      </c>
      <c r="Q24">
        <v>0.99956100000000003</v>
      </c>
      <c r="R24">
        <v>0.86026199999999997</v>
      </c>
      <c r="S24">
        <v>4.7134710000000002</v>
      </c>
      <c r="T24">
        <v>3.7139099999999998</v>
      </c>
      <c r="U24">
        <v>9.0569579999999998</v>
      </c>
      <c r="V24">
        <v>10.523524</v>
      </c>
      <c r="W24">
        <v>49.624107000000002</v>
      </c>
      <c r="X24">
        <v>0.44178600000000001</v>
      </c>
      <c r="Y24" t="s">
        <v>227</v>
      </c>
      <c r="Z24">
        <v>0</v>
      </c>
      <c r="AA24">
        <v>0</v>
      </c>
      <c r="AB24">
        <v>0</v>
      </c>
      <c r="AC24">
        <v>98.243590999999995</v>
      </c>
      <c r="AD24">
        <v>355.67514</v>
      </c>
      <c r="AE24">
        <v>0.72378299999999995</v>
      </c>
      <c r="AF24">
        <v>0.5</v>
      </c>
      <c r="AG24">
        <v>0.8</v>
      </c>
      <c r="AH24">
        <v>29.529744999999998</v>
      </c>
      <c r="AI24">
        <v>18.39</v>
      </c>
      <c r="AJ24">
        <v>15.82</v>
      </c>
      <c r="AK24">
        <v>34.31</v>
      </c>
      <c r="AL24">
        <v>31.77</v>
      </c>
      <c r="AM24">
        <v>94.98</v>
      </c>
      <c r="AN24">
        <v>156.6</v>
      </c>
      <c r="AO24">
        <v>125.2</v>
      </c>
      <c r="AP24">
        <v>20</v>
      </c>
      <c r="AQ24">
        <v>102</v>
      </c>
      <c r="AR24">
        <v>3.6549999999999998</v>
      </c>
      <c r="AS24" s="3">
        <v>0.57630787037037035</v>
      </c>
      <c r="AT24" s="1">
        <v>45042</v>
      </c>
      <c r="AU24">
        <v>-0.2</v>
      </c>
      <c r="AV24">
        <v>0</v>
      </c>
      <c r="AW24">
        <v>0</v>
      </c>
      <c r="AX24">
        <v>-9999</v>
      </c>
      <c r="AY24">
        <v>0.80100000000000005</v>
      </c>
      <c r="AZ24">
        <v>-3.7970000000000002</v>
      </c>
      <c r="BA24">
        <v>-9999</v>
      </c>
      <c r="BB24">
        <v>1</v>
      </c>
      <c r="BC24">
        <v>150</v>
      </c>
      <c r="BD24">
        <v>5.0000000000000001E-3</v>
      </c>
      <c r="BE24">
        <v>2</v>
      </c>
      <c r="BF24">
        <v>0</v>
      </c>
      <c r="BG24" t="s">
        <v>200</v>
      </c>
      <c r="BH24">
        <v>7000</v>
      </c>
      <c r="BI24">
        <v>500</v>
      </c>
      <c r="BJ24">
        <v>5</v>
      </c>
      <c r="BK24">
        <v>2</v>
      </c>
      <c r="BL24">
        <v>300</v>
      </c>
      <c r="BM24">
        <v>300</v>
      </c>
      <c r="BN24">
        <v>300</v>
      </c>
      <c r="BO24">
        <v>350.61050399999999</v>
      </c>
      <c r="BP24">
        <v>25</v>
      </c>
      <c r="BQ24">
        <v>-3.272815</v>
      </c>
      <c r="BR24">
        <v>356.955872</v>
      </c>
      <c r="BS24">
        <v>350.98092700000001</v>
      </c>
      <c r="BT24">
        <v>5.974945</v>
      </c>
      <c r="BU24">
        <v>2.374107</v>
      </c>
      <c r="BV24">
        <v>2.4426600000000001</v>
      </c>
      <c r="BW24">
        <v>1.5899049999999999</v>
      </c>
      <c r="BX24">
        <v>0.90337000000000001</v>
      </c>
      <c r="BY24">
        <v>0.188889</v>
      </c>
      <c r="BZ24">
        <v>-3.2982999999999998E-2</v>
      </c>
      <c r="CA24">
        <v>0.193527</v>
      </c>
      <c r="CB24">
        <v>0.19772500000000001</v>
      </c>
      <c r="CC24">
        <v>98.243590999999995</v>
      </c>
      <c r="CD24">
        <v>3.6299999999999999E-4</v>
      </c>
      <c r="CE24">
        <v>2.3486280000000002</v>
      </c>
      <c r="CF24">
        <v>-5.1E-5</v>
      </c>
      <c r="CG24">
        <v>1</v>
      </c>
      <c r="CH24">
        <v>2.4109430000000001</v>
      </c>
      <c r="CI24">
        <v>-5.7000000000000003E-5</v>
      </c>
      <c r="CJ24">
        <v>1</v>
      </c>
      <c r="CK24">
        <v>0.60051900000000002</v>
      </c>
      <c r="CL24">
        <v>0.60216099999999995</v>
      </c>
      <c r="CM24">
        <v>0.107265</v>
      </c>
      <c r="CN24">
        <v>0</v>
      </c>
      <c r="CO24" t="s">
        <v>227</v>
      </c>
      <c r="CP24" t="s">
        <v>201</v>
      </c>
      <c r="CQ24" t="s">
        <v>202</v>
      </c>
      <c r="CR24" t="s">
        <v>203</v>
      </c>
      <c r="CS24" t="s">
        <v>204</v>
      </c>
      <c r="CT24" t="s">
        <v>205</v>
      </c>
      <c r="CU24" t="s">
        <v>206</v>
      </c>
    </row>
    <row r="25" spans="1:99">
      <c r="A25">
        <v>4</v>
      </c>
      <c r="B25" s="3">
        <v>0.57982638888888893</v>
      </c>
      <c r="C25" s="1">
        <v>45042</v>
      </c>
      <c r="D25" t="s">
        <v>196</v>
      </c>
      <c r="E25" t="s">
        <v>197</v>
      </c>
      <c r="G25" s="1">
        <v>45042</v>
      </c>
      <c r="H25">
        <v>4</v>
      </c>
      <c r="I25" t="s">
        <v>212</v>
      </c>
      <c r="J25">
        <v>2</v>
      </c>
      <c r="M25">
        <v>0.146041</v>
      </c>
      <c r="N25">
        <v>2.9207079999999999</v>
      </c>
      <c r="O25">
        <v>0.13908599999999999</v>
      </c>
      <c r="P25">
        <v>6.4063369999999997</v>
      </c>
      <c r="Q25">
        <v>1.179055</v>
      </c>
      <c r="R25">
        <v>1.0094860000000001</v>
      </c>
      <c r="S25">
        <v>5.4027529999999997</v>
      </c>
      <c r="T25">
        <v>4.2236979999999997</v>
      </c>
      <c r="U25">
        <v>10.627235000000001</v>
      </c>
      <c r="V25">
        <v>12.41235</v>
      </c>
      <c r="W25">
        <v>56.876773999999997</v>
      </c>
      <c r="X25">
        <v>0.44178600000000001</v>
      </c>
      <c r="Y25" t="s">
        <v>228</v>
      </c>
      <c r="Z25">
        <v>0</v>
      </c>
      <c r="AA25">
        <v>0</v>
      </c>
      <c r="AB25">
        <v>0</v>
      </c>
      <c r="AC25">
        <v>82.930328000000003</v>
      </c>
      <c r="AD25">
        <v>186.27230800000001</v>
      </c>
      <c r="AE25">
        <v>0.55479000000000001</v>
      </c>
      <c r="AF25">
        <v>0.5</v>
      </c>
      <c r="AG25">
        <v>0.8</v>
      </c>
      <c r="AH25">
        <v>169.04560900000001</v>
      </c>
      <c r="AI25">
        <v>21.68</v>
      </c>
      <c r="AJ25">
        <v>18.57</v>
      </c>
      <c r="AK25">
        <v>34.31</v>
      </c>
      <c r="AL25">
        <v>34.200000000000003</v>
      </c>
      <c r="AM25">
        <v>94.99</v>
      </c>
      <c r="AN25">
        <v>156.6</v>
      </c>
      <c r="AO25">
        <v>147.4</v>
      </c>
      <c r="AP25">
        <v>5.9</v>
      </c>
      <c r="AQ25">
        <v>762</v>
      </c>
      <c r="AR25">
        <v>3.6549999999999998</v>
      </c>
      <c r="AS25" s="3">
        <v>0.57630787037037035</v>
      </c>
      <c r="AT25" s="1">
        <v>45042</v>
      </c>
      <c r="AU25">
        <v>-0.2</v>
      </c>
      <c r="AV25">
        <v>0</v>
      </c>
      <c r="AW25">
        <v>1E-3</v>
      </c>
      <c r="AX25">
        <v>-9999</v>
      </c>
      <c r="AY25">
        <v>1.206</v>
      </c>
      <c r="AZ25">
        <v>-1.7529999999999999</v>
      </c>
      <c r="BA25">
        <v>-9999</v>
      </c>
      <c r="BB25">
        <v>1</v>
      </c>
      <c r="BC25">
        <v>150</v>
      </c>
      <c r="BD25">
        <v>5.0000000000000001E-3</v>
      </c>
      <c r="BE25">
        <v>2</v>
      </c>
      <c r="BF25">
        <v>0</v>
      </c>
      <c r="BG25" t="s">
        <v>200</v>
      </c>
      <c r="BH25">
        <v>7000</v>
      </c>
      <c r="BI25">
        <v>500</v>
      </c>
      <c r="BJ25">
        <v>5</v>
      </c>
      <c r="BK25">
        <v>2</v>
      </c>
      <c r="BL25">
        <v>300</v>
      </c>
      <c r="BM25">
        <v>300</v>
      </c>
      <c r="BN25">
        <v>300</v>
      </c>
      <c r="BO25">
        <v>171.56767300000001</v>
      </c>
      <c r="BP25">
        <v>25</v>
      </c>
      <c r="BQ25">
        <v>-10.032045999999999</v>
      </c>
      <c r="BR25">
        <v>174.596069</v>
      </c>
      <c r="BS25">
        <v>171.88327000000001</v>
      </c>
      <c r="BT25">
        <v>2.712799</v>
      </c>
      <c r="BU25">
        <v>2.378206</v>
      </c>
      <c r="BV25">
        <v>2.44781</v>
      </c>
      <c r="BW25">
        <v>1.5897749999999999</v>
      </c>
      <c r="BX25">
        <v>0.97056100000000001</v>
      </c>
      <c r="BY25">
        <v>0.188859</v>
      </c>
      <c r="BZ25">
        <v>-1.8029999999999999E-3</v>
      </c>
      <c r="CA25">
        <v>0.19679099999999999</v>
      </c>
      <c r="CB25">
        <v>0.78285000000000005</v>
      </c>
      <c r="CC25">
        <v>82.930328000000003</v>
      </c>
      <c r="CD25">
        <v>3.6000000000000002E-4</v>
      </c>
      <c r="CE25">
        <v>2.3486280000000002</v>
      </c>
      <c r="CF25">
        <v>-5.1E-5</v>
      </c>
      <c r="CG25">
        <v>1</v>
      </c>
      <c r="CH25">
        <v>2.4109430000000001</v>
      </c>
      <c r="CI25">
        <v>-5.7000000000000003E-5</v>
      </c>
      <c r="CJ25">
        <v>1</v>
      </c>
      <c r="CK25">
        <v>0.60051900000000002</v>
      </c>
      <c r="CL25">
        <v>0.60216099999999995</v>
      </c>
      <c r="CM25">
        <v>0.107265</v>
      </c>
      <c r="CN25">
        <v>0</v>
      </c>
      <c r="CO25" t="s">
        <v>228</v>
      </c>
      <c r="CP25" t="s">
        <v>201</v>
      </c>
      <c r="CQ25" t="s">
        <v>202</v>
      </c>
      <c r="CR25" t="s">
        <v>203</v>
      </c>
      <c r="CS25" t="s">
        <v>204</v>
      </c>
      <c r="CT25" t="s">
        <v>205</v>
      </c>
      <c r="CU25" t="s">
        <v>206</v>
      </c>
    </row>
    <row r="26" spans="1:99">
      <c r="A26">
        <v>5</v>
      </c>
      <c r="B26" s="3">
        <v>0.5800925925925926</v>
      </c>
      <c r="C26" s="1">
        <v>45042</v>
      </c>
      <c r="D26" t="s">
        <v>196</v>
      </c>
      <c r="E26" t="s">
        <v>197</v>
      </c>
      <c r="G26" s="1">
        <v>45042</v>
      </c>
      <c r="H26">
        <v>5</v>
      </c>
      <c r="I26" t="s">
        <v>212</v>
      </c>
      <c r="J26">
        <v>2</v>
      </c>
      <c r="M26">
        <v>8.0615000000000006E-2</v>
      </c>
      <c r="N26">
        <v>2.9192049999999998</v>
      </c>
      <c r="O26">
        <v>7.8448000000000004E-2</v>
      </c>
      <c r="P26">
        <v>3.4968300000000001</v>
      </c>
      <c r="Q26">
        <v>1.0144869999999999</v>
      </c>
      <c r="R26">
        <v>0.92166499999999996</v>
      </c>
      <c r="S26">
        <v>5.1117549999999996</v>
      </c>
      <c r="T26">
        <v>4.0972679999999997</v>
      </c>
      <c r="U26">
        <v>9.7036069999999999</v>
      </c>
      <c r="V26">
        <v>10.680859999999999</v>
      </c>
      <c r="W26">
        <v>53.818286999999998</v>
      </c>
      <c r="X26">
        <v>0.44178600000000001</v>
      </c>
      <c r="Y26" t="s">
        <v>229</v>
      </c>
      <c r="Z26">
        <v>0</v>
      </c>
      <c r="AA26">
        <v>0</v>
      </c>
      <c r="AB26">
        <v>0</v>
      </c>
      <c r="AC26">
        <v>55.529235999999997</v>
      </c>
      <c r="AD26">
        <v>95.990898000000001</v>
      </c>
      <c r="AE26">
        <v>0.421516</v>
      </c>
      <c r="AF26">
        <v>0.5</v>
      </c>
      <c r="AG26">
        <v>0.8</v>
      </c>
      <c r="AH26">
        <v>298.54202299999997</v>
      </c>
      <c r="AI26">
        <v>18.649999999999999</v>
      </c>
      <c r="AJ26">
        <v>16.940000000000001</v>
      </c>
      <c r="AK26">
        <v>34.32</v>
      </c>
      <c r="AL26">
        <v>33.21</v>
      </c>
      <c r="AM26">
        <v>94.98</v>
      </c>
      <c r="AN26">
        <v>156.4</v>
      </c>
      <c r="AO26">
        <v>147.30000000000001</v>
      </c>
      <c r="AP26">
        <v>5.8</v>
      </c>
      <c r="AQ26">
        <v>1771</v>
      </c>
      <c r="AR26">
        <v>3.613</v>
      </c>
      <c r="AS26" s="3">
        <v>0.57630787037037035</v>
      </c>
      <c r="AT26" s="1">
        <v>45042</v>
      </c>
      <c r="AU26">
        <v>-0.2</v>
      </c>
      <c r="AV26">
        <v>1E-3</v>
      </c>
      <c r="AW26">
        <v>2E-3</v>
      </c>
      <c r="AX26">
        <v>5.0000000000000001E-3</v>
      </c>
      <c r="AY26">
        <v>-9.1959999999999997</v>
      </c>
      <c r="AZ26">
        <v>4.694</v>
      </c>
      <c r="BA26">
        <v>-54.878999999999998</v>
      </c>
      <c r="BB26">
        <v>1</v>
      </c>
      <c r="BC26">
        <v>150</v>
      </c>
      <c r="BD26">
        <v>5.0000000000000001E-3</v>
      </c>
      <c r="BE26">
        <v>2</v>
      </c>
      <c r="BF26">
        <v>0</v>
      </c>
      <c r="BG26" t="s">
        <v>200</v>
      </c>
      <c r="BH26">
        <v>7000</v>
      </c>
      <c r="BI26">
        <v>500</v>
      </c>
      <c r="BJ26">
        <v>5</v>
      </c>
      <c r="BK26">
        <v>2</v>
      </c>
      <c r="BL26">
        <v>300</v>
      </c>
      <c r="BM26">
        <v>300</v>
      </c>
      <c r="BN26">
        <v>300</v>
      </c>
      <c r="BO26">
        <v>95.990898000000001</v>
      </c>
      <c r="BP26">
        <v>25</v>
      </c>
      <c r="BQ26">
        <v>15.580263</v>
      </c>
      <c r="BR26">
        <v>101.661804</v>
      </c>
      <c r="BS26">
        <v>118.337791</v>
      </c>
      <c r="BT26">
        <v>-16.675986999999999</v>
      </c>
      <c r="BU26">
        <v>2.375791</v>
      </c>
      <c r="BV26">
        <v>2.4430710000000002</v>
      </c>
      <c r="BW26">
        <v>1.5883179999999999</v>
      </c>
      <c r="BX26">
        <v>0.97009000000000001</v>
      </c>
      <c r="BY26">
        <v>0.18878800000000001</v>
      </c>
      <c r="BZ26">
        <v>-1.4763E-2</v>
      </c>
      <c r="CA26">
        <v>0.19941900000000001</v>
      </c>
      <c r="CB26">
        <v>1.677616</v>
      </c>
      <c r="CC26">
        <v>55.529235999999997</v>
      </c>
      <c r="CD26">
        <v>3.48E-4</v>
      </c>
      <c r="CE26">
        <v>2.3486280000000002</v>
      </c>
      <c r="CF26">
        <v>-5.1E-5</v>
      </c>
      <c r="CG26">
        <v>1</v>
      </c>
      <c r="CH26">
        <v>2.4109430000000001</v>
      </c>
      <c r="CI26">
        <v>-5.7000000000000003E-5</v>
      </c>
      <c r="CJ26">
        <v>1</v>
      </c>
      <c r="CK26">
        <v>0.60051900000000002</v>
      </c>
      <c r="CL26">
        <v>0.60216099999999995</v>
      </c>
      <c r="CM26">
        <v>0.107265</v>
      </c>
      <c r="CN26">
        <v>0</v>
      </c>
      <c r="CO26" t="s">
        <v>229</v>
      </c>
      <c r="CP26" t="s">
        <v>201</v>
      </c>
      <c r="CQ26" t="s">
        <v>202</v>
      </c>
      <c r="CR26" t="s">
        <v>203</v>
      </c>
      <c r="CS26" t="s">
        <v>204</v>
      </c>
      <c r="CT26" t="s">
        <v>205</v>
      </c>
      <c r="CU26" t="s">
        <v>206</v>
      </c>
    </row>
    <row r="27" spans="1:99">
      <c r="A27">
        <v>6</v>
      </c>
      <c r="B27" s="3">
        <v>0.58059027777777772</v>
      </c>
      <c r="C27" s="1">
        <v>45042</v>
      </c>
      <c r="D27" t="s">
        <v>196</v>
      </c>
      <c r="E27" t="s">
        <v>197</v>
      </c>
      <c r="G27" s="1">
        <v>45042</v>
      </c>
      <c r="H27">
        <v>6</v>
      </c>
      <c r="I27" t="s">
        <v>212</v>
      </c>
      <c r="J27">
        <v>2</v>
      </c>
      <c r="M27">
        <v>0.163301</v>
      </c>
      <c r="N27">
        <v>2.919025</v>
      </c>
      <c r="O27">
        <v>0.15464900000000001</v>
      </c>
      <c r="P27">
        <v>8.1274820000000005</v>
      </c>
      <c r="Q27">
        <v>1.2528600000000001</v>
      </c>
      <c r="R27">
        <v>1.037622</v>
      </c>
      <c r="S27">
        <v>6.0529450000000002</v>
      </c>
      <c r="T27">
        <v>4.8000850000000002</v>
      </c>
      <c r="U27">
        <v>10.923631</v>
      </c>
      <c r="V27">
        <v>13.189568</v>
      </c>
      <c r="W27">
        <v>63.722759000000003</v>
      </c>
      <c r="X27">
        <v>0.44178600000000001</v>
      </c>
      <c r="Y27" t="s">
        <v>230</v>
      </c>
      <c r="Z27">
        <v>0</v>
      </c>
      <c r="AA27">
        <v>0</v>
      </c>
      <c r="AB27">
        <v>0</v>
      </c>
      <c r="AC27">
        <v>155.92503400000001</v>
      </c>
      <c r="AD27">
        <v>225.81776400000001</v>
      </c>
      <c r="AE27">
        <v>0.30950899999999998</v>
      </c>
      <c r="AF27">
        <v>0.5</v>
      </c>
      <c r="AG27">
        <v>0.8</v>
      </c>
      <c r="AH27">
        <v>232.507904</v>
      </c>
      <c r="AI27">
        <v>22.99</v>
      </c>
      <c r="AJ27">
        <v>19.04</v>
      </c>
      <c r="AK27">
        <v>34.36</v>
      </c>
      <c r="AL27">
        <v>36.25</v>
      </c>
      <c r="AM27">
        <v>94.99</v>
      </c>
      <c r="AN27">
        <v>156.4</v>
      </c>
      <c r="AO27">
        <v>147.5</v>
      </c>
      <c r="AP27">
        <v>5.7</v>
      </c>
      <c r="AQ27">
        <v>1878</v>
      </c>
      <c r="AR27">
        <v>3.653</v>
      </c>
      <c r="AS27" s="3">
        <v>0.57630787037037035</v>
      </c>
      <c r="AT27" s="1">
        <v>45042</v>
      </c>
      <c r="AU27">
        <v>-0.2</v>
      </c>
      <c r="AV27">
        <v>1E-3</v>
      </c>
      <c r="AW27">
        <v>1E-3</v>
      </c>
      <c r="AX27">
        <v>2E-3</v>
      </c>
      <c r="AY27">
        <v>-1.962</v>
      </c>
      <c r="AZ27">
        <v>-2.3250000000000002</v>
      </c>
      <c r="BA27">
        <v>44.387</v>
      </c>
      <c r="BB27">
        <v>1</v>
      </c>
      <c r="BC27">
        <v>150</v>
      </c>
      <c r="BD27">
        <v>5.0000000000000001E-3</v>
      </c>
      <c r="BE27">
        <v>2</v>
      </c>
      <c r="BF27">
        <v>0</v>
      </c>
      <c r="BG27" t="s">
        <v>200</v>
      </c>
      <c r="BH27">
        <v>7000</v>
      </c>
      <c r="BI27">
        <v>500</v>
      </c>
      <c r="BJ27">
        <v>5</v>
      </c>
      <c r="BK27">
        <v>2</v>
      </c>
      <c r="BL27">
        <v>300</v>
      </c>
      <c r="BM27">
        <v>300</v>
      </c>
      <c r="BN27">
        <v>300</v>
      </c>
      <c r="BO27">
        <v>223.669769</v>
      </c>
      <c r="BP27">
        <v>25</v>
      </c>
      <c r="BQ27">
        <v>-1.3522080000000001</v>
      </c>
      <c r="BR27">
        <v>229.34532200000001</v>
      </c>
      <c r="BS27">
        <v>223.87828099999999</v>
      </c>
      <c r="BT27">
        <v>5.467041</v>
      </c>
      <c r="BU27">
        <v>2.3788960000000001</v>
      </c>
      <c r="BV27">
        <v>2.4497979999999999</v>
      </c>
      <c r="BW27">
        <v>1.5881449999999999</v>
      </c>
      <c r="BX27">
        <v>0.97090399999999999</v>
      </c>
      <c r="BY27">
        <v>0.18854499999999999</v>
      </c>
      <c r="BZ27">
        <v>2.4716999999999999E-2</v>
      </c>
      <c r="CA27">
        <v>0.20430899999999999</v>
      </c>
      <c r="CB27">
        <v>1.7728569999999999</v>
      </c>
      <c r="CC27">
        <v>155.92503400000001</v>
      </c>
      <c r="CD27">
        <v>3.4600000000000001E-4</v>
      </c>
      <c r="CE27">
        <v>2.3486280000000002</v>
      </c>
      <c r="CF27">
        <v>-5.1E-5</v>
      </c>
      <c r="CG27">
        <v>1</v>
      </c>
      <c r="CH27">
        <v>2.4109430000000001</v>
      </c>
      <c r="CI27">
        <v>-5.7000000000000003E-5</v>
      </c>
      <c r="CJ27">
        <v>1</v>
      </c>
      <c r="CK27">
        <v>0.60051900000000002</v>
      </c>
      <c r="CL27">
        <v>0.60216099999999995</v>
      </c>
      <c r="CM27">
        <v>0.107265</v>
      </c>
      <c r="CN27">
        <v>0</v>
      </c>
      <c r="CO27" t="s">
        <v>230</v>
      </c>
      <c r="CP27" t="s">
        <v>201</v>
      </c>
      <c r="CQ27" t="s">
        <v>202</v>
      </c>
      <c r="CR27" t="s">
        <v>203</v>
      </c>
      <c r="CS27" t="s">
        <v>204</v>
      </c>
      <c r="CT27" t="s">
        <v>205</v>
      </c>
      <c r="CU27" t="s">
        <v>206</v>
      </c>
    </row>
    <row r="28" spans="1:99">
      <c r="A28">
        <v>1</v>
      </c>
      <c r="B28" s="3">
        <v>0.58394675925925921</v>
      </c>
      <c r="C28" s="1">
        <v>45042</v>
      </c>
      <c r="D28" t="s">
        <v>196</v>
      </c>
      <c r="E28" t="s">
        <v>197</v>
      </c>
      <c r="G28" s="1">
        <v>45042</v>
      </c>
      <c r="H28">
        <v>1</v>
      </c>
      <c r="I28" t="s">
        <v>231</v>
      </c>
      <c r="J28">
        <v>2</v>
      </c>
      <c r="M28">
        <v>0.13445699999999999</v>
      </c>
      <c r="N28">
        <v>2.9194550000000001</v>
      </c>
      <c r="O28">
        <v>0.12853800000000001</v>
      </c>
      <c r="P28">
        <v>5.3273539999999997</v>
      </c>
      <c r="Q28">
        <v>1.0989139999999999</v>
      </c>
      <c r="R28">
        <v>0.95770299999999997</v>
      </c>
      <c r="S28">
        <v>4.9097670000000004</v>
      </c>
      <c r="T28">
        <v>3.8108520000000001</v>
      </c>
      <c r="U28">
        <v>10.086176</v>
      </c>
      <c r="V28">
        <v>11.573366999999999</v>
      </c>
      <c r="W28">
        <v>51.707878000000001</v>
      </c>
      <c r="X28">
        <v>0.44178600000000001</v>
      </c>
      <c r="Y28" t="s">
        <v>232</v>
      </c>
      <c r="Z28">
        <v>0</v>
      </c>
      <c r="AA28">
        <v>0</v>
      </c>
      <c r="AB28">
        <v>0</v>
      </c>
      <c r="AC28">
        <v>92.146750999999995</v>
      </c>
      <c r="AD28">
        <v>392.85672</v>
      </c>
      <c r="AE28">
        <v>0.76544400000000001</v>
      </c>
      <c r="AF28">
        <v>0.5</v>
      </c>
      <c r="AG28">
        <v>0.8</v>
      </c>
      <c r="AH28">
        <v>178.37434400000001</v>
      </c>
      <c r="AI28">
        <v>20.149999999999999</v>
      </c>
      <c r="AJ28">
        <v>17.559999999999999</v>
      </c>
      <c r="AK28">
        <v>34.369999999999997</v>
      </c>
      <c r="AL28">
        <v>32.49</v>
      </c>
      <c r="AM28">
        <v>94.95</v>
      </c>
      <c r="AN28">
        <v>156.4</v>
      </c>
      <c r="AO28">
        <v>147.1</v>
      </c>
      <c r="AP28">
        <v>6</v>
      </c>
      <c r="AQ28">
        <v>583</v>
      </c>
      <c r="AR28">
        <v>3.6549999999999998</v>
      </c>
      <c r="AS28" s="3">
        <v>0.58376157407407414</v>
      </c>
      <c r="AT28" s="1">
        <v>45042</v>
      </c>
      <c r="AU28">
        <v>-0.24</v>
      </c>
      <c r="AV28">
        <v>-1E-3</v>
      </c>
      <c r="AW28">
        <v>-1E-3</v>
      </c>
      <c r="AX28">
        <v>8.0000000000000002E-3</v>
      </c>
      <c r="AY28">
        <v>-0.77700000000000002</v>
      </c>
      <c r="AZ28">
        <v>-2.1520000000000001</v>
      </c>
      <c r="BA28">
        <v>-11.443</v>
      </c>
      <c r="BB28">
        <v>1</v>
      </c>
      <c r="BC28">
        <v>150</v>
      </c>
      <c r="BD28">
        <v>5.0000000000000001E-3</v>
      </c>
      <c r="BE28">
        <v>2</v>
      </c>
      <c r="BF28">
        <v>0</v>
      </c>
      <c r="BG28" t="s">
        <v>200</v>
      </c>
      <c r="BH28">
        <v>7000</v>
      </c>
      <c r="BI28">
        <v>500</v>
      </c>
      <c r="BJ28">
        <v>5</v>
      </c>
      <c r="BK28">
        <v>2</v>
      </c>
      <c r="BL28">
        <v>300</v>
      </c>
      <c r="BM28">
        <v>300</v>
      </c>
      <c r="BN28">
        <v>300</v>
      </c>
      <c r="BO28">
        <v>372.02453600000001</v>
      </c>
      <c r="BP28">
        <v>25</v>
      </c>
      <c r="BQ28">
        <v>-13.996351000000001</v>
      </c>
      <c r="BR28">
        <v>378.32165500000002</v>
      </c>
      <c r="BS28">
        <v>372.78164700000002</v>
      </c>
      <c r="BT28">
        <v>5.5400090000000004</v>
      </c>
      <c r="BU28">
        <v>2.3767119999999999</v>
      </c>
      <c r="BV28">
        <v>2.4454829999999999</v>
      </c>
      <c r="BW28">
        <v>1.58856</v>
      </c>
      <c r="BX28">
        <v>0.96965800000000002</v>
      </c>
      <c r="BY28">
        <v>0.18847</v>
      </c>
      <c r="BZ28">
        <v>-2.453E-2</v>
      </c>
      <c r="CA28">
        <v>0.18674399999999999</v>
      </c>
      <c r="CB28">
        <v>0.62394700000000003</v>
      </c>
      <c r="CC28">
        <v>92.146750999999995</v>
      </c>
      <c r="CD28">
        <v>3.5799999999999997E-4</v>
      </c>
      <c r="CE28">
        <v>2.3486280000000002</v>
      </c>
      <c r="CF28">
        <v>-5.1E-5</v>
      </c>
      <c r="CG28">
        <v>1</v>
      </c>
      <c r="CH28">
        <v>2.4109430000000001</v>
      </c>
      <c r="CI28">
        <v>-5.7000000000000003E-5</v>
      </c>
      <c r="CJ28">
        <v>1</v>
      </c>
      <c r="CK28">
        <v>0.60051900000000002</v>
      </c>
      <c r="CL28">
        <v>0.60216099999999995</v>
      </c>
      <c r="CM28">
        <v>0.107265</v>
      </c>
      <c r="CN28">
        <v>0</v>
      </c>
      <c r="CO28" t="s">
        <v>232</v>
      </c>
      <c r="CP28" t="s">
        <v>201</v>
      </c>
      <c r="CQ28" t="s">
        <v>202</v>
      </c>
      <c r="CR28" t="s">
        <v>203</v>
      </c>
      <c r="CS28" t="s">
        <v>204</v>
      </c>
      <c r="CT28" t="s">
        <v>205</v>
      </c>
      <c r="CU28" t="s">
        <v>206</v>
      </c>
    </row>
    <row r="29" spans="1:99">
      <c r="A29">
        <v>2</v>
      </c>
      <c r="B29" s="3">
        <v>0.58437499999999998</v>
      </c>
      <c r="C29" s="1">
        <v>45042</v>
      </c>
      <c r="D29" t="s">
        <v>196</v>
      </c>
      <c r="E29" t="s">
        <v>197</v>
      </c>
      <c r="G29" s="1">
        <v>45042</v>
      </c>
      <c r="H29">
        <v>2</v>
      </c>
      <c r="I29" t="s">
        <v>231</v>
      </c>
      <c r="J29">
        <v>2</v>
      </c>
      <c r="M29">
        <v>0.20901600000000001</v>
      </c>
      <c r="N29">
        <v>2.9192239999999998</v>
      </c>
      <c r="O29">
        <v>0.195051</v>
      </c>
      <c r="P29">
        <v>7.5602869999999998</v>
      </c>
      <c r="Q29">
        <v>1.1453409999999999</v>
      </c>
      <c r="R29">
        <v>0.94498599999999999</v>
      </c>
      <c r="S29">
        <v>4.7125250000000003</v>
      </c>
      <c r="T29">
        <v>3.5671849999999998</v>
      </c>
      <c r="U29">
        <v>9.9514139999999998</v>
      </c>
      <c r="V29">
        <v>12.061296</v>
      </c>
      <c r="W29">
        <v>49.626427</v>
      </c>
      <c r="X29">
        <v>0.44178600000000001</v>
      </c>
      <c r="Y29" t="s">
        <v>233</v>
      </c>
      <c r="Z29">
        <v>0</v>
      </c>
      <c r="AA29">
        <v>0</v>
      </c>
      <c r="AB29">
        <v>0</v>
      </c>
      <c r="AC29">
        <v>112.653854</v>
      </c>
      <c r="AD29">
        <v>446.61651599999999</v>
      </c>
      <c r="AE29">
        <v>0.74776200000000004</v>
      </c>
      <c r="AF29">
        <v>0.5</v>
      </c>
      <c r="AG29">
        <v>0.8</v>
      </c>
      <c r="AH29">
        <v>439.528503</v>
      </c>
      <c r="AI29">
        <v>20.96</v>
      </c>
      <c r="AJ29">
        <v>17.29</v>
      </c>
      <c r="AK29">
        <v>34.4</v>
      </c>
      <c r="AL29">
        <v>31.77</v>
      </c>
      <c r="AM29">
        <v>94.96</v>
      </c>
      <c r="AN29">
        <v>156.4</v>
      </c>
      <c r="AO29">
        <v>147.5</v>
      </c>
      <c r="AP29">
        <v>5.7</v>
      </c>
      <c r="AQ29">
        <v>1469</v>
      </c>
      <c r="AR29">
        <v>3.6539999999999999</v>
      </c>
      <c r="AS29" s="3">
        <v>0.58376157407407414</v>
      </c>
      <c r="AT29" s="1">
        <v>45042</v>
      </c>
      <c r="AU29">
        <v>-0.24</v>
      </c>
      <c r="AV29">
        <v>3.0000000000000001E-3</v>
      </c>
      <c r="AW29">
        <v>1E-3</v>
      </c>
      <c r="AX29">
        <v>-1E-3</v>
      </c>
      <c r="AY29">
        <v>-1.1080000000000001</v>
      </c>
      <c r="AZ29">
        <v>1.4999999999999999E-2</v>
      </c>
      <c r="BA29">
        <v>-49.905999999999999</v>
      </c>
      <c r="BB29">
        <v>1</v>
      </c>
      <c r="BC29">
        <v>150</v>
      </c>
      <c r="BD29">
        <v>5.0000000000000001E-3</v>
      </c>
      <c r="BE29">
        <v>2</v>
      </c>
      <c r="BF29">
        <v>0</v>
      </c>
      <c r="BG29" t="s">
        <v>200</v>
      </c>
      <c r="BH29">
        <v>7000</v>
      </c>
      <c r="BI29">
        <v>500</v>
      </c>
      <c r="BJ29">
        <v>5</v>
      </c>
      <c r="BK29">
        <v>2</v>
      </c>
      <c r="BL29">
        <v>300</v>
      </c>
      <c r="BM29">
        <v>300</v>
      </c>
      <c r="BN29">
        <v>300</v>
      </c>
      <c r="BO29">
        <v>420.45880099999999</v>
      </c>
      <c r="BP29">
        <v>25</v>
      </c>
      <c r="BQ29">
        <v>-18.007721</v>
      </c>
      <c r="BR29">
        <v>424.18490600000001</v>
      </c>
      <c r="BS29">
        <v>420.78790300000003</v>
      </c>
      <c r="BT29">
        <v>3.3970030000000002</v>
      </c>
      <c r="BU29">
        <v>2.3763070000000002</v>
      </c>
      <c r="BV29">
        <v>2.446733</v>
      </c>
      <c r="BW29">
        <v>1.5883370000000001</v>
      </c>
      <c r="BX29">
        <v>0.97079199999999999</v>
      </c>
      <c r="BY29">
        <v>0.188197</v>
      </c>
      <c r="BZ29">
        <v>-3.4255000000000001E-2</v>
      </c>
      <c r="CA29">
        <v>0.19105800000000001</v>
      </c>
      <c r="CB29">
        <v>1.4105179999999999</v>
      </c>
      <c r="CC29">
        <v>112.653854</v>
      </c>
      <c r="CD29">
        <v>3.5500000000000001E-4</v>
      </c>
      <c r="CE29">
        <v>2.3486280000000002</v>
      </c>
      <c r="CF29">
        <v>-5.1E-5</v>
      </c>
      <c r="CG29">
        <v>1</v>
      </c>
      <c r="CH29">
        <v>2.4109430000000001</v>
      </c>
      <c r="CI29">
        <v>-5.7000000000000003E-5</v>
      </c>
      <c r="CJ29">
        <v>1</v>
      </c>
      <c r="CK29">
        <v>0.60051900000000002</v>
      </c>
      <c r="CL29">
        <v>0.60216099999999995</v>
      </c>
      <c r="CM29">
        <v>0.107265</v>
      </c>
      <c r="CN29">
        <v>0</v>
      </c>
      <c r="CO29" t="s">
        <v>233</v>
      </c>
      <c r="CP29" t="s">
        <v>201</v>
      </c>
      <c r="CQ29" t="s">
        <v>202</v>
      </c>
      <c r="CR29" t="s">
        <v>203</v>
      </c>
      <c r="CS29" t="s">
        <v>204</v>
      </c>
      <c r="CT29" t="s">
        <v>205</v>
      </c>
      <c r="CU29" t="s">
        <v>206</v>
      </c>
    </row>
    <row r="30" spans="1:99">
      <c r="A30">
        <v>3</v>
      </c>
      <c r="B30" s="3">
        <v>0.58550925925925923</v>
      </c>
      <c r="C30" s="1">
        <v>45042</v>
      </c>
      <c r="D30" t="s">
        <v>196</v>
      </c>
      <c r="E30" t="s">
        <v>197</v>
      </c>
      <c r="G30" s="1">
        <v>45042</v>
      </c>
      <c r="H30">
        <v>3</v>
      </c>
      <c r="I30" t="s">
        <v>231</v>
      </c>
      <c r="J30">
        <v>2</v>
      </c>
      <c r="M30">
        <v>0.273262</v>
      </c>
      <c r="N30">
        <v>2.9198599999999999</v>
      </c>
      <c r="O30">
        <v>0.24987699999999999</v>
      </c>
      <c r="P30">
        <v>12.161735999999999</v>
      </c>
      <c r="Q30">
        <v>1.204242</v>
      </c>
      <c r="R30">
        <v>0.88230299999999995</v>
      </c>
      <c r="S30">
        <v>5.6591100000000001</v>
      </c>
      <c r="T30">
        <v>4.4548670000000001</v>
      </c>
      <c r="U30">
        <v>9.2911149999999996</v>
      </c>
      <c r="V30">
        <v>12.681309000000001</v>
      </c>
      <c r="W30">
        <v>59.593414000000003</v>
      </c>
      <c r="X30">
        <v>0.44178600000000001</v>
      </c>
      <c r="Y30" t="s">
        <v>234</v>
      </c>
      <c r="Z30">
        <v>0</v>
      </c>
      <c r="AA30">
        <v>0</v>
      </c>
      <c r="AB30">
        <v>0</v>
      </c>
      <c r="AC30">
        <v>109.48455</v>
      </c>
      <c r="AD30">
        <v>199.83760100000001</v>
      </c>
      <c r="AE30">
        <v>0.45213199999999998</v>
      </c>
      <c r="AF30">
        <v>0.5</v>
      </c>
      <c r="AG30">
        <v>0.8</v>
      </c>
      <c r="AH30">
        <v>379.18814099999997</v>
      </c>
      <c r="AI30">
        <v>21.93</v>
      </c>
      <c r="AJ30">
        <v>16.07</v>
      </c>
      <c r="AK30">
        <v>34.49</v>
      </c>
      <c r="AL30">
        <v>35.03</v>
      </c>
      <c r="AM30">
        <v>94.96</v>
      </c>
      <c r="AN30">
        <v>156.5</v>
      </c>
      <c r="AO30">
        <v>147.69999999999999</v>
      </c>
      <c r="AP30">
        <v>5.6</v>
      </c>
      <c r="AQ30">
        <v>2097</v>
      </c>
      <c r="AR30">
        <v>3.6509999999999998</v>
      </c>
      <c r="AS30" s="3">
        <v>0.58376157407407414</v>
      </c>
      <c r="AT30" s="1">
        <v>45042</v>
      </c>
      <c r="AU30">
        <v>-0.24</v>
      </c>
      <c r="AV30">
        <v>2E-3</v>
      </c>
      <c r="AW30">
        <v>4.0000000000000001E-3</v>
      </c>
      <c r="AX30">
        <v>-9999</v>
      </c>
      <c r="AY30">
        <v>-1.4339999999999999</v>
      </c>
      <c r="AZ30">
        <v>-0.17599999999999999</v>
      </c>
      <c r="BA30">
        <v>-9999</v>
      </c>
      <c r="BB30">
        <v>1</v>
      </c>
      <c r="BC30">
        <v>150</v>
      </c>
      <c r="BD30">
        <v>5.0000000000000001E-3</v>
      </c>
      <c r="BE30">
        <v>2</v>
      </c>
      <c r="BF30">
        <v>0</v>
      </c>
      <c r="BG30" t="s">
        <v>200</v>
      </c>
      <c r="BH30">
        <v>7000</v>
      </c>
      <c r="BI30">
        <v>500</v>
      </c>
      <c r="BJ30">
        <v>5</v>
      </c>
      <c r="BK30">
        <v>2</v>
      </c>
      <c r="BL30">
        <v>300</v>
      </c>
      <c r="BM30">
        <v>300</v>
      </c>
      <c r="BN30">
        <v>300</v>
      </c>
      <c r="BO30">
        <v>176.64634699999999</v>
      </c>
      <c r="BP30">
        <v>25</v>
      </c>
      <c r="BQ30">
        <v>-16.689907000000002</v>
      </c>
      <c r="BR30">
        <v>172.807571</v>
      </c>
      <c r="BS30">
        <v>175.89913899999999</v>
      </c>
      <c r="BT30">
        <v>-3.0915680000000001</v>
      </c>
      <c r="BU30">
        <v>2.3744580000000002</v>
      </c>
      <c r="BV30">
        <v>2.4482210000000002</v>
      </c>
      <c r="BW30">
        <v>1.5889530000000001</v>
      </c>
      <c r="BX30">
        <v>0.97145499999999996</v>
      </c>
      <c r="BY30">
        <v>0.18756800000000001</v>
      </c>
      <c r="BZ30">
        <v>6.8170000000000001E-3</v>
      </c>
      <c r="CA30">
        <v>0.20271800000000001</v>
      </c>
      <c r="CB30">
        <v>1.9667559999999999</v>
      </c>
      <c r="CC30">
        <v>109.48455</v>
      </c>
      <c r="CD30">
        <v>3.4600000000000001E-4</v>
      </c>
      <c r="CE30">
        <v>2.3486280000000002</v>
      </c>
      <c r="CF30">
        <v>-5.1E-5</v>
      </c>
      <c r="CG30">
        <v>1</v>
      </c>
      <c r="CH30">
        <v>2.4109430000000001</v>
      </c>
      <c r="CI30">
        <v>-5.7000000000000003E-5</v>
      </c>
      <c r="CJ30">
        <v>1</v>
      </c>
      <c r="CK30">
        <v>0.60051900000000002</v>
      </c>
      <c r="CL30">
        <v>0.60216099999999995</v>
      </c>
      <c r="CM30">
        <v>0.107265</v>
      </c>
      <c r="CN30">
        <v>0</v>
      </c>
      <c r="CO30" t="s">
        <v>234</v>
      </c>
      <c r="CP30" t="s">
        <v>201</v>
      </c>
      <c r="CQ30" t="s">
        <v>202</v>
      </c>
      <c r="CR30" t="s">
        <v>203</v>
      </c>
      <c r="CS30" t="s">
        <v>204</v>
      </c>
      <c r="CT30" t="s">
        <v>205</v>
      </c>
      <c r="CU30" t="s">
        <v>206</v>
      </c>
    </row>
    <row r="31" spans="1:99">
      <c r="A31">
        <v>4</v>
      </c>
      <c r="B31" s="3">
        <v>0.58568287037037037</v>
      </c>
      <c r="C31" s="1">
        <v>45042</v>
      </c>
      <c r="D31" t="s">
        <v>196</v>
      </c>
      <c r="E31" t="s">
        <v>197</v>
      </c>
      <c r="G31" s="1">
        <v>45042</v>
      </c>
      <c r="H31">
        <v>4</v>
      </c>
      <c r="I31" t="s">
        <v>231</v>
      </c>
      <c r="J31">
        <v>2</v>
      </c>
      <c r="M31">
        <v>0.13678999999999999</v>
      </c>
      <c r="N31">
        <v>2.9177499999999998</v>
      </c>
      <c r="O31">
        <v>0.130664</v>
      </c>
      <c r="P31">
        <v>6.8134100000000002</v>
      </c>
      <c r="Q31">
        <v>1.061828</v>
      </c>
      <c r="R31">
        <v>0.88089099999999998</v>
      </c>
      <c r="S31">
        <v>5.8338179999999999</v>
      </c>
      <c r="T31">
        <v>4.7719899999999997</v>
      </c>
      <c r="U31">
        <v>9.2761999999999993</v>
      </c>
      <c r="V31">
        <v>11.181554999999999</v>
      </c>
      <c r="W31">
        <v>61.432865</v>
      </c>
      <c r="X31">
        <v>0.44178600000000001</v>
      </c>
      <c r="Y31" t="s">
        <v>235</v>
      </c>
      <c r="Z31">
        <v>0</v>
      </c>
      <c r="AA31">
        <v>0</v>
      </c>
      <c r="AB31">
        <v>0</v>
      </c>
      <c r="AC31">
        <v>138.60296600000001</v>
      </c>
      <c r="AD31">
        <v>222.44914199999999</v>
      </c>
      <c r="AE31">
        <v>0.37692300000000001</v>
      </c>
      <c r="AF31">
        <v>0.5</v>
      </c>
      <c r="AG31">
        <v>0.8</v>
      </c>
      <c r="AH31">
        <v>302.897156</v>
      </c>
      <c r="AI31">
        <v>19.32</v>
      </c>
      <c r="AJ31">
        <v>16.03</v>
      </c>
      <c r="AK31">
        <v>34.51</v>
      </c>
      <c r="AL31">
        <v>35.58</v>
      </c>
      <c r="AM31">
        <v>94.96</v>
      </c>
      <c r="AN31">
        <v>156.19999999999999</v>
      </c>
      <c r="AO31">
        <v>147.30000000000001</v>
      </c>
      <c r="AP31">
        <v>5.7</v>
      </c>
      <c r="AQ31">
        <v>2009</v>
      </c>
      <c r="AR31">
        <v>3.65</v>
      </c>
      <c r="AS31" s="3">
        <v>0.58376157407407414</v>
      </c>
      <c r="AT31" s="1">
        <v>45042</v>
      </c>
      <c r="AU31">
        <v>-0.24</v>
      </c>
      <c r="AV31">
        <v>0</v>
      </c>
      <c r="AW31">
        <v>-2E-3</v>
      </c>
      <c r="AX31">
        <v>-9999</v>
      </c>
      <c r="AY31">
        <v>-0.996</v>
      </c>
      <c r="AZ31">
        <v>1.597</v>
      </c>
      <c r="BA31">
        <v>-9999</v>
      </c>
      <c r="BB31">
        <v>1</v>
      </c>
      <c r="BC31">
        <v>150</v>
      </c>
      <c r="BD31">
        <v>5.0000000000000001E-3</v>
      </c>
      <c r="BE31">
        <v>2</v>
      </c>
      <c r="BF31">
        <v>0</v>
      </c>
      <c r="BG31" t="s">
        <v>200</v>
      </c>
      <c r="BH31">
        <v>7000</v>
      </c>
      <c r="BI31">
        <v>500</v>
      </c>
      <c r="BJ31">
        <v>5</v>
      </c>
      <c r="BK31">
        <v>2</v>
      </c>
      <c r="BL31">
        <v>300</v>
      </c>
      <c r="BM31">
        <v>300</v>
      </c>
      <c r="BN31">
        <v>300</v>
      </c>
      <c r="BO31">
        <v>213.15408300000001</v>
      </c>
      <c r="BP31">
        <v>25</v>
      </c>
      <c r="BQ31">
        <v>-6.364611</v>
      </c>
      <c r="BR31">
        <v>215.45756499999999</v>
      </c>
      <c r="BS31">
        <v>213.32032799999999</v>
      </c>
      <c r="BT31">
        <v>2.137238</v>
      </c>
      <c r="BU31">
        <v>2.3743970000000001</v>
      </c>
      <c r="BV31">
        <v>2.4441660000000001</v>
      </c>
      <c r="BW31">
        <v>1.586913</v>
      </c>
      <c r="BX31">
        <v>0.97014900000000004</v>
      </c>
      <c r="BY31">
        <v>0.18745300000000001</v>
      </c>
      <c r="BZ31">
        <v>1.3864E-2</v>
      </c>
      <c r="CA31">
        <v>0.20433100000000001</v>
      </c>
      <c r="CB31">
        <v>1.8890180000000001</v>
      </c>
      <c r="CC31">
        <v>138.60296600000001</v>
      </c>
      <c r="CD31">
        <v>3.5399999999999999E-4</v>
      </c>
      <c r="CE31">
        <v>2.3486280000000002</v>
      </c>
      <c r="CF31">
        <v>-5.1E-5</v>
      </c>
      <c r="CG31">
        <v>1</v>
      </c>
      <c r="CH31">
        <v>2.4109430000000001</v>
      </c>
      <c r="CI31">
        <v>-5.7000000000000003E-5</v>
      </c>
      <c r="CJ31">
        <v>1</v>
      </c>
      <c r="CK31">
        <v>0.60051900000000002</v>
      </c>
      <c r="CL31">
        <v>0.60216099999999995</v>
      </c>
      <c r="CM31">
        <v>0.107265</v>
      </c>
      <c r="CN31">
        <v>0</v>
      </c>
      <c r="CO31" t="s">
        <v>235</v>
      </c>
      <c r="CP31" t="s">
        <v>201</v>
      </c>
      <c r="CQ31" t="s">
        <v>202</v>
      </c>
      <c r="CR31" t="s">
        <v>203</v>
      </c>
      <c r="CS31" t="s">
        <v>204</v>
      </c>
      <c r="CT31" t="s">
        <v>205</v>
      </c>
      <c r="CU31" t="s">
        <v>206</v>
      </c>
    </row>
    <row r="32" spans="1:99">
      <c r="A32">
        <v>5</v>
      </c>
      <c r="B32" s="3">
        <v>0.58659722222222221</v>
      </c>
      <c r="C32" s="1">
        <v>45042</v>
      </c>
      <c r="D32" t="s">
        <v>196</v>
      </c>
      <c r="E32" t="s">
        <v>197</v>
      </c>
      <c r="G32" s="1">
        <v>45042</v>
      </c>
      <c r="H32">
        <v>5</v>
      </c>
      <c r="I32" t="s">
        <v>231</v>
      </c>
      <c r="J32">
        <v>2</v>
      </c>
      <c r="M32">
        <v>0.20191100000000001</v>
      </c>
      <c r="N32">
        <v>2.9193150000000001</v>
      </c>
      <c r="O32">
        <v>0.18884999999999999</v>
      </c>
      <c r="P32">
        <v>9.3040599999999998</v>
      </c>
      <c r="Q32">
        <v>1.2102649999999999</v>
      </c>
      <c r="R32">
        <v>0.96390200000000004</v>
      </c>
      <c r="S32">
        <v>5.7177369999999996</v>
      </c>
      <c r="T32">
        <v>4.5074719999999999</v>
      </c>
      <c r="U32">
        <v>10.151168</v>
      </c>
      <c r="V32">
        <v>12.745706999999999</v>
      </c>
      <c r="W32">
        <v>60.215389000000002</v>
      </c>
      <c r="X32">
        <v>0.44178600000000001</v>
      </c>
      <c r="Y32" t="s">
        <v>236</v>
      </c>
      <c r="Z32">
        <v>0</v>
      </c>
      <c r="AA32">
        <v>0</v>
      </c>
      <c r="AB32">
        <v>0</v>
      </c>
      <c r="AC32">
        <v>95.042465000000007</v>
      </c>
      <c r="AD32">
        <v>178.43362400000001</v>
      </c>
      <c r="AE32">
        <v>0.46735100000000002</v>
      </c>
      <c r="AF32">
        <v>0.5</v>
      </c>
      <c r="AG32">
        <v>0.8</v>
      </c>
      <c r="AH32">
        <v>284.11721799999998</v>
      </c>
      <c r="AI32">
        <v>21.9</v>
      </c>
      <c r="AJ32">
        <v>17.45</v>
      </c>
      <c r="AK32">
        <v>34.6</v>
      </c>
      <c r="AL32">
        <v>35.22</v>
      </c>
      <c r="AM32">
        <v>94.95</v>
      </c>
      <c r="AN32">
        <v>156.4</v>
      </c>
      <c r="AO32">
        <v>147.30000000000001</v>
      </c>
      <c r="AP32">
        <v>5.8</v>
      </c>
      <c r="AQ32">
        <v>1520</v>
      </c>
      <c r="AR32">
        <v>3.649</v>
      </c>
      <c r="AS32" s="3">
        <v>0.58376157407407414</v>
      </c>
      <c r="AT32" s="1">
        <v>45042</v>
      </c>
      <c r="AU32">
        <v>-0.24</v>
      </c>
      <c r="AV32">
        <v>-1E-3</v>
      </c>
      <c r="AW32">
        <v>-1E-3</v>
      </c>
      <c r="AX32">
        <v>0</v>
      </c>
      <c r="AY32">
        <v>-1.62</v>
      </c>
      <c r="AZ32">
        <v>-3.8570000000000002</v>
      </c>
      <c r="BA32">
        <v>-12.428000000000001</v>
      </c>
      <c r="BB32">
        <v>1</v>
      </c>
      <c r="BC32">
        <v>150</v>
      </c>
      <c r="BD32">
        <v>5.0000000000000001E-3</v>
      </c>
      <c r="BE32">
        <v>2</v>
      </c>
      <c r="BF32">
        <v>0</v>
      </c>
      <c r="BG32" t="s">
        <v>200</v>
      </c>
      <c r="BH32">
        <v>7000</v>
      </c>
      <c r="BI32">
        <v>500</v>
      </c>
      <c r="BJ32">
        <v>5</v>
      </c>
      <c r="BK32">
        <v>2</v>
      </c>
      <c r="BL32">
        <v>300</v>
      </c>
      <c r="BM32">
        <v>300</v>
      </c>
      <c r="BN32">
        <v>300</v>
      </c>
      <c r="BO32">
        <v>163.58291600000001</v>
      </c>
      <c r="BP32">
        <v>25</v>
      </c>
      <c r="BQ32">
        <v>-10.268274999999999</v>
      </c>
      <c r="BR32">
        <v>162.429214</v>
      </c>
      <c r="BS32">
        <v>163.70576500000001</v>
      </c>
      <c r="BT32">
        <v>-1.2765500000000001</v>
      </c>
      <c r="BU32">
        <v>2.3765149999999999</v>
      </c>
      <c r="BV32">
        <v>2.4481649999999999</v>
      </c>
      <c r="BW32">
        <v>1.588425</v>
      </c>
      <c r="BX32">
        <v>0.97031199999999995</v>
      </c>
      <c r="BY32">
        <v>0.18675600000000001</v>
      </c>
      <c r="BZ32">
        <v>7.8079999999999998E-3</v>
      </c>
      <c r="CA32">
        <v>0.212951</v>
      </c>
      <c r="CB32">
        <v>1.4551689999999999</v>
      </c>
      <c r="CC32">
        <v>95.042465000000007</v>
      </c>
      <c r="CD32">
        <v>3.48E-4</v>
      </c>
      <c r="CE32">
        <v>2.3486280000000002</v>
      </c>
      <c r="CF32">
        <v>-5.1E-5</v>
      </c>
      <c r="CG32">
        <v>1</v>
      </c>
      <c r="CH32">
        <v>2.4109430000000001</v>
      </c>
      <c r="CI32">
        <v>-5.7000000000000003E-5</v>
      </c>
      <c r="CJ32">
        <v>1</v>
      </c>
      <c r="CK32">
        <v>0.60051900000000002</v>
      </c>
      <c r="CL32">
        <v>0.60216099999999995</v>
      </c>
      <c r="CM32">
        <v>0.107265</v>
      </c>
      <c r="CN32">
        <v>0</v>
      </c>
      <c r="CO32" t="s">
        <v>236</v>
      </c>
      <c r="CP32" t="s">
        <v>201</v>
      </c>
      <c r="CQ32" t="s">
        <v>202</v>
      </c>
      <c r="CR32" t="s">
        <v>203</v>
      </c>
      <c r="CS32" t="s">
        <v>204</v>
      </c>
      <c r="CT32" t="s">
        <v>205</v>
      </c>
      <c r="CU32" t="s">
        <v>206</v>
      </c>
    </row>
    <row r="33" spans="1:99">
      <c r="A33">
        <v>6</v>
      </c>
      <c r="B33" s="3">
        <v>0.58739583333333334</v>
      </c>
      <c r="C33" s="1">
        <v>45042</v>
      </c>
      <c r="D33" t="s">
        <v>196</v>
      </c>
      <c r="E33" t="s">
        <v>197</v>
      </c>
      <c r="G33" s="1">
        <v>45042</v>
      </c>
      <c r="H33">
        <v>6</v>
      </c>
      <c r="I33" t="s">
        <v>231</v>
      </c>
      <c r="J33">
        <v>2</v>
      </c>
      <c r="M33">
        <v>0.14938100000000001</v>
      </c>
      <c r="N33">
        <v>2.918364</v>
      </c>
      <c r="O33">
        <v>0.14210700000000001</v>
      </c>
      <c r="P33">
        <v>5.6638210000000004</v>
      </c>
      <c r="Q33">
        <v>1.0757589999999999</v>
      </c>
      <c r="R33">
        <v>0.92544499999999996</v>
      </c>
      <c r="S33">
        <v>4.744599</v>
      </c>
      <c r="T33">
        <v>3.6688390000000002</v>
      </c>
      <c r="U33">
        <v>9.7453520000000005</v>
      </c>
      <c r="V33">
        <v>11.328225</v>
      </c>
      <c r="W33">
        <v>49.962738000000002</v>
      </c>
      <c r="X33">
        <v>0.44178600000000001</v>
      </c>
      <c r="Y33" t="s">
        <v>237</v>
      </c>
      <c r="Z33">
        <v>0</v>
      </c>
      <c r="AA33">
        <v>0</v>
      </c>
      <c r="AB33">
        <v>0</v>
      </c>
      <c r="AC33">
        <v>99.752067999999994</v>
      </c>
      <c r="AD33">
        <v>329.75945999999999</v>
      </c>
      <c r="AE33">
        <v>0.69750000000000001</v>
      </c>
      <c r="AF33">
        <v>0.5</v>
      </c>
      <c r="AG33">
        <v>0.8</v>
      </c>
      <c r="AH33">
        <v>144.666245</v>
      </c>
      <c r="AI33">
        <v>19.440000000000001</v>
      </c>
      <c r="AJ33">
        <v>16.72</v>
      </c>
      <c r="AK33">
        <v>34.630000000000003</v>
      </c>
      <c r="AL33">
        <v>31.89</v>
      </c>
      <c r="AM33">
        <v>94.96</v>
      </c>
      <c r="AN33">
        <v>156.30000000000001</v>
      </c>
      <c r="AO33">
        <v>147.19999999999999</v>
      </c>
      <c r="AP33">
        <v>5.8</v>
      </c>
      <c r="AQ33">
        <v>519</v>
      </c>
      <c r="AR33">
        <v>3.6480000000000001</v>
      </c>
      <c r="AS33" s="3">
        <v>0.58376157407407414</v>
      </c>
      <c r="AT33" s="1">
        <v>45042</v>
      </c>
      <c r="AU33">
        <v>-0.24</v>
      </c>
      <c r="AV33">
        <v>1E-3</v>
      </c>
      <c r="AW33">
        <v>2E-3</v>
      </c>
      <c r="AX33">
        <v>5.0000000000000001E-3</v>
      </c>
      <c r="AY33">
        <v>-2.4E-2</v>
      </c>
      <c r="AZ33">
        <v>1.1619999999999999</v>
      </c>
      <c r="BA33">
        <v>-1.954</v>
      </c>
      <c r="BB33">
        <v>1</v>
      </c>
      <c r="BC33">
        <v>150</v>
      </c>
      <c r="BD33">
        <v>5.0000000000000001E-3</v>
      </c>
      <c r="BE33">
        <v>2</v>
      </c>
      <c r="BF33">
        <v>0</v>
      </c>
      <c r="BG33" t="s">
        <v>200</v>
      </c>
      <c r="BH33">
        <v>7000</v>
      </c>
      <c r="BI33">
        <v>500</v>
      </c>
      <c r="BJ33">
        <v>5</v>
      </c>
      <c r="BK33">
        <v>2</v>
      </c>
      <c r="BL33">
        <v>300</v>
      </c>
      <c r="BM33">
        <v>300</v>
      </c>
      <c r="BN33">
        <v>300</v>
      </c>
      <c r="BO33">
        <v>309.97036700000001</v>
      </c>
      <c r="BP33">
        <v>25</v>
      </c>
      <c r="BQ33">
        <v>-16.170383000000001</v>
      </c>
      <c r="BR33">
        <v>311.19705199999999</v>
      </c>
      <c r="BS33">
        <v>306.56616200000002</v>
      </c>
      <c r="BT33">
        <v>4.63089</v>
      </c>
      <c r="BU33">
        <v>2.3754249999999999</v>
      </c>
      <c r="BV33">
        <v>2.4443299999999999</v>
      </c>
      <c r="BW33">
        <v>1.5875060000000001</v>
      </c>
      <c r="BX33">
        <v>0.96989999999999998</v>
      </c>
      <c r="BY33">
        <v>0.18651999999999999</v>
      </c>
      <c r="BZ33">
        <v>-3.5737999999999999E-2</v>
      </c>
      <c r="CA33">
        <v>0.220058</v>
      </c>
      <c r="CB33">
        <v>0.56712700000000005</v>
      </c>
      <c r="CC33">
        <v>99.752067999999994</v>
      </c>
      <c r="CD33">
        <v>3.5599999999999998E-4</v>
      </c>
      <c r="CE33">
        <v>2.3486280000000002</v>
      </c>
      <c r="CF33">
        <v>-5.1E-5</v>
      </c>
      <c r="CG33">
        <v>1</v>
      </c>
      <c r="CH33">
        <v>2.4109430000000001</v>
      </c>
      <c r="CI33">
        <v>-5.7000000000000003E-5</v>
      </c>
      <c r="CJ33">
        <v>1</v>
      </c>
      <c r="CK33">
        <v>0.60051900000000002</v>
      </c>
      <c r="CL33">
        <v>0.60216099999999995</v>
      </c>
      <c r="CM33">
        <v>0.107265</v>
      </c>
      <c r="CN33">
        <v>0</v>
      </c>
      <c r="CO33" t="s">
        <v>237</v>
      </c>
      <c r="CP33" t="s">
        <v>201</v>
      </c>
      <c r="CQ33" t="s">
        <v>202</v>
      </c>
      <c r="CR33" t="s">
        <v>203</v>
      </c>
      <c r="CS33" t="s">
        <v>204</v>
      </c>
      <c r="CT33" t="s">
        <v>205</v>
      </c>
      <c r="CU33" t="s">
        <v>206</v>
      </c>
    </row>
    <row r="34" spans="1:99">
      <c r="A34">
        <v>1</v>
      </c>
      <c r="B34" s="3">
        <v>0.59590277777777778</v>
      </c>
      <c r="C34" s="1">
        <v>45042</v>
      </c>
      <c r="D34" t="s">
        <v>196</v>
      </c>
      <c r="E34" t="s">
        <v>197</v>
      </c>
      <c r="G34" s="1">
        <v>45042</v>
      </c>
      <c r="H34">
        <v>1</v>
      </c>
      <c r="I34" t="s">
        <v>238</v>
      </c>
      <c r="J34">
        <v>1</v>
      </c>
      <c r="M34">
        <v>0.10180400000000001</v>
      </c>
      <c r="N34">
        <v>2.9189159999999998</v>
      </c>
      <c r="O34">
        <v>9.8373000000000002E-2</v>
      </c>
      <c r="P34">
        <v>5.5480850000000004</v>
      </c>
      <c r="Q34">
        <v>1.10175</v>
      </c>
      <c r="R34">
        <v>0.95466099999999998</v>
      </c>
      <c r="S34">
        <v>6.2484849999999996</v>
      </c>
      <c r="T34">
        <v>5.1467349999999996</v>
      </c>
      <c r="U34">
        <v>10.056317999999999</v>
      </c>
      <c r="V34">
        <v>11.605738000000001</v>
      </c>
      <c r="W34">
        <v>65.820983999999996</v>
      </c>
      <c r="X34">
        <v>0.44178600000000001</v>
      </c>
      <c r="Y34" t="s">
        <v>239</v>
      </c>
      <c r="Z34">
        <v>0</v>
      </c>
      <c r="AA34">
        <v>0</v>
      </c>
      <c r="AB34">
        <v>0</v>
      </c>
      <c r="AC34">
        <v>132.993225</v>
      </c>
      <c r="AD34">
        <v>187.919479</v>
      </c>
      <c r="AE34">
        <v>0.29228599999999999</v>
      </c>
      <c r="AF34">
        <v>0.5</v>
      </c>
      <c r="AG34">
        <v>0.8</v>
      </c>
      <c r="AH34">
        <v>224.16677899999999</v>
      </c>
      <c r="AI34">
        <v>20.41</v>
      </c>
      <c r="AJ34">
        <v>17.68</v>
      </c>
      <c r="AK34">
        <v>34.19</v>
      </c>
      <c r="AL34">
        <v>36.840000000000003</v>
      </c>
      <c r="AM34">
        <v>94.93</v>
      </c>
      <c r="AN34">
        <v>156.4</v>
      </c>
      <c r="AO34">
        <v>147.5</v>
      </c>
      <c r="AP34">
        <v>5.7</v>
      </c>
      <c r="AQ34">
        <v>1917</v>
      </c>
      <c r="AR34">
        <v>3.6520000000000001</v>
      </c>
      <c r="AS34" s="3">
        <v>0.595636574074074</v>
      </c>
      <c r="AT34" s="1">
        <v>45042</v>
      </c>
      <c r="AU34">
        <v>-0.23</v>
      </c>
      <c r="AV34">
        <v>0</v>
      </c>
      <c r="AW34">
        <v>0</v>
      </c>
      <c r="AX34">
        <v>0</v>
      </c>
      <c r="AY34">
        <v>-0.70099999999999996</v>
      </c>
      <c r="AZ34">
        <v>-3.1779999999999999</v>
      </c>
      <c r="BA34">
        <v>-9.4849999999999994</v>
      </c>
      <c r="BB34">
        <v>1</v>
      </c>
      <c r="BC34">
        <v>150</v>
      </c>
      <c r="BD34">
        <v>5.0000000000000001E-3</v>
      </c>
      <c r="BE34">
        <v>2</v>
      </c>
      <c r="BF34">
        <v>0</v>
      </c>
      <c r="BG34" t="s">
        <v>200</v>
      </c>
      <c r="BH34">
        <v>7000</v>
      </c>
      <c r="BI34">
        <v>500</v>
      </c>
      <c r="BJ34">
        <v>5</v>
      </c>
      <c r="BK34">
        <v>2</v>
      </c>
      <c r="BL34">
        <v>300</v>
      </c>
      <c r="BM34">
        <v>300</v>
      </c>
      <c r="BN34">
        <v>300</v>
      </c>
      <c r="BO34">
        <v>179.46052599999999</v>
      </c>
      <c r="BP34">
        <v>25</v>
      </c>
      <c r="BQ34">
        <v>-5.5880409999999996</v>
      </c>
      <c r="BR34">
        <v>180.81771900000001</v>
      </c>
      <c r="BS34">
        <v>179.90450999999999</v>
      </c>
      <c r="BT34">
        <v>0.91320800000000002</v>
      </c>
      <c r="BU34">
        <v>2.3769130000000001</v>
      </c>
      <c r="BV34">
        <v>2.4458890000000002</v>
      </c>
      <c r="BW34">
        <v>1.5880380000000001</v>
      </c>
      <c r="BX34">
        <v>0.97072700000000001</v>
      </c>
      <c r="BY34">
        <v>0.189804</v>
      </c>
      <c r="BZ34">
        <v>3.4717999999999999E-2</v>
      </c>
      <c r="CA34">
        <v>9.6289E-2</v>
      </c>
      <c r="CB34">
        <v>1.807731</v>
      </c>
      <c r="CC34">
        <v>132.993225</v>
      </c>
      <c r="CD34">
        <v>3.5E-4</v>
      </c>
      <c r="CE34">
        <v>2.3486280000000002</v>
      </c>
      <c r="CF34">
        <v>-5.1E-5</v>
      </c>
      <c r="CG34">
        <v>1</v>
      </c>
      <c r="CH34">
        <v>2.4109430000000001</v>
      </c>
      <c r="CI34">
        <v>-5.7000000000000003E-5</v>
      </c>
      <c r="CJ34">
        <v>1</v>
      </c>
      <c r="CK34">
        <v>0.60051900000000002</v>
      </c>
      <c r="CL34">
        <v>0.60216099999999995</v>
      </c>
      <c r="CM34">
        <v>0.107265</v>
      </c>
      <c r="CN34">
        <v>0</v>
      </c>
      <c r="CO34" t="s">
        <v>239</v>
      </c>
      <c r="CP34" t="s">
        <v>201</v>
      </c>
      <c r="CQ34" t="s">
        <v>202</v>
      </c>
      <c r="CR34" t="s">
        <v>203</v>
      </c>
      <c r="CS34" t="s">
        <v>204</v>
      </c>
      <c r="CT34" t="s">
        <v>205</v>
      </c>
      <c r="CU34" t="s">
        <v>206</v>
      </c>
    </row>
    <row r="35" spans="1:99">
      <c r="A35">
        <v>2</v>
      </c>
      <c r="B35" s="3">
        <v>0.59659722222222222</v>
      </c>
      <c r="C35" s="1">
        <v>45042</v>
      </c>
      <c r="D35" t="s">
        <v>196</v>
      </c>
      <c r="E35" t="s">
        <v>197</v>
      </c>
      <c r="G35" s="1">
        <v>45042</v>
      </c>
      <c r="H35">
        <v>2</v>
      </c>
      <c r="I35" t="s">
        <v>238</v>
      </c>
      <c r="J35">
        <v>1</v>
      </c>
      <c r="M35">
        <v>0.19492999999999999</v>
      </c>
      <c r="N35">
        <v>2.9166699999999999</v>
      </c>
      <c r="O35">
        <v>0.18271899999999999</v>
      </c>
      <c r="P35">
        <v>8.1129370000000005</v>
      </c>
      <c r="Q35">
        <v>1.16283</v>
      </c>
      <c r="R35">
        <v>0.94751300000000005</v>
      </c>
      <c r="S35">
        <v>5.2356470000000002</v>
      </c>
      <c r="T35">
        <v>4.0728169999999997</v>
      </c>
      <c r="U35">
        <v>9.9815190000000005</v>
      </c>
      <c r="V35">
        <v>12.24976</v>
      </c>
      <c r="W35">
        <v>55.154598</v>
      </c>
      <c r="X35">
        <v>0.44178600000000001</v>
      </c>
      <c r="Y35" t="s">
        <v>240</v>
      </c>
      <c r="Z35">
        <v>0</v>
      </c>
      <c r="AA35">
        <v>0</v>
      </c>
      <c r="AB35">
        <v>0</v>
      </c>
      <c r="AC35">
        <v>84.572197000000003</v>
      </c>
      <c r="AD35">
        <v>271.59112499999998</v>
      </c>
      <c r="AE35">
        <v>0.68860500000000002</v>
      </c>
      <c r="AF35">
        <v>0.5</v>
      </c>
      <c r="AG35">
        <v>0.8</v>
      </c>
      <c r="AH35">
        <v>390.04226699999998</v>
      </c>
      <c r="AI35">
        <v>21.36</v>
      </c>
      <c r="AJ35">
        <v>17.399999999999999</v>
      </c>
      <c r="AK35">
        <v>34.340000000000003</v>
      </c>
      <c r="AL35">
        <v>33.64</v>
      </c>
      <c r="AM35">
        <v>94.93</v>
      </c>
      <c r="AN35">
        <v>156.1</v>
      </c>
      <c r="AO35">
        <v>147.1</v>
      </c>
      <c r="AP35">
        <v>5.7</v>
      </c>
      <c r="AQ35">
        <v>1416</v>
      </c>
      <c r="AR35">
        <v>3.649</v>
      </c>
      <c r="AS35" s="3">
        <v>0.595636574074074</v>
      </c>
      <c r="AT35" s="1">
        <v>45042</v>
      </c>
      <c r="AU35">
        <v>-0.23</v>
      </c>
      <c r="AV35">
        <v>1E-3</v>
      </c>
      <c r="AW35">
        <v>1E-3</v>
      </c>
      <c r="AX35">
        <v>6.0000000000000001E-3</v>
      </c>
      <c r="AY35">
        <v>1.232</v>
      </c>
      <c r="AZ35">
        <v>1.417</v>
      </c>
      <c r="BA35">
        <v>-25.832000000000001</v>
      </c>
      <c r="BB35">
        <v>1</v>
      </c>
      <c r="BC35">
        <v>150</v>
      </c>
      <c r="BD35">
        <v>5.0000000000000001E-3</v>
      </c>
      <c r="BE35">
        <v>2</v>
      </c>
      <c r="BF35">
        <v>0</v>
      </c>
      <c r="BG35" t="s">
        <v>200</v>
      </c>
      <c r="BH35">
        <v>7000</v>
      </c>
      <c r="BI35">
        <v>500</v>
      </c>
      <c r="BJ35">
        <v>5</v>
      </c>
      <c r="BK35">
        <v>2</v>
      </c>
      <c r="BL35">
        <v>300</v>
      </c>
      <c r="BM35">
        <v>300</v>
      </c>
      <c r="BN35">
        <v>300</v>
      </c>
      <c r="BO35">
        <v>245.30195599999999</v>
      </c>
      <c r="BP35">
        <v>25</v>
      </c>
      <c r="BQ35">
        <v>-18.103660999999999</v>
      </c>
      <c r="BR35">
        <v>248.036743</v>
      </c>
      <c r="BS35">
        <v>245.624908</v>
      </c>
      <c r="BT35">
        <v>2.411835</v>
      </c>
      <c r="BU35">
        <v>2.3764799999999999</v>
      </c>
      <c r="BV35">
        <v>2.4473410000000002</v>
      </c>
      <c r="BW35">
        <v>1.5858730000000001</v>
      </c>
      <c r="BX35">
        <v>0.96973200000000004</v>
      </c>
      <c r="BY35">
        <v>0.18868599999999999</v>
      </c>
      <c r="BZ35">
        <v>-9.4210000000000006E-3</v>
      </c>
      <c r="CA35">
        <v>0.105694</v>
      </c>
      <c r="CB35">
        <v>1.36314</v>
      </c>
      <c r="CC35">
        <v>84.572197000000003</v>
      </c>
      <c r="CD35">
        <v>3.5E-4</v>
      </c>
      <c r="CE35">
        <v>2.3486280000000002</v>
      </c>
      <c r="CF35">
        <v>-5.1E-5</v>
      </c>
      <c r="CG35">
        <v>1</v>
      </c>
      <c r="CH35">
        <v>2.4109430000000001</v>
      </c>
      <c r="CI35">
        <v>-5.7000000000000003E-5</v>
      </c>
      <c r="CJ35">
        <v>1</v>
      </c>
      <c r="CK35">
        <v>0.60051900000000002</v>
      </c>
      <c r="CL35">
        <v>0.60216099999999995</v>
      </c>
      <c r="CM35">
        <v>0.107265</v>
      </c>
      <c r="CN35">
        <v>0</v>
      </c>
      <c r="CO35" t="s">
        <v>240</v>
      </c>
      <c r="CP35" t="s">
        <v>201</v>
      </c>
      <c r="CQ35" t="s">
        <v>202</v>
      </c>
      <c r="CR35" t="s">
        <v>203</v>
      </c>
      <c r="CS35" t="s">
        <v>204</v>
      </c>
      <c r="CT35" t="s">
        <v>205</v>
      </c>
      <c r="CU35" t="s">
        <v>206</v>
      </c>
    </row>
    <row r="36" spans="1:99">
      <c r="A36">
        <v>3</v>
      </c>
      <c r="B36" s="3">
        <v>0.59688657407407408</v>
      </c>
      <c r="C36" s="1">
        <v>45042</v>
      </c>
      <c r="D36" t="s">
        <v>196</v>
      </c>
      <c r="E36" t="s">
        <v>197</v>
      </c>
      <c r="G36" s="1">
        <v>45042</v>
      </c>
      <c r="H36">
        <v>3</v>
      </c>
      <c r="I36" t="s">
        <v>238</v>
      </c>
      <c r="J36">
        <v>1</v>
      </c>
      <c r="M36">
        <v>4.8805000000000001E-2</v>
      </c>
      <c r="N36">
        <v>2.9192279999999999</v>
      </c>
      <c r="O36">
        <v>4.8002999999999997E-2</v>
      </c>
      <c r="P36">
        <v>2.8998140000000001</v>
      </c>
      <c r="Q36">
        <v>1.0895049999999999</v>
      </c>
      <c r="R36">
        <v>1.012632</v>
      </c>
      <c r="S36">
        <v>6.5924810000000003</v>
      </c>
      <c r="T36">
        <v>5.5029760000000003</v>
      </c>
      <c r="U36">
        <v>10.666468999999999</v>
      </c>
      <c r="V36">
        <v>11.476209000000001</v>
      </c>
      <c r="W36">
        <v>69.441315000000003</v>
      </c>
      <c r="X36">
        <v>0.44178600000000001</v>
      </c>
      <c r="Y36" t="s">
        <v>241</v>
      </c>
      <c r="Z36">
        <v>0</v>
      </c>
      <c r="AA36">
        <v>0</v>
      </c>
      <c r="AB36">
        <v>0</v>
      </c>
      <c r="AC36">
        <v>132.22074900000001</v>
      </c>
      <c r="AD36">
        <v>164.53277600000001</v>
      </c>
      <c r="AE36">
        <v>0.19638700000000001</v>
      </c>
      <c r="AF36">
        <v>0.5</v>
      </c>
      <c r="AG36">
        <v>0.8</v>
      </c>
      <c r="AH36">
        <v>155.55844099999999</v>
      </c>
      <c r="AI36">
        <v>19.95</v>
      </c>
      <c r="AJ36">
        <v>18.54</v>
      </c>
      <c r="AK36">
        <v>34.4</v>
      </c>
      <c r="AL36">
        <v>37.82</v>
      </c>
      <c r="AM36">
        <v>94.94</v>
      </c>
      <c r="AN36">
        <v>156.4</v>
      </c>
      <c r="AO36">
        <v>147.1</v>
      </c>
      <c r="AP36">
        <v>5.9</v>
      </c>
      <c r="AQ36">
        <v>1980</v>
      </c>
      <c r="AR36">
        <v>3.6480000000000001</v>
      </c>
      <c r="AS36" s="3">
        <v>0.595636574074074</v>
      </c>
      <c r="AT36" s="1">
        <v>45042</v>
      </c>
      <c r="AU36">
        <v>-0.23</v>
      </c>
      <c r="AV36">
        <v>-2E-3</v>
      </c>
      <c r="AW36">
        <v>-3.0000000000000001E-3</v>
      </c>
      <c r="AX36">
        <v>-3.0000000000000001E-3</v>
      </c>
      <c r="AY36">
        <v>-2.0310000000000001</v>
      </c>
      <c r="AZ36">
        <v>-4.2619999999999996</v>
      </c>
      <c r="BA36">
        <v>-11.455</v>
      </c>
      <c r="BB36">
        <v>1</v>
      </c>
      <c r="BC36">
        <v>150</v>
      </c>
      <c r="BD36">
        <v>5.0000000000000001E-3</v>
      </c>
      <c r="BE36">
        <v>2</v>
      </c>
      <c r="BF36">
        <v>0</v>
      </c>
      <c r="BG36" t="s">
        <v>200</v>
      </c>
      <c r="BH36">
        <v>7000</v>
      </c>
      <c r="BI36">
        <v>500</v>
      </c>
      <c r="BJ36">
        <v>5</v>
      </c>
      <c r="BK36">
        <v>2</v>
      </c>
      <c r="BL36">
        <v>300</v>
      </c>
      <c r="BM36">
        <v>300</v>
      </c>
      <c r="BN36">
        <v>300</v>
      </c>
      <c r="BO36">
        <v>164.53277600000001</v>
      </c>
      <c r="BP36">
        <v>25</v>
      </c>
      <c r="BQ36">
        <v>2.3894440000000001</v>
      </c>
      <c r="BR36">
        <v>170.64428699999999</v>
      </c>
      <c r="BS36">
        <v>167.95997600000001</v>
      </c>
      <c r="BT36">
        <v>2.6843110000000001</v>
      </c>
      <c r="BU36">
        <v>2.3781569999999999</v>
      </c>
      <c r="BV36">
        <v>2.445141</v>
      </c>
      <c r="BW36">
        <v>1.588341</v>
      </c>
      <c r="BX36">
        <v>0.96960900000000005</v>
      </c>
      <c r="BY36">
        <v>0.18825500000000001</v>
      </c>
      <c r="BZ36">
        <v>4.5234000000000003E-2</v>
      </c>
      <c r="CA36">
        <v>0.109282</v>
      </c>
      <c r="CB36">
        <v>1.863516</v>
      </c>
      <c r="CC36">
        <v>132.22074900000001</v>
      </c>
      <c r="CD36">
        <v>3.48E-4</v>
      </c>
      <c r="CE36">
        <v>2.3486280000000002</v>
      </c>
      <c r="CF36">
        <v>-5.1E-5</v>
      </c>
      <c r="CG36">
        <v>1</v>
      </c>
      <c r="CH36">
        <v>2.4109430000000001</v>
      </c>
      <c r="CI36">
        <v>-5.7000000000000003E-5</v>
      </c>
      <c r="CJ36">
        <v>1</v>
      </c>
      <c r="CK36">
        <v>0.60051900000000002</v>
      </c>
      <c r="CL36">
        <v>0.60216099999999995</v>
      </c>
      <c r="CM36">
        <v>0.107265</v>
      </c>
      <c r="CN36">
        <v>0</v>
      </c>
      <c r="CO36" t="s">
        <v>241</v>
      </c>
      <c r="CP36" t="s">
        <v>201</v>
      </c>
      <c r="CQ36" t="s">
        <v>202</v>
      </c>
      <c r="CR36" t="s">
        <v>203</v>
      </c>
      <c r="CS36" t="s">
        <v>204</v>
      </c>
      <c r="CT36" t="s">
        <v>205</v>
      </c>
      <c r="CU36" t="s">
        <v>206</v>
      </c>
    </row>
    <row r="37" spans="1:99">
      <c r="A37">
        <v>4</v>
      </c>
      <c r="B37" s="3">
        <v>0.59714120370370372</v>
      </c>
      <c r="C37" s="1">
        <v>45042</v>
      </c>
      <c r="D37" t="s">
        <v>196</v>
      </c>
      <c r="E37" t="s">
        <v>197</v>
      </c>
      <c r="G37" s="1">
        <v>45042</v>
      </c>
      <c r="H37">
        <v>4</v>
      </c>
      <c r="I37" t="s">
        <v>238</v>
      </c>
      <c r="J37">
        <v>1</v>
      </c>
      <c r="M37">
        <v>9.4607999999999998E-2</v>
      </c>
      <c r="N37">
        <v>2.9192070000000001</v>
      </c>
      <c r="O37">
        <v>9.1637999999999997E-2</v>
      </c>
      <c r="P37">
        <v>4.0961069999999999</v>
      </c>
      <c r="Q37">
        <v>1.1329640000000001</v>
      </c>
      <c r="R37">
        <v>1.0244340000000001</v>
      </c>
      <c r="S37">
        <v>5.2338649999999998</v>
      </c>
      <c r="T37">
        <v>4.1009010000000004</v>
      </c>
      <c r="U37">
        <v>10.791608</v>
      </c>
      <c r="V37">
        <v>11.934889</v>
      </c>
      <c r="W37">
        <v>55.13467</v>
      </c>
      <c r="X37">
        <v>0.44178600000000001</v>
      </c>
      <c r="Y37" t="s">
        <v>242</v>
      </c>
      <c r="Z37">
        <v>0</v>
      </c>
      <c r="AA37">
        <v>0</v>
      </c>
      <c r="AB37">
        <v>0</v>
      </c>
      <c r="AC37">
        <v>122.59983800000001</v>
      </c>
      <c r="AD37">
        <v>369.04504400000002</v>
      </c>
      <c r="AE37">
        <v>0.66779200000000005</v>
      </c>
      <c r="AF37">
        <v>0.5</v>
      </c>
      <c r="AG37">
        <v>0.8</v>
      </c>
      <c r="AH37">
        <v>37.098712999999996</v>
      </c>
      <c r="AI37">
        <v>20.68</v>
      </c>
      <c r="AJ37">
        <v>18.7</v>
      </c>
      <c r="AK37">
        <v>34.450000000000003</v>
      </c>
      <c r="AL37">
        <v>33.630000000000003</v>
      </c>
      <c r="AM37">
        <v>94.93</v>
      </c>
      <c r="AN37">
        <v>156.4</v>
      </c>
      <c r="AO37">
        <v>147.19999999999999</v>
      </c>
      <c r="AP37">
        <v>5.9</v>
      </c>
      <c r="AQ37">
        <v>139</v>
      </c>
      <c r="AR37">
        <v>3.6469999999999998</v>
      </c>
      <c r="AS37" s="3">
        <v>0.595636574074074</v>
      </c>
      <c r="AT37" s="1">
        <v>45042</v>
      </c>
      <c r="AU37">
        <v>-0.23</v>
      </c>
      <c r="AV37">
        <v>0</v>
      </c>
      <c r="AW37">
        <v>0</v>
      </c>
      <c r="AX37">
        <v>1E-3</v>
      </c>
      <c r="AY37">
        <v>3.0369999999999999</v>
      </c>
      <c r="AZ37">
        <v>4.508</v>
      </c>
      <c r="BA37">
        <v>-16.462</v>
      </c>
      <c r="BB37">
        <v>1</v>
      </c>
      <c r="BC37">
        <v>150</v>
      </c>
      <c r="BD37">
        <v>5.0000000000000001E-3</v>
      </c>
      <c r="BE37">
        <v>2</v>
      </c>
      <c r="BF37">
        <v>0</v>
      </c>
      <c r="BG37" t="s">
        <v>200</v>
      </c>
      <c r="BH37">
        <v>7000</v>
      </c>
      <c r="BI37">
        <v>500</v>
      </c>
      <c r="BJ37">
        <v>5</v>
      </c>
      <c r="BK37">
        <v>2</v>
      </c>
      <c r="BL37">
        <v>300</v>
      </c>
      <c r="BM37">
        <v>300</v>
      </c>
      <c r="BN37">
        <v>300</v>
      </c>
      <c r="BO37">
        <v>347.84210200000001</v>
      </c>
      <c r="BP37">
        <v>25</v>
      </c>
      <c r="BQ37">
        <v>-14.619054999999999</v>
      </c>
      <c r="BR37">
        <v>349.36343399999998</v>
      </c>
      <c r="BS37">
        <v>348.07681300000002</v>
      </c>
      <c r="BT37">
        <v>1.286621</v>
      </c>
      <c r="BU37">
        <v>2.3783949999999998</v>
      </c>
      <c r="BV37">
        <v>2.4462860000000002</v>
      </c>
      <c r="BW37">
        <v>1.58832</v>
      </c>
      <c r="BX37">
        <v>0.96998099999999998</v>
      </c>
      <c r="BY37">
        <v>0.18789700000000001</v>
      </c>
      <c r="BZ37">
        <v>-1.0904E-2</v>
      </c>
      <c r="CA37">
        <v>0.112444</v>
      </c>
      <c r="CB37">
        <v>0.23044000000000001</v>
      </c>
      <c r="CC37">
        <v>122.59983800000001</v>
      </c>
      <c r="CD37">
        <v>3.5300000000000002E-4</v>
      </c>
      <c r="CE37">
        <v>2.3486280000000002</v>
      </c>
      <c r="CF37">
        <v>-5.1E-5</v>
      </c>
      <c r="CG37">
        <v>1</v>
      </c>
      <c r="CH37">
        <v>2.4109430000000001</v>
      </c>
      <c r="CI37">
        <v>-5.7000000000000003E-5</v>
      </c>
      <c r="CJ37">
        <v>1</v>
      </c>
      <c r="CK37">
        <v>0.60051900000000002</v>
      </c>
      <c r="CL37">
        <v>0.60216099999999995</v>
      </c>
      <c r="CM37">
        <v>0.107265</v>
      </c>
      <c r="CN37">
        <v>0</v>
      </c>
      <c r="CO37" t="s">
        <v>242</v>
      </c>
      <c r="CP37" t="s">
        <v>201</v>
      </c>
      <c r="CQ37" t="s">
        <v>202</v>
      </c>
      <c r="CR37" t="s">
        <v>203</v>
      </c>
      <c r="CS37" t="s">
        <v>204</v>
      </c>
      <c r="CT37" t="s">
        <v>205</v>
      </c>
      <c r="CU37" t="s">
        <v>206</v>
      </c>
    </row>
    <row r="38" spans="1:99">
      <c r="A38">
        <v>5</v>
      </c>
      <c r="B38" s="3">
        <v>0.5973032407407407</v>
      </c>
      <c r="C38" s="1">
        <v>45042</v>
      </c>
      <c r="D38" t="s">
        <v>196</v>
      </c>
      <c r="E38" t="s">
        <v>197</v>
      </c>
      <c r="G38" s="1">
        <v>45042</v>
      </c>
      <c r="H38">
        <v>5</v>
      </c>
      <c r="I38" t="s">
        <v>238</v>
      </c>
      <c r="J38">
        <v>1</v>
      </c>
      <c r="M38">
        <v>0.117858</v>
      </c>
      <c r="N38">
        <v>2.91737</v>
      </c>
      <c r="O38">
        <v>0.11328100000000001</v>
      </c>
      <c r="P38">
        <v>5.2213580000000004</v>
      </c>
      <c r="Q38">
        <v>1.1419999999999999</v>
      </c>
      <c r="R38">
        <v>1.00346</v>
      </c>
      <c r="S38">
        <v>5.3677010000000003</v>
      </c>
      <c r="T38">
        <v>4.2257009999999999</v>
      </c>
      <c r="U38">
        <v>10.570024</v>
      </c>
      <c r="V38">
        <v>12.029350000000001</v>
      </c>
      <c r="W38">
        <v>56.5411</v>
      </c>
      <c r="X38">
        <v>0.44178600000000001</v>
      </c>
      <c r="Y38" t="s">
        <v>243</v>
      </c>
      <c r="Z38">
        <v>0</v>
      </c>
      <c r="AA38">
        <v>0</v>
      </c>
      <c r="AB38">
        <v>0</v>
      </c>
      <c r="AC38">
        <v>111.052391</v>
      </c>
      <c r="AD38">
        <v>347.148346</v>
      </c>
      <c r="AE38">
        <v>0.68010099999999996</v>
      </c>
      <c r="AF38">
        <v>0.5</v>
      </c>
      <c r="AG38">
        <v>0.8</v>
      </c>
      <c r="AH38">
        <v>217.706345</v>
      </c>
      <c r="AI38">
        <v>20.8</v>
      </c>
      <c r="AJ38">
        <v>18.28</v>
      </c>
      <c r="AK38">
        <v>34.49</v>
      </c>
      <c r="AL38">
        <v>34.08</v>
      </c>
      <c r="AM38">
        <v>94.93</v>
      </c>
      <c r="AN38">
        <v>156.19999999999999</v>
      </c>
      <c r="AO38">
        <v>147.19999999999999</v>
      </c>
      <c r="AP38">
        <v>5.7</v>
      </c>
      <c r="AQ38">
        <v>800</v>
      </c>
      <c r="AR38">
        <v>3.6459999999999999</v>
      </c>
      <c r="AS38" s="3">
        <v>0.595636574074074</v>
      </c>
      <c r="AT38" s="1">
        <v>45042</v>
      </c>
      <c r="AU38">
        <v>-0.23</v>
      </c>
      <c r="AV38">
        <v>-1E-3</v>
      </c>
      <c r="AW38">
        <v>1E-3</v>
      </c>
      <c r="AX38">
        <v>8.0000000000000002E-3</v>
      </c>
      <c r="AY38">
        <v>0.16700000000000001</v>
      </c>
      <c r="AZ38">
        <v>0.79200000000000004</v>
      </c>
      <c r="BA38">
        <v>-1.3049999999999999</v>
      </c>
      <c r="BB38">
        <v>1</v>
      </c>
      <c r="BC38">
        <v>150</v>
      </c>
      <c r="BD38">
        <v>5.0000000000000001E-3</v>
      </c>
      <c r="BE38">
        <v>2</v>
      </c>
      <c r="BF38">
        <v>0</v>
      </c>
      <c r="BG38" t="s">
        <v>200</v>
      </c>
      <c r="BH38">
        <v>7000</v>
      </c>
      <c r="BI38">
        <v>500</v>
      </c>
      <c r="BJ38">
        <v>5</v>
      </c>
      <c r="BK38">
        <v>2</v>
      </c>
      <c r="BL38">
        <v>300</v>
      </c>
      <c r="BM38">
        <v>300</v>
      </c>
      <c r="BN38">
        <v>300</v>
      </c>
      <c r="BO38">
        <v>316.203125</v>
      </c>
      <c r="BP38">
        <v>25</v>
      </c>
      <c r="BQ38">
        <v>-21.490518999999999</v>
      </c>
      <c r="BR38">
        <v>317.27493299999998</v>
      </c>
      <c r="BS38">
        <v>316.324341</v>
      </c>
      <c r="BT38">
        <v>0.95059199999999999</v>
      </c>
      <c r="BU38">
        <v>2.377764</v>
      </c>
      <c r="BV38">
        <v>2.4464640000000002</v>
      </c>
      <c r="BW38">
        <v>1.5865469999999999</v>
      </c>
      <c r="BX38">
        <v>0.96998700000000004</v>
      </c>
      <c r="BY38">
        <v>0.18759899999999999</v>
      </c>
      <c r="BZ38">
        <v>-5.5690000000000002E-3</v>
      </c>
      <c r="CA38">
        <v>0.114306</v>
      </c>
      <c r="CB38">
        <v>0.81701000000000001</v>
      </c>
      <c r="CC38">
        <v>111.052391</v>
      </c>
      <c r="CD38">
        <v>3.5100000000000002E-4</v>
      </c>
      <c r="CE38">
        <v>2.3486280000000002</v>
      </c>
      <c r="CF38">
        <v>-5.1E-5</v>
      </c>
      <c r="CG38">
        <v>1</v>
      </c>
      <c r="CH38">
        <v>2.4109430000000001</v>
      </c>
      <c r="CI38">
        <v>-5.7000000000000003E-5</v>
      </c>
      <c r="CJ38">
        <v>1</v>
      </c>
      <c r="CK38">
        <v>0.60051900000000002</v>
      </c>
      <c r="CL38">
        <v>0.60216099999999995</v>
      </c>
      <c r="CM38">
        <v>0.107265</v>
      </c>
      <c r="CN38">
        <v>0</v>
      </c>
      <c r="CO38" t="s">
        <v>243</v>
      </c>
      <c r="CP38" t="s">
        <v>201</v>
      </c>
      <c r="CQ38" t="s">
        <v>202</v>
      </c>
      <c r="CR38" t="s">
        <v>203</v>
      </c>
      <c r="CS38" t="s">
        <v>204</v>
      </c>
      <c r="CT38" t="s">
        <v>205</v>
      </c>
      <c r="CU38" t="s">
        <v>206</v>
      </c>
    </row>
    <row r="39" spans="1:99">
      <c r="A39">
        <v>6</v>
      </c>
      <c r="B39" s="3">
        <v>0.59748842592592599</v>
      </c>
      <c r="C39" s="1">
        <v>45042</v>
      </c>
      <c r="D39" t="s">
        <v>196</v>
      </c>
      <c r="E39" t="s">
        <v>197</v>
      </c>
      <c r="G39" s="1">
        <v>45042</v>
      </c>
      <c r="H39">
        <v>6</v>
      </c>
      <c r="I39" t="s">
        <v>238</v>
      </c>
      <c r="J39">
        <v>1</v>
      </c>
      <c r="M39">
        <v>0.109602</v>
      </c>
      <c r="N39">
        <v>2.9189970000000001</v>
      </c>
      <c r="O39">
        <v>0.10563599999999999</v>
      </c>
      <c r="P39">
        <v>4.2508340000000002</v>
      </c>
      <c r="Q39">
        <v>1.04169</v>
      </c>
      <c r="R39">
        <v>0.92893000000000003</v>
      </c>
      <c r="S39">
        <v>4.745317</v>
      </c>
      <c r="T39">
        <v>3.703627</v>
      </c>
      <c r="U39">
        <v>9.7853399999999997</v>
      </c>
      <c r="V39">
        <v>10.973158</v>
      </c>
      <c r="W39">
        <v>49.987144000000001</v>
      </c>
      <c r="X39">
        <v>0.44178600000000001</v>
      </c>
      <c r="Y39" t="s">
        <v>244</v>
      </c>
      <c r="Z39">
        <v>0</v>
      </c>
      <c r="AA39">
        <v>0</v>
      </c>
      <c r="AB39">
        <v>0</v>
      </c>
      <c r="AC39">
        <v>97.944618000000006</v>
      </c>
      <c r="AD39">
        <v>395.56881700000002</v>
      </c>
      <c r="AE39">
        <v>0.75239599999999995</v>
      </c>
      <c r="AF39">
        <v>0.5</v>
      </c>
      <c r="AG39">
        <v>0.8</v>
      </c>
      <c r="AH39">
        <v>41.395663999999996</v>
      </c>
      <c r="AI39">
        <v>18.940000000000001</v>
      </c>
      <c r="AJ39">
        <v>16.89</v>
      </c>
      <c r="AK39">
        <v>34.520000000000003</v>
      </c>
      <c r="AL39">
        <v>31.89</v>
      </c>
      <c r="AM39">
        <v>94.93</v>
      </c>
      <c r="AN39">
        <v>156.4</v>
      </c>
      <c r="AO39">
        <v>147.19999999999999</v>
      </c>
      <c r="AP39">
        <v>5.8</v>
      </c>
      <c r="AQ39">
        <v>138</v>
      </c>
      <c r="AR39">
        <v>3.6469999999999998</v>
      </c>
      <c r="AS39" s="3">
        <v>0.595636574074074</v>
      </c>
      <c r="AT39" s="1">
        <v>45042</v>
      </c>
      <c r="AU39">
        <v>-0.23</v>
      </c>
      <c r="AV39">
        <v>0</v>
      </c>
      <c r="AW39">
        <v>1E-3</v>
      </c>
      <c r="AX39">
        <v>-9999</v>
      </c>
      <c r="AY39">
        <v>0.255</v>
      </c>
      <c r="AZ39">
        <v>0.56000000000000005</v>
      </c>
      <c r="BA39">
        <v>-9999</v>
      </c>
      <c r="BB39">
        <v>1</v>
      </c>
      <c r="BC39">
        <v>150</v>
      </c>
      <c r="BD39">
        <v>5.0000000000000001E-3</v>
      </c>
      <c r="BE39">
        <v>2</v>
      </c>
      <c r="BF39">
        <v>0</v>
      </c>
      <c r="BG39" t="s">
        <v>200</v>
      </c>
      <c r="BH39">
        <v>7000</v>
      </c>
      <c r="BI39">
        <v>500</v>
      </c>
      <c r="BJ39">
        <v>5</v>
      </c>
      <c r="BK39">
        <v>2</v>
      </c>
      <c r="BL39">
        <v>300</v>
      </c>
      <c r="BM39">
        <v>300</v>
      </c>
      <c r="BN39">
        <v>300</v>
      </c>
      <c r="BO39">
        <v>382.05886800000002</v>
      </c>
      <c r="BP39">
        <v>25</v>
      </c>
      <c r="BQ39">
        <v>-8.8264630000000004</v>
      </c>
      <c r="BR39">
        <v>390.05398600000001</v>
      </c>
      <c r="BS39">
        <v>382.90896600000002</v>
      </c>
      <c r="BT39">
        <v>7.1450199999999997</v>
      </c>
      <c r="BU39">
        <v>2.3756910000000002</v>
      </c>
      <c r="BV39">
        <v>2.443546</v>
      </c>
      <c r="BW39">
        <v>1.588117</v>
      </c>
      <c r="BX39">
        <v>0.97002100000000002</v>
      </c>
      <c r="BY39">
        <v>0.18734700000000001</v>
      </c>
      <c r="BZ39">
        <v>-3.4218999999999999E-2</v>
      </c>
      <c r="CA39">
        <v>0.11643000000000001</v>
      </c>
      <c r="CB39">
        <v>0.22925200000000001</v>
      </c>
      <c r="CC39">
        <v>97.944618000000006</v>
      </c>
      <c r="CD39">
        <v>3.5300000000000002E-4</v>
      </c>
      <c r="CE39">
        <v>2.3486280000000002</v>
      </c>
      <c r="CF39">
        <v>-5.1E-5</v>
      </c>
      <c r="CG39">
        <v>1</v>
      </c>
      <c r="CH39">
        <v>2.4109430000000001</v>
      </c>
      <c r="CI39">
        <v>-5.7000000000000003E-5</v>
      </c>
      <c r="CJ39">
        <v>1</v>
      </c>
      <c r="CK39">
        <v>0.60051900000000002</v>
      </c>
      <c r="CL39">
        <v>0.60216099999999995</v>
      </c>
      <c r="CM39">
        <v>0.107265</v>
      </c>
      <c r="CN39">
        <v>0</v>
      </c>
      <c r="CO39" t="s">
        <v>244</v>
      </c>
      <c r="CP39" t="s">
        <v>201</v>
      </c>
      <c r="CQ39" t="s">
        <v>202</v>
      </c>
      <c r="CR39" t="s">
        <v>203</v>
      </c>
      <c r="CS39" t="s">
        <v>204</v>
      </c>
      <c r="CT39" t="s">
        <v>205</v>
      </c>
      <c r="CU39" t="s">
        <v>206</v>
      </c>
    </row>
    <row r="40" spans="1:99">
      <c r="A40">
        <v>1</v>
      </c>
      <c r="B40" s="3">
        <v>0.60508101851851859</v>
      </c>
      <c r="C40" s="1">
        <v>45042</v>
      </c>
      <c r="D40" t="s">
        <v>196</v>
      </c>
      <c r="E40" t="s">
        <v>197</v>
      </c>
      <c r="G40" s="1">
        <v>45042</v>
      </c>
      <c r="H40">
        <v>1</v>
      </c>
      <c r="I40" t="s">
        <v>231</v>
      </c>
      <c r="J40">
        <v>1</v>
      </c>
      <c r="M40">
        <v>0.19280600000000001</v>
      </c>
      <c r="N40">
        <v>2.9206490000000001</v>
      </c>
      <c r="O40">
        <v>0.180866</v>
      </c>
      <c r="P40">
        <v>7.768059</v>
      </c>
      <c r="Q40">
        <v>1.158439</v>
      </c>
      <c r="R40">
        <v>0.95288600000000001</v>
      </c>
      <c r="S40">
        <v>5.1015509999999997</v>
      </c>
      <c r="T40">
        <v>3.9431120000000002</v>
      </c>
      <c r="U40">
        <v>10.036878</v>
      </c>
      <c r="V40">
        <v>12.201997</v>
      </c>
      <c r="W40">
        <v>53.735325000000003</v>
      </c>
      <c r="X40">
        <v>0.44178600000000001</v>
      </c>
      <c r="Y40" t="s">
        <v>245</v>
      </c>
      <c r="Z40">
        <v>0</v>
      </c>
      <c r="AA40">
        <v>0</v>
      </c>
      <c r="AB40">
        <v>0</v>
      </c>
      <c r="AC40">
        <v>99.984527999999997</v>
      </c>
      <c r="AD40">
        <v>260.03781099999998</v>
      </c>
      <c r="AE40">
        <v>0.61550000000000005</v>
      </c>
      <c r="AF40">
        <v>0.5</v>
      </c>
      <c r="AG40">
        <v>0.8</v>
      </c>
      <c r="AH40">
        <v>243.28743</v>
      </c>
      <c r="AI40">
        <v>20.92</v>
      </c>
      <c r="AJ40">
        <v>17.21</v>
      </c>
      <c r="AK40">
        <v>34.64</v>
      </c>
      <c r="AL40">
        <v>33.17</v>
      </c>
      <c r="AM40">
        <v>94.94</v>
      </c>
      <c r="AN40">
        <v>156.6</v>
      </c>
      <c r="AO40">
        <v>147.4</v>
      </c>
      <c r="AP40">
        <v>5.8</v>
      </c>
      <c r="AQ40">
        <v>988</v>
      </c>
      <c r="AR40">
        <v>3.6480000000000001</v>
      </c>
      <c r="AS40" s="3">
        <v>0.60447916666666668</v>
      </c>
      <c r="AT40" s="1">
        <v>45042</v>
      </c>
      <c r="AU40">
        <v>-0.22</v>
      </c>
      <c r="AV40">
        <v>0</v>
      </c>
      <c r="AW40">
        <v>0</v>
      </c>
      <c r="AX40">
        <v>-5.0000000000000001E-3</v>
      </c>
      <c r="AY40">
        <v>0.28399999999999997</v>
      </c>
      <c r="AZ40">
        <v>-3.4830000000000001</v>
      </c>
      <c r="BA40">
        <v>6.3390000000000004</v>
      </c>
      <c r="BB40">
        <v>1</v>
      </c>
      <c r="BC40">
        <v>150</v>
      </c>
      <c r="BD40">
        <v>5.0000000000000001E-3</v>
      </c>
      <c r="BE40">
        <v>2</v>
      </c>
      <c r="BF40">
        <v>0</v>
      </c>
      <c r="BG40" t="s">
        <v>200</v>
      </c>
      <c r="BH40">
        <v>7000</v>
      </c>
      <c r="BI40">
        <v>500</v>
      </c>
      <c r="BJ40">
        <v>5</v>
      </c>
      <c r="BK40">
        <v>2</v>
      </c>
      <c r="BL40">
        <v>300</v>
      </c>
      <c r="BM40">
        <v>300</v>
      </c>
      <c r="BN40">
        <v>300</v>
      </c>
      <c r="BO40">
        <v>228.026398</v>
      </c>
      <c r="BP40">
        <v>25</v>
      </c>
      <c r="BQ40">
        <v>-23.244586999999999</v>
      </c>
      <c r="BR40">
        <v>221.92919900000001</v>
      </c>
      <c r="BS40">
        <v>226.69792200000001</v>
      </c>
      <c r="BT40">
        <v>-4.7687229999999996</v>
      </c>
      <c r="BU40">
        <v>2.3761570000000001</v>
      </c>
      <c r="BV40">
        <v>2.4466109999999999</v>
      </c>
      <c r="BW40">
        <v>1.589717</v>
      </c>
      <c r="BX40">
        <v>0.97059200000000001</v>
      </c>
      <c r="BY40">
        <v>0.186469</v>
      </c>
      <c r="BZ40">
        <v>-1.9366999999999999E-2</v>
      </c>
      <c r="CA40">
        <v>0.113592</v>
      </c>
      <c r="CB40">
        <v>0.983653</v>
      </c>
      <c r="CC40">
        <v>99.984527999999997</v>
      </c>
      <c r="CD40">
        <v>3.48E-4</v>
      </c>
      <c r="CE40">
        <v>2.3486280000000002</v>
      </c>
      <c r="CF40">
        <v>-5.1E-5</v>
      </c>
      <c r="CG40">
        <v>1</v>
      </c>
      <c r="CH40">
        <v>2.4109430000000001</v>
      </c>
      <c r="CI40">
        <v>-5.7000000000000003E-5</v>
      </c>
      <c r="CJ40">
        <v>1</v>
      </c>
      <c r="CK40">
        <v>0.60051900000000002</v>
      </c>
      <c r="CL40">
        <v>0.60216099999999995</v>
      </c>
      <c r="CM40">
        <v>0.107265</v>
      </c>
      <c r="CN40">
        <v>0</v>
      </c>
      <c r="CO40" t="s">
        <v>245</v>
      </c>
      <c r="CP40" t="s">
        <v>201</v>
      </c>
      <c r="CQ40" t="s">
        <v>202</v>
      </c>
      <c r="CR40" t="s">
        <v>203</v>
      </c>
      <c r="CS40" t="s">
        <v>204</v>
      </c>
      <c r="CT40" t="s">
        <v>205</v>
      </c>
      <c r="CU40" t="s">
        <v>206</v>
      </c>
    </row>
    <row r="41" spans="1:99">
      <c r="A41">
        <v>2</v>
      </c>
      <c r="B41" s="3">
        <v>0.60520833333333335</v>
      </c>
      <c r="C41" s="1">
        <v>45042</v>
      </c>
      <c r="D41" t="s">
        <v>196</v>
      </c>
      <c r="E41" t="s">
        <v>197</v>
      </c>
      <c r="G41" s="1">
        <v>45042</v>
      </c>
      <c r="H41">
        <v>2</v>
      </c>
      <c r="I41" t="s">
        <v>231</v>
      </c>
      <c r="J41">
        <v>1</v>
      </c>
      <c r="M41">
        <v>8.2483000000000001E-2</v>
      </c>
      <c r="N41">
        <v>2.918196</v>
      </c>
      <c r="O41">
        <v>8.0214999999999995E-2</v>
      </c>
      <c r="P41">
        <v>3.440782</v>
      </c>
      <c r="Q41">
        <v>1.0599529999999999</v>
      </c>
      <c r="R41">
        <v>0.96862999999999999</v>
      </c>
      <c r="S41">
        <v>5.0023629999999999</v>
      </c>
      <c r="T41">
        <v>3.9424100000000002</v>
      </c>
      <c r="U41">
        <v>10.202444</v>
      </c>
      <c r="V41">
        <v>11.164329</v>
      </c>
      <c r="W41">
        <v>52.689174999999999</v>
      </c>
      <c r="X41">
        <v>0.44178600000000001</v>
      </c>
      <c r="Y41" t="s">
        <v>246</v>
      </c>
      <c r="Z41">
        <v>0</v>
      </c>
      <c r="AA41">
        <v>0</v>
      </c>
      <c r="AB41">
        <v>0</v>
      </c>
      <c r="AC41">
        <v>58.987853999999999</v>
      </c>
      <c r="AD41">
        <v>247.75035099999999</v>
      </c>
      <c r="AE41">
        <v>0.76190599999999997</v>
      </c>
      <c r="AF41">
        <v>0.5</v>
      </c>
      <c r="AG41">
        <v>0.8</v>
      </c>
      <c r="AH41">
        <v>39.543273999999997</v>
      </c>
      <c r="AI41">
        <v>19.13</v>
      </c>
      <c r="AJ41">
        <v>17.48</v>
      </c>
      <c r="AK41">
        <v>34.65</v>
      </c>
      <c r="AL41">
        <v>32.82</v>
      </c>
      <c r="AM41">
        <v>94.94</v>
      </c>
      <c r="AN41">
        <v>156.30000000000001</v>
      </c>
      <c r="AO41">
        <v>147.19999999999999</v>
      </c>
      <c r="AP41">
        <v>5.8</v>
      </c>
      <c r="AQ41">
        <v>130</v>
      </c>
      <c r="AR41">
        <v>3.6469999999999998</v>
      </c>
      <c r="AS41" s="3">
        <v>0.60447916666666668</v>
      </c>
      <c r="AT41" s="1">
        <v>45042</v>
      </c>
      <c r="AU41">
        <v>-0.22</v>
      </c>
      <c r="AV41">
        <v>0</v>
      </c>
      <c r="AW41">
        <v>1E-3</v>
      </c>
      <c r="AX41">
        <v>6.0000000000000001E-3</v>
      </c>
      <c r="AY41">
        <v>0.78500000000000003</v>
      </c>
      <c r="AZ41">
        <v>-0.249</v>
      </c>
      <c r="BA41">
        <v>-19.876999999999999</v>
      </c>
      <c r="BB41">
        <v>1</v>
      </c>
      <c r="BC41">
        <v>150</v>
      </c>
      <c r="BD41">
        <v>5.0000000000000001E-3</v>
      </c>
      <c r="BE41">
        <v>2</v>
      </c>
      <c r="BF41">
        <v>0</v>
      </c>
      <c r="BG41" t="s">
        <v>200</v>
      </c>
      <c r="BH41">
        <v>7000</v>
      </c>
      <c r="BI41">
        <v>500</v>
      </c>
      <c r="BJ41">
        <v>5</v>
      </c>
      <c r="BK41">
        <v>2</v>
      </c>
      <c r="BL41">
        <v>300</v>
      </c>
      <c r="BM41">
        <v>300</v>
      </c>
      <c r="BN41">
        <v>300</v>
      </c>
      <c r="BO41">
        <v>229.56776400000001</v>
      </c>
      <c r="BP41">
        <v>25</v>
      </c>
      <c r="BQ41">
        <v>-14.108582</v>
      </c>
      <c r="BR41">
        <v>243.55387899999999</v>
      </c>
      <c r="BS41">
        <v>227.514297</v>
      </c>
      <c r="BT41">
        <v>16.039580999999998</v>
      </c>
      <c r="BU41">
        <v>2.376563</v>
      </c>
      <c r="BV41">
        <v>2.4438149999999998</v>
      </c>
      <c r="BW41">
        <v>1.5873440000000001</v>
      </c>
      <c r="BX41">
        <v>0.96997999999999995</v>
      </c>
      <c r="BY41">
        <v>0.186385</v>
      </c>
      <c r="BZ41">
        <v>-2.4013E-2</v>
      </c>
      <c r="CA41">
        <v>0.11516700000000001</v>
      </c>
      <c r="CB41">
        <v>0.22233900000000001</v>
      </c>
      <c r="CC41">
        <v>58.987853999999999</v>
      </c>
      <c r="CD41">
        <v>3.5599999999999998E-4</v>
      </c>
      <c r="CE41">
        <v>2.3486280000000002</v>
      </c>
      <c r="CF41">
        <v>-5.1E-5</v>
      </c>
      <c r="CG41">
        <v>1</v>
      </c>
      <c r="CH41">
        <v>2.4109430000000001</v>
      </c>
      <c r="CI41">
        <v>-5.7000000000000003E-5</v>
      </c>
      <c r="CJ41">
        <v>1</v>
      </c>
      <c r="CK41">
        <v>0.60051900000000002</v>
      </c>
      <c r="CL41">
        <v>0.60216099999999995</v>
      </c>
      <c r="CM41">
        <v>0.107265</v>
      </c>
      <c r="CN41">
        <v>0</v>
      </c>
      <c r="CO41" t="s">
        <v>246</v>
      </c>
      <c r="CP41" t="s">
        <v>201</v>
      </c>
      <c r="CQ41" t="s">
        <v>202</v>
      </c>
      <c r="CR41" t="s">
        <v>203</v>
      </c>
      <c r="CS41" t="s">
        <v>204</v>
      </c>
      <c r="CT41" t="s">
        <v>205</v>
      </c>
      <c r="CU41" t="s">
        <v>206</v>
      </c>
    </row>
    <row r="42" spans="1:99">
      <c r="A42">
        <v>3</v>
      </c>
      <c r="B42" s="3">
        <v>0.6054166666666666</v>
      </c>
      <c r="C42" s="1">
        <v>45042</v>
      </c>
      <c r="D42" t="s">
        <v>196</v>
      </c>
      <c r="E42" t="s">
        <v>197</v>
      </c>
      <c r="G42" s="1">
        <v>45042</v>
      </c>
      <c r="H42">
        <v>3</v>
      </c>
      <c r="I42" t="s">
        <v>231</v>
      </c>
      <c r="J42">
        <v>1</v>
      </c>
      <c r="M42">
        <v>0.126581</v>
      </c>
      <c r="N42">
        <v>2.918879</v>
      </c>
      <c r="O42">
        <v>0.12132</v>
      </c>
      <c r="P42">
        <v>5.0829069999999996</v>
      </c>
      <c r="Q42">
        <v>1.005957</v>
      </c>
      <c r="R42">
        <v>0.87104199999999998</v>
      </c>
      <c r="S42">
        <v>4.860894</v>
      </c>
      <c r="T42">
        <v>3.8549370000000001</v>
      </c>
      <c r="U42">
        <v>9.1742670000000004</v>
      </c>
      <c r="V42">
        <v>10.595267</v>
      </c>
      <c r="W42">
        <v>51.197479000000001</v>
      </c>
      <c r="X42">
        <v>0.44178600000000001</v>
      </c>
      <c r="Y42" t="s">
        <v>247</v>
      </c>
      <c r="Z42">
        <v>0</v>
      </c>
      <c r="AA42">
        <v>0</v>
      </c>
      <c r="AB42">
        <v>0</v>
      </c>
      <c r="AC42">
        <v>91.087463</v>
      </c>
      <c r="AD42">
        <v>335.82913200000002</v>
      </c>
      <c r="AE42">
        <v>0.72876799999999997</v>
      </c>
      <c r="AF42">
        <v>0.5</v>
      </c>
      <c r="AG42">
        <v>0.8</v>
      </c>
      <c r="AH42">
        <v>319.26821899999999</v>
      </c>
      <c r="AI42">
        <v>18.149999999999999</v>
      </c>
      <c r="AJ42">
        <v>15.71</v>
      </c>
      <c r="AK42">
        <v>34.659999999999997</v>
      </c>
      <c r="AL42">
        <v>32.32</v>
      </c>
      <c r="AM42">
        <v>94.94</v>
      </c>
      <c r="AN42">
        <v>156.4</v>
      </c>
      <c r="AO42">
        <v>147.4</v>
      </c>
      <c r="AP42">
        <v>5.7</v>
      </c>
      <c r="AQ42">
        <v>1095</v>
      </c>
      <c r="AR42">
        <v>3.6469999999999998</v>
      </c>
      <c r="AS42" s="3">
        <v>0.60447916666666668</v>
      </c>
      <c r="AT42" s="1">
        <v>45042</v>
      </c>
      <c r="AU42">
        <v>-0.22</v>
      </c>
      <c r="AV42">
        <v>1E-3</v>
      </c>
      <c r="AW42">
        <v>1E-3</v>
      </c>
      <c r="AX42">
        <v>3.0000000000000001E-3</v>
      </c>
      <c r="AY42">
        <v>-3.645</v>
      </c>
      <c r="AZ42">
        <v>-3.343</v>
      </c>
      <c r="BA42">
        <v>-3.8340000000000001</v>
      </c>
      <c r="BB42">
        <v>1</v>
      </c>
      <c r="BC42">
        <v>150</v>
      </c>
      <c r="BD42">
        <v>5.0000000000000001E-3</v>
      </c>
      <c r="BE42">
        <v>2</v>
      </c>
      <c r="BF42">
        <v>0</v>
      </c>
      <c r="BG42" t="s">
        <v>200</v>
      </c>
      <c r="BH42">
        <v>7000</v>
      </c>
      <c r="BI42">
        <v>500</v>
      </c>
      <c r="BJ42">
        <v>5</v>
      </c>
      <c r="BK42">
        <v>2</v>
      </c>
      <c r="BL42">
        <v>300</v>
      </c>
      <c r="BM42">
        <v>300</v>
      </c>
      <c r="BN42">
        <v>300</v>
      </c>
      <c r="BO42">
        <v>307.81710800000002</v>
      </c>
      <c r="BP42">
        <v>25</v>
      </c>
      <c r="BQ42">
        <v>-19.244077999999998</v>
      </c>
      <c r="BR42">
        <v>311.89978000000002</v>
      </c>
      <c r="BS42">
        <v>308.22720299999997</v>
      </c>
      <c r="BT42">
        <v>3.672577</v>
      </c>
      <c r="BU42">
        <v>2.3739059999999998</v>
      </c>
      <c r="BV42">
        <v>2.4422640000000002</v>
      </c>
      <c r="BW42">
        <v>1.5880030000000001</v>
      </c>
      <c r="BX42">
        <v>0.97053400000000001</v>
      </c>
      <c r="BY42">
        <v>0.186339</v>
      </c>
      <c r="BZ42">
        <v>-3.0609000000000001E-2</v>
      </c>
      <c r="CA42">
        <v>0.11765200000000001</v>
      </c>
      <c r="CB42">
        <v>1.0786039999999999</v>
      </c>
      <c r="CC42">
        <v>91.087463</v>
      </c>
      <c r="CD42">
        <v>3.5799999999999997E-4</v>
      </c>
      <c r="CE42">
        <v>2.3486280000000002</v>
      </c>
      <c r="CF42">
        <v>-5.1E-5</v>
      </c>
      <c r="CG42">
        <v>1</v>
      </c>
      <c r="CH42">
        <v>2.4109430000000001</v>
      </c>
      <c r="CI42">
        <v>-5.7000000000000003E-5</v>
      </c>
      <c r="CJ42">
        <v>1</v>
      </c>
      <c r="CK42">
        <v>0.60051900000000002</v>
      </c>
      <c r="CL42">
        <v>0.60216099999999995</v>
      </c>
      <c r="CM42">
        <v>0.107265</v>
      </c>
      <c r="CN42">
        <v>0</v>
      </c>
      <c r="CO42" t="s">
        <v>247</v>
      </c>
      <c r="CP42" t="s">
        <v>201</v>
      </c>
      <c r="CQ42" t="s">
        <v>202</v>
      </c>
      <c r="CR42" t="s">
        <v>203</v>
      </c>
      <c r="CS42" t="s">
        <v>204</v>
      </c>
      <c r="CT42" t="s">
        <v>205</v>
      </c>
      <c r="CU42" t="s">
        <v>206</v>
      </c>
    </row>
    <row r="43" spans="1:99">
      <c r="A43">
        <v>4</v>
      </c>
      <c r="B43" s="3">
        <v>0.60559027777777774</v>
      </c>
      <c r="C43" s="1">
        <v>45042</v>
      </c>
      <c r="D43" t="s">
        <v>196</v>
      </c>
      <c r="E43" t="s">
        <v>197</v>
      </c>
      <c r="G43" s="1">
        <v>45042</v>
      </c>
      <c r="H43">
        <v>4</v>
      </c>
      <c r="I43" t="s">
        <v>231</v>
      </c>
      <c r="J43">
        <v>1</v>
      </c>
      <c r="M43">
        <v>0.13267599999999999</v>
      </c>
      <c r="N43">
        <v>2.9190700000000001</v>
      </c>
      <c r="O43">
        <v>0.12690799999999999</v>
      </c>
      <c r="P43">
        <v>6.6296169999999996</v>
      </c>
      <c r="Q43">
        <v>1.0539160000000001</v>
      </c>
      <c r="R43">
        <v>0.87805999999999995</v>
      </c>
      <c r="S43">
        <v>5.8339100000000004</v>
      </c>
      <c r="T43">
        <v>4.7799940000000003</v>
      </c>
      <c r="U43">
        <v>9.2480440000000002</v>
      </c>
      <c r="V43">
        <v>11.100225</v>
      </c>
      <c r="W43">
        <v>61.444831999999998</v>
      </c>
      <c r="X43">
        <v>0.44178600000000001</v>
      </c>
      <c r="Y43" t="s">
        <v>248</v>
      </c>
      <c r="Z43">
        <v>0</v>
      </c>
      <c r="AA43">
        <v>0</v>
      </c>
      <c r="AB43">
        <v>0</v>
      </c>
      <c r="AC43">
        <v>103.411316</v>
      </c>
      <c r="AD43">
        <v>147.061554</v>
      </c>
      <c r="AE43">
        <v>0.29681600000000002</v>
      </c>
      <c r="AF43">
        <v>0.5</v>
      </c>
      <c r="AG43">
        <v>0.8</v>
      </c>
      <c r="AH43">
        <v>19.230582999999999</v>
      </c>
      <c r="AI43">
        <v>19</v>
      </c>
      <c r="AJ43">
        <v>15.83</v>
      </c>
      <c r="AK43">
        <v>34.67</v>
      </c>
      <c r="AL43">
        <v>35.58</v>
      </c>
      <c r="AM43">
        <v>94.95</v>
      </c>
      <c r="AN43">
        <v>156.4</v>
      </c>
      <c r="AO43">
        <v>147.4</v>
      </c>
      <c r="AP43">
        <v>5.7</v>
      </c>
      <c r="AQ43">
        <v>162</v>
      </c>
      <c r="AR43">
        <v>3.6459999999999999</v>
      </c>
      <c r="AS43" s="3">
        <v>0.60447916666666668</v>
      </c>
      <c r="AT43" s="1">
        <v>45042</v>
      </c>
      <c r="AU43">
        <v>-0.22</v>
      </c>
      <c r="AV43">
        <v>0</v>
      </c>
      <c r="AW43">
        <v>1E-3</v>
      </c>
      <c r="AX43">
        <v>7.0000000000000001E-3</v>
      </c>
      <c r="AY43">
        <v>-1.589</v>
      </c>
      <c r="AZ43">
        <v>-3.6160000000000001</v>
      </c>
      <c r="BA43">
        <v>-11.755000000000001</v>
      </c>
      <c r="BB43">
        <v>1</v>
      </c>
      <c r="BC43">
        <v>150</v>
      </c>
      <c r="BD43">
        <v>5.0000000000000001E-3</v>
      </c>
      <c r="BE43">
        <v>2</v>
      </c>
      <c r="BF43">
        <v>0</v>
      </c>
      <c r="BG43" t="s">
        <v>200</v>
      </c>
      <c r="BH43">
        <v>7000</v>
      </c>
      <c r="BI43">
        <v>500</v>
      </c>
      <c r="BJ43">
        <v>5</v>
      </c>
      <c r="BK43">
        <v>2</v>
      </c>
      <c r="BL43">
        <v>300</v>
      </c>
      <c r="BM43">
        <v>300</v>
      </c>
      <c r="BN43">
        <v>300</v>
      </c>
      <c r="BO43">
        <v>140.24627699999999</v>
      </c>
      <c r="BP43">
        <v>25</v>
      </c>
      <c r="BQ43">
        <v>-4.8051360000000001</v>
      </c>
      <c r="BR43">
        <v>139.42837499999999</v>
      </c>
      <c r="BS43">
        <v>140.16951</v>
      </c>
      <c r="BT43">
        <v>-0.74113499999999999</v>
      </c>
      <c r="BU43">
        <v>2.374085</v>
      </c>
      <c r="BV43">
        <v>2.443616</v>
      </c>
      <c r="BW43">
        <v>1.5881879999999999</v>
      </c>
      <c r="BX43">
        <v>0.97050800000000004</v>
      </c>
      <c r="BY43">
        <v>0.18627199999999999</v>
      </c>
      <c r="BZ43">
        <v>1.174E-2</v>
      </c>
      <c r="CA43">
        <v>0.119563</v>
      </c>
      <c r="CB43">
        <v>0.25091599999999997</v>
      </c>
      <c r="CC43">
        <v>103.411316</v>
      </c>
      <c r="CD43">
        <v>3.4699999999999998E-4</v>
      </c>
      <c r="CE43">
        <v>2.3486280000000002</v>
      </c>
      <c r="CF43">
        <v>-5.1E-5</v>
      </c>
      <c r="CG43">
        <v>1</v>
      </c>
      <c r="CH43">
        <v>2.4109430000000001</v>
      </c>
      <c r="CI43">
        <v>-5.7000000000000003E-5</v>
      </c>
      <c r="CJ43">
        <v>1</v>
      </c>
      <c r="CK43">
        <v>0.60051900000000002</v>
      </c>
      <c r="CL43">
        <v>0.60216099999999995</v>
      </c>
      <c r="CM43">
        <v>0.107265</v>
      </c>
      <c r="CN43">
        <v>0</v>
      </c>
      <c r="CO43" t="s">
        <v>248</v>
      </c>
      <c r="CP43" t="s">
        <v>201</v>
      </c>
      <c r="CQ43" t="s">
        <v>202</v>
      </c>
      <c r="CR43" t="s">
        <v>203</v>
      </c>
      <c r="CS43" t="s">
        <v>204</v>
      </c>
      <c r="CT43" t="s">
        <v>205</v>
      </c>
      <c r="CU43" t="s">
        <v>206</v>
      </c>
    </row>
    <row r="44" spans="1:99">
      <c r="A44">
        <v>5</v>
      </c>
      <c r="B44" s="3">
        <v>0.60589120370370375</v>
      </c>
      <c r="C44" s="1">
        <v>45042</v>
      </c>
      <c r="D44" t="s">
        <v>196</v>
      </c>
      <c r="E44" t="s">
        <v>197</v>
      </c>
      <c r="G44" s="1">
        <v>45042</v>
      </c>
      <c r="H44">
        <v>5</v>
      </c>
      <c r="I44" t="s">
        <v>231</v>
      </c>
      <c r="J44">
        <v>1</v>
      </c>
      <c r="M44">
        <v>8.4781999999999996E-2</v>
      </c>
      <c r="N44">
        <v>2.9197160000000002</v>
      </c>
      <c r="O44">
        <v>8.2389000000000004E-2</v>
      </c>
      <c r="P44">
        <v>4.6859909999999996</v>
      </c>
      <c r="Q44">
        <v>1.0927750000000001</v>
      </c>
      <c r="R44">
        <v>0.968584</v>
      </c>
      <c r="S44">
        <v>6.2833649999999999</v>
      </c>
      <c r="T44">
        <v>5.1905910000000004</v>
      </c>
      <c r="U44">
        <v>10.201076</v>
      </c>
      <c r="V44">
        <v>11.509038</v>
      </c>
      <c r="W44">
        <v>66.176040999999998</v>
      </c>
      <c r="X44">
        <v>0.44178600000000001</v>
      </c>
      <c r="Y44" t="s">
        <v>249</v>
      </c>
      <c r="Z44">
        <v>0</v>
      </c>
      <c r="AA44">
        <v>0</v>
      </c>
      <c r="AB44">
        <v>0</v>
      </c>
      <c r="AC44">
        <v>199.88357500000001</v>
      </c>
      <c r="AD44">
        <v>269.21994000000001</v>
      </c>
      <c r="AE44">
        <v>0.25754500000000002</v>
      </c>
      <c r="AF44">
        <v>0.5</v>
      </c>
      <c r="AG44">
        <v>0.8</v>
      </c>
      <c r="AH44">
        <v>192.31445299999999</v>
      </c>
      <c r="AI44">
        <v>19.670000000000002</v>
      </c>
      <c r="AJ44">
        <v>17.440000000000001</v>
      </c>
      <c r="AK44">
        <v>34.700000000000003</v>
      </c>
      <c r="AL44">
        <v>36.94</v>
      </c>
      <c r="AM44">
        <v>94.95</v>
      </c>
      <c r="AN44">
        <v>156.5</v>
      </c>
      <c r="AO44">
        <v>147.1</v>
      </c>
      <c r="AP44">
        <v>6</v>
      </c>
      <c r="AQ44">
        <v>1867</v>
      </c>
      <c r="AR44">
        <v>3.645</v>
      </c>
      <c r="AS44" s="3">
        <v>0.60447916666666668</v>
      </c>
      <c r="AT44" s="1">
        <v>45042</v>
      </c>
      <c r="AU44">
        <v>-0.22</v>
      </c>
      <c r="AV44">
        <v>1E-3</v>
      </c>
      <c r="AW44">
        <v>0</v>
      </c>
      <c r="AX44">
        <v>-2E-3</v>
      </c>
      <c r="AY44">
        <v>-2.1509999999999998</v>
      </c>
      <c r="AZ44">
        <v>-4.7110000000000003</v>
      </c>
      <c r="BA44">
        <v>4.726</v>
      </c>
      <c r="BB44">
        <v>1</v>
      </c>
      <c r="BC44">
        <v>150</v>
      </c>
      <c r="BD44">
        <v>5.0000000000000001E-3</v>
      </c>
      <c r="BE44">
        <v>2</v>
      </c>
      <c r="BF44">
        <v>0</v>
      </c>
      <c r="BG44" t="s">
        <v>200</v>
      </c>
      <c r="BH44">
        <v>7000</v>
      </c>
      <c r="BI44">
        <v>500</v>
      </c>
      <c r="BJ44">
        <v>5</v>
      </c>
      <c r="BK44">
        <v>2</v>
      </c>
      <c r="BL44">
        <v>300</v>
      </c>
      <c r="BM44">
        <v>300</v>
      </c>
      <c r="BN44">
        <v>300</v>
      </c>
      <c r="BO44">
        <v>257.86508199999997</v>
      </c>
      <c r="BP44">
        <v>25</v>
      </c>
      <c r="BQ44">
        <v>-7.4959759999999998</v>
      </c>
      <c r="BR44">
        <v>263.48913599999997</v>
      </c>
      <c r="BS44">
        <v>258.468414</v>
      </c>
      <c r="BT44">
        <v>5.020721</v>
      </c>
      <c r="BU44">
        <v>2.376493</v>
      </c>
      <c r="BV44">
        <v>2.4446639999999999</v>
      </c>
      <c r="BW44">
        <v>1.588813</v>
      </c>
      <c r="BX44">
        <v>0.96971099999999999</v>
      </c>
      <c r="BY44">
        <v>0.18606500000000001</v>
      </c>
      <c r="BZ44">
        <v>2.9378000000000001E-2</v>
      </c>
      <c r="CA44">
        <v>0.123256</v>
      </c>
      <c r="CB44">
        <v>1.762893</v>
      </c>
      <c r="CC44">
        <v>199.88357500000001</v>
      </c>
      <c r="CD44">
        <v>3.5199999999999999E-4</v>
      </c>
      <c r="CE44">
        <v>2.3486280000000002</v>
      </c>
      <c r="CF44">
        <v>-5.1E-5</v>
      </c>
      <c r="CG44">
        <v>1</v>
      </c>
      <c r="CH44">
        <v>2.4109430000000001</v>
      </c>
      <c r="CI44">
        <v>-5.7000000000000003E-5</v>
      </c>
      <c r="CJ44">
        <v>1</v>
      </c>
      <c r="CK44">
        <v>0.60051900000000002</v>
      </c>
      <c r="CL44">
        <v>0.60216099999999995</v>
      </c>
      <c r="CM44">
        <v>0.107265</v>
      </c>
      <c r="CN44">
        <v>0</v>
      </c>
      <c r="CO44" t="s">
        <v>249</v>
      </c>
      <c r="CP44" t="s">
        <v>201</v>
      </c>
      <c r="CQ44" t="s">
        <v>202</v>
      </c>
      <c r="CR44" t="s">
        <v>203</v>
      </c>
      <c r="CS44" t="s">
        <v>204</v>
      </c>
      <c r="CT44" t="s">
        <v>205</v>
      </c>
      <c r="CU44" t="s">
        <v>206</v>
      </c>
    </row>
    <row r="45" spans="1:99">
      <c r="A45">
        <v>6</v>
      </c>
      <c r="B45" s="3">
        <v>0.60628472222222218</v>
      </c>
      <c r="C45" s="1">
        <v>45042</v>
      </c>
      <c r="D45" t="s">
        <v>196</v>
      </c>
      <c r="E45" t="s">
        <v>197</v>
      </c>
      <c r="G45" s="1">
        <v>45042</v>
      </c>
      <c r="H45">
        <v>6</v>
      </c>
      <c r="I45" t="s">
        <v>231</v>
      </c>
      <c r="J45">
        <v>1</v>
      </c>
      <c r="M45">
        <v>0.19844000000000001</v>
      </c>
      <c r="N45">
        <v>2.918447</v>
      </c>
      <c r="O45">
        <v>0.185806</v>
      </c>
      <c r="P45">
        <v>9.6035489999999992</v>
      </c>
      <c r="Q45">
        <v>1.250051</v>
      </c>
      <c r="R45">
        <v>0.99570000000000003</v>
      </c>
      <c r="S45">
        <v>5.9710650000000003</v>
      </c>
      <c r="T45">
        <v>4.7210140000000003</v>
      </c>
      <c r="U45">
        <v>10.486433999999999</v>
      </c>
      <c r="V45">
        <v>13.165184999999999</v>
      </c>
      <c r="W45">
        <v>62.885581999999999</v>
      </c>
      <c r="X45">
        <v>0.44178600000000001</v>
      </c>
      <c r="Y45" t="s">
        <v>250</v>
      </c>
      <c r="Z45">
        <v>0</v>
      </c>
      <c r="AA45">
        <v>0</v>
      </c>
      <c r="AB45">
        <v>0</v>
      </c>
      <c r="AC45">
        <v>105.45874000000001</v>
      </c>
      <c r="AD45">
        <v>154.25697299999999</v>
      </c>
      <c r="AE45">
        <v>0.31634400000000001</v>
      </c>
      <c r="AF45">
        <v>0.5</v>
      </c>
      <c r="AG45">
        <v>0.8</v>
      </c>
      <c r="AH45">
        <v>19.612317999999998</v>
      </c>
      <c r="AI45">
        <v>22.45</v>
      </c>
      <c r="AJ45">
        <v>17.88</v>
      </c>
      <c r="AK45">
        <v>34.75</v>
      </c>
      <c r="AL45">
        <v>36.01</v>
      </c>
      <c r="AM45">
        <v>94.95</v>
      </c>
      <c r="AN45">
        <v>156.30000000000001</v>
      </c>
      <c r="AO45">
        <v>141.80000000000001</v>
      </c>
      <c r="AP45">
        <v>9.3000000000000007</v>
      </c>
      <c r="AQ45">
        <v>155</v>
      </c>
      <c r="AR45">
        <v>3.6440000000000001</v>
      </c>
      <c r="AS45" s="3">
        <v>0.60447916666666668</v>
      </c>
      <c r="AT45" s="1">
        <v>45042</v>
      </c>
      <c r="AU45">
        <v>-0.22</v>
      </c>
      <c r="AV45">
        <v>0</v>
      </c>
      <c r="AW45">
        <v>2E-3</v>
      </c>
      <c r="AX45">
        <v>-1E-3</v>
      </c>
      <c r="AY45">
        <v>-1.33</v>
      </c>
      <c r="AZ45">
        <v>-3.2669999999999999</v>
      </c>
      <c r="BA45">
        <v>-11.643000000000001</v>
      </c>
      <c r="BB45">
        <v>1</v>
      </c>
      <c r="BC45">
        <v>150</v>
      </c>
      <c r="BD45">
        <v>5.0000000000000001E-3</v>
      </c>
      <c r="BE45">
        <v>2</v>
      </c>
      <c r="BF45">
        <v>0</v>
      </c>
      <c r="BG45" t="s">
        <v>200</v>
      </c>
      <c r="BH45">
        <v>7000</v>
      </c>
      <c r="BI45">
        <v>500</v>
      </c>
      <c r="BJ45">
        <v>5</v>
      </c>
      <c r="BK45">
        <v>2</v>
      </c>
      <c r="BL45">
        <v>300</v>
      </c>
      <c r="BM45">
        <v>300</v>
      </c>
      <c r="BN45">
        <v>300</v>
      </c>
      <c r="BO45">
        <v>148.902649</v>
      </c>
      <c r="BP45">
        <v>25</v>
      </c>
      <c r="BQ45">
        <v>-3.648428</v>
      </c>
      <c r="BR45">
        <v>150.542374</v>
      </c>
      <c r="BS45">
        <v>149.024002</v>
      </c>
      <c r="BT45">
        <v>1.5183720000000001</v>
      </c>
      <c r="BU45">
        <v>2.3771429999999998</v>
      </c>
      <c r="BV45">
        <v>2.448941</v>
      </c>
      <c r="BW45">
        <v>1.5875859999999999</v>
      </c>
      <c r="BX45">
        <v>0.95325800000000005</v>
      </c>
      <c r="BY45">
        <v>0.18571699999999999</v>
      </c>
      <c r="BZ45">
        <v>1.6324999999999999E-2</v>
      </c>
      <c r="CA45">
        <v>0.12804299999999999</v>
      </c>
      <c r="CB45">
        <v>0.244724</v>
      </c>
      <c r="CC45">
        <v>105.45874000000001</v>
      </c>
      <c r="CD45">
        <v>3.5399999999999999E-4</v>
      </c>
      <c r="CE45">
        <v>2.3486280000000002</v>
      </c>
      <c r="CF45">
        <v>-5.1E-5</v>
      </c>
      <c r="CG45">
        <v>1</v>
      </c>
      <c r="CH45">
        <v>2.4109430000000001</v>
      </c>
      <c r="CI45">
        <v>-5.7000000000000003E-5</v>
      </c>
      <c r="CJ45">
        <v>1</v>
      </c>
      <c r="CK45">
        <v>0.60051900000000002</v>
      </c>
      <c r="CL45">
        <v>0.60216099999999995</v>
      </c>
      <c r="CM45">
        <v>0.107265</v>
      </c>
      <c r="CN45">
        <v>0</v>
      </c>
      <c r="CO45" t="s">
        <v>250</v>
      </c>
      <c r="CP45" t="s">
        <v>201</v>
      </c>
      <c r="CQ45" t="s">
        <v>202</v>
      </c>
      <c r="CR45" t="s">
        <v>203</v>
      </c>
      <c r="CS45" t="s">
        <v>204</v>
      </c>
      <c r="CT45" t="s">
        <v>205</v>
      </c>
      <c r="CU45" t="s">
        <v>206</v>
      </c>
    </row>
    <row r="46" spans="1:99">
      <c r="A46">
        <v>1</v>
      </c>
      <c r="B46" s="3">
        <v>0.61288194444444444</v>
      </c>
      <c r="C46" s="1">
        <v>45042</v>
      </c>
      <c r="D46" t="s">
        <v>196</v>
      </c>
      <c r="E46" t="s">
        <v>197</v>
      </c>
      <c r="G46" s="1">
        <v>45042</v>
      </c>
      <c r="H46">
        <v>1</v>
      </c>
      <c r="I46" t="s">
        <v>238</v>
      </c>
      <c r="J46">
        <v>2</v>
      </c>
      <c r="M46">
        <v>8.0770999999999996E-2</v>
      </c>
      <c r="N46">
        <v>2.9196309999999999</v>
      </c>
      <c r="O46">
        <v>7.8595999999999999E-2</v>
      </c>
      <c r="P46">
        <v>4.5539529999999999</v>
      </c>
      <c r="Q46">
        <v>1.1046769999999999</v>
      </c>
      <c r="R46">
        <v>0.98402699999999999</v>
      </c>
      <c r="S46">
        <v>6.3875820000000001</v>
      </c>
      <c r="T46">
        <v>5.2829050000000004</v>
      </c>
      <c r="U46">
        <v>10.366553</v>
      </c>
      <c r="V46">
        <v>11.637582</v>
      </c>
      <c r="W46">
        <v>67.292068</v>
      </c>
      <c r="X46">
        <v>0.44178600000000001</v>
      </c>
      <c r="Y46" t="s">
        <v>251</v>
      </c>
      <c r="Z46">
        <v>0</v>
      </c>
      <c r="AA46">
        <v>0</v>
      </c>
      <c r="AB46">
        <v>0</v>
      </c>
      <c r="AC46">
        <v>80.474136000000001</v>
      </c>
      <c r="AD46">
        <v>117.052246</v>
      </c>
      <c r="AE46">
        <v>0.31249399999999999</v>
      </c>
      <c r="AF46">
        <v>0.5</v>
      </c>
      <c r="AG46">
        <v>0.8</v>
      </c>
      <c r="AH46">
        <v>219.00753800000001</v>
      </c>
      <c r="AI46">
        <v>19.940000000000001</v>
      </c>
      <c r="AJ46">
        <v>17.760000000000002</v>
      </c>
      <c r="AK46">
        <v>34.65</v>
      </c>
      <c r="AL46">
        <v>37.24</v>
      </c>
      <c r="AM46">
        <v>94.92</v>
      </c>
      <c r="AN46">
        <v>156.4</v>
      </c>
      <c r="AO46">
        <v>147.19999999999999</v>
      </c>
      <c r="AP46">
        <v>5.9</v>
      </c>
      <c r="AQ46">
        <v>1752</v>
      </c>
      <c r="AR46">
        <v>3.6469999999999998</v>
      </c>
      <c r="AS46" s="3">
        <v>0.61275462962962968</v>
      </c>
      <c r="AT46" s="1">
        <v>45042</v>
      </c>
      <c r="AU46">
        <v>-0.2</v>
      </c>
      <c r="AV46">
        <v>1E-3</v>
      </c>
      <c r="AW46">
        <v>3.0000000000000001E-3</v>
      </c>
      <c r="AX46">
        <v>-9999</v>
      </c>
      <c r="AY46">
        <v>0.47399999999999998</v>
      </c>
      <c r="AZ46">
        <v>1.734</v>
      </c>
      <c r="BA46">
        <v>-9999</v>
      </c>
      <c r="BB46">
        <v>1</v>
      </c>
      <c r="BC46">
        <v>150</v>
      </c>
      <c r="BD46">
        <v>5.0000000000000001E-3</v>
      </c>
      <c r="BE46">
        <v>2</v>
      </c>
      <c r="BF46">
        <v>0</v>
      </c>
      <c r="BG46" t="s">
        <v>200</v>
      </c>
      <c r="BH46">
        <v>7000</v>
      </c>
      <c r="BI46">
        <v>500</v>
      </c>
      <c r="BJ46">
        <v>5</v>
      </c>
      <c r="BK46">
        <v>2</v>
      </c>
      <c r="BL46">
        <v>300</v>
      </c>
      <c r="BM46">
        <v>300</v>
      </c>
      <c r="BN46">
        <v>300</v>
      </c>
      <c r="BO46">
        <v>107.597351</v>
      </c>
      <c r="BP46">
        <v>25</v>
      </c>
      <c r="BQ46">
        <v>-6.9130969999999996</v>
      </c>
      <c r="BR46">
        <v>105.448364</v>
      </c>
      <c r="BS46">
        <v>107.136742</v>
      </c>
      <c r="BT46">
        <v>-1.688377</v>
      </c>
      <c r="BU46">
        <v>2.3769840000000002</v>
      </c>
      <c r="BV46">
        <v>2.445068</v>
      </c>
      <c r="BW46">
        <v>1.58873</v>
      </c>
      <c r="BX46">
        <v>0.96977800000000003</v>
      </c>
      <c r="BY46">
        <v>0.186421</v>
      </c>
      <c r="BZ46">
        <v>3.4077999999999997E-2</v>
      </c>
      <c r="CA46">
        <v>0.126528</v>
      </c>
      <c r="CB46">
        <v>1.661162</v>
      </c>
      <c r="CC46">
        <v>80.474136000000001</v>
      </c>
      <c r="CD46">
        <v>3.4099999999999999E-4</v>
      </c>
      <c r="CE46">
        <v>2.3486280000000002</v>
      </c>
      <c r="CF46">
        <v>-5.1E-5</v>
      </c>
      <c r="CG46">
        <v>1</v>
      </c>
      <c r="CH46">
        <v>2.4109430000000001</v>
      </c>
      <c r="CI46">
        <v>-5.7000000000000003E-5</v>
      </c>
      <c r="CJ46">
        <v>1</v>
      </c>
      <c r="CK46">
        <v>0.60051900000000002</v>
      </c>
      <c r="CL46">
        <v>0.60216099999999995</v>
      </c>
      <c r="CM46">
        <v>0.107265</v>
      </c>
      <c r="CN46">
        <v>0</v>
      </c>
      <c r="CO46" t="s">
        <v>251</v>
      </c>
      <c r="CP46" t="s">
        <v>201</v>
      </c>
      <c r="CQ46" t="s">
        <v>202</v>
      </c>
      <c r="CR46" t="s">
        <v>203</v>
      </c>
      <c r="CS46" t="s">
        <v>204</v>
      </c>
      <c r="CT46" t="s">
        <v>205</v>
      </c>
      <c r="CU46" t="s">
        <v>206</v>
      </c>
    </row>
    <row r="47" spans="1:99">
      <c r="A47">
        <v>2</v>
      </c>
      <c r="B47" s="3">
        <v>0.61315972222222226</v>
      </c>
      <c r="C47" s="1">
        <v>45042</v>
      </c>
      <c r="D47" t="s">
        <v>196</v>
      </c>
      <c r="E47" t="s">
        <v>197</v>
      </c>
      <c r="G47" s="1">
        <v>45042</v>
      </c>
      <c r="H47">
        <v>2</v>
      </c>
      <c r="I47" t="s">
        <v>238</v>
      </c>
      <c r="J47">
        <v>2</v>
      </c>
      <c r="M47">
        <v>0.13821700000000001</v>
      </c>
      <c r="N47">
        <v>2.919829</v>
      </c>
      <c r="O47">
        <v>0.13197</v>
      </c>
      <c r="P47">
        <v>6.7197310000000003</v>
      </c>
      <c r="Q47">
        <v>1.17001</v>
      </c>
      <c r="R47">
        <v>0.99212699999999998</v>
      </c>
      <c r="S47">
        <v>5.8254190000000001</v>
      </c>
      <c r="T47">
        <v>4.6554089999999997</v>
      </c>
      <c r="U47">
        <v>10.451586000000001</v>
      </c>
      <c r="V47">
        <v>12.325494000000001</v>
      </c>
      <c r="W47">
        <v>61.368000000000002</v>
      </c>
      <c r="X47">
        <v>0.44178600000000001</v>
      </c>
      <c r="Y47" t="s">
        <v>252</v>
      </c>
      <c r="Z47">
        <v>0</v>
      </c>
      <c r="AA47">
        <v>0</v>
      </c>
      <c r="AB47">
        <v>0</v>
      </c>
      <c r="AC47">
        <v>118.110535</v>
      </c>
      <c r="AD47">
        <v>301.756012</v>
      </c>
      <c r="AE47">
        <v>0.60858900000000005</v>
      </c>
      <c r="AF47">
        <v>0.5</v>
      </c>
      <c r="AG47">
        <v>0.8</v>
      </c>
      <c r="AH47">
        <v>92.174758999999995</v>
      </c>
      <c r="AI47">
        <v>21.09</v>
      </c>
      <c r="AJ47">
        <v>17.88</v>
      </c>
      <c r="AK47">
        <v>34.67</v>
      </c>
      <c r="AL47">
        <v>35.56</v>
      </c>
      <c r="AM47">
        <v>94.93</v>
      </c>
      <c r="AN47">
        <v>156.5</v>
      </c>
      <c r="AO47">
        <v>147.5</v>
      </c>
      <c r="AP47">
        <v>5.8</v>
      </c>
      <c r="AQ47">
        <v>379</v>
      </c>
      <c r="AR47">
        <v>3.645</v>
      </c>
      <c r="AS47" s="3">
        <v>0.61275462962962968</v>
      </c>
      <c r="AT47" s="1">
        <v>45042</v>
      </c>
      <c r="AU47">
        <v>-0.2</v>
      </c>
      <c r="AV47">
        <v>1E-3</v>
      </c>
      <c r="AW47">
        <v>1E-3</v>
      </c>
      <c r="AX47">
        <v>5.0000000000000001E-3</v>
      </c>
      <c r="AY47">
        <v>-12.577</v>
      </c>
      <c r="AZ47">
        <v>-4.0490000000000004</v>
      </c>
      <c r="BA47">
        <v>-17.247</v>
      </c>
      <c r="BB47">
        <v>1</v>
      </c>
      <c r="BC47">
        <v>150</v>
      </c>
      <c r="BD47">
        <v>5.0000000000000001E-3</v>
      </c>
      <c r="BE47">
        <v>2</v>
      </c>
      <c r="BF47">
        <v>0</v>
      </c>
      <c r="BG47" t="s">
        <v>200</v>
      </c>
      <c r="BH47">
        <v>7000</v>
      </c>
      <c r="BI47">
        <v>500</v>
      </c>
      <c r="BJ47">
        <v>5</v>
      </c>
      <c r="BK47">
        <v>2</v>
      </c>
      <c r="BL47">
        <v>300</v>
      </c>
      <c r="BM47">
        <v>300</v>
      </c>
      <c r="BN47">
        <v>300</v>
      </c>
      <c r="BO47">
        <v>280.05517600000002</v>
      </c>
      <c r="BP47">
        <v>25</v>
      </c>
      <c r="BQ47">
        <v>-14.499582999999999</v>
      </c>
      <c r="BR47">
        <v>278.94653299999999</v>
      </c>
      <c r="BS47">
        <v>280.959137</v>
      </c>
      <c r="BT47">
        <v>-2.0126040000000001</v>
      </c>
      <c r="BU47">
        <v>2.3771599999999999</v>
      </c>
      <c r="BV47">
        <v>2.44685</v>
      </c>
      <c r="BW47">
        <v>1.5889219999999999</v>
      </c>
      <c r="BX47">
        <v>0.97072099999999995</v>
      </c>
      <c r="BY47">
        <v>0.18623300000000001</v>
      </c>
      <c r="BZ47">
        <v>1.1320999999999999E-2</v>
      </c>
      <c r="CA47">
        <v>0.129917</v>
      </c>
      <c r="CB47">
        <v>0.44307400000000002</v>
      </c>
      <c r="CC47">
        <v>118.110535</v>
      </c>
      <c r="CD47">
        <v>3.57E-4</v>
      </c>
      <c r="CE47">
        <v>2.3486280000000002</v>
      </c>
      <c r="CF47">
        <v>-5.1E-5</v>
      </c>
      <c r="CG47">
        <v>1</v>
      </c>
      <c r="CH47">
        <v>2.4109430000000001</v>
      </c>
      <c r="CI47">
        <v>-5.7000000000000003E-5</v>
      </c>
      <c r="CJ47">
        <v>1</v>
      </c>
      <c r="CK47">
        <v>0.60051900000000002</v>
      </c>
      <c r="CL47">
        <v>0.60216099999999995</v>
      </c>
      <c r="CM47">
        <v>0.107265</v>
      </c>
      <c r="CN47">
        <v>0</v>
      </c>
      <c r="CO47" t="s">
        <v>252</v>
      </c>
      <c r="CP47" t="s">
        <v>201</v>
      </c>
      <c r="CQ47" t="s">
        <v>202</v>
      </c>
      <c r="CR47" t="s">
        <v>203</v>
      </c>
      <c r="CS47" t="s">
        <v>204</v>
      </c>
      <c r="CT47" t="s">
        <v>205</v>
      </c>
      <c r="CU47" t="s">
        <v>206</v>
      </c>
    </row>
    <row r="48" spans="1:99">
      <c r="A48">
        <v>3</v>
      </c>
      <c r="B48" s="3">
        <v>0.61349537037037039</v>
      </c>
      <c r="C48" s="1">
        <v>45042</v>
      </c>
      <c r="D48" t="s">
        <v>196</v>
      </c>
      <c r="E48" t="s">
        <v>197</v>
      </c>
      <c r="G48" s="1">
        <v>45042</v>
      </c>
      <c r="H48">
        <v>3</v>
      </c>
      <c r="I48" t="s">
        <v>238</v>
      </c>
      <c r="J48">
        <v>2</v>
      </c>
      <c r="M48">
        <v>7.2417999999999996E-2</v>
      </c>
      <c r="N48">
        <v>2.919384</v>
      </c>
      <c r="O48">
        <v>7.0665000000000006E-2</v>
      </c>
      <c r="P48">
        <v>3.6112090000000001</v>
      </c>
      <c r="Q48">
        <v>1.001123</v>
      </c>
      <c r="R48">
        <v>0.90532100000000004</v>
      </c>
      <c r="S48">
        <v>5.6814080000000002</v>
      </c>
      <c r="T48">
        <v>4.6802849999999996</v>
      </c>
      <c r="U48">
        <v>9.5370509999999999</v>
      </c>
      <c r="V48">
        <v>10.546265999999999</v>
      </c>
      <c r="W48">
        <v>59.850448999999998</v>
      </c>
      <c r="X48">
        <v>0.44178600000000001</v>
      </c>
      <c r="Y48" t="s">
        <v>253</v>
      </c>
      <c r="Z48">
        <v>0</v>
      </c>
      <c r="AA48">
        <v>0</v>
      </c>
      <c r="AB48">
        <v>0</v>
      </c>
      <c r="AC48">
        <v>191.26332099999999</v>
      </c>
      <c r="AD48">
        <v>259.19473299999999</v>
      </c>
      <c r="AE48">
        <v>0.26208599999999999</v>
      </c>
      <c r="AF48">
        <v>0.5</v>
      </c>
      <c r="AG48">
        <v>0.8</v>
      </c>
      <c r="AH48">
        <v>19.760172000000001</v>
      </c>
      <c r="AI48">
        <v>18.05</v>
      </c>
      <c r="AJ48">
        <v>16.329999999999998</v>
      </c>
      <c r="AK48">
        <v>34.67</v>
      </c>
      <c r="AL48">
        <v>35.11</v>
      </c>
      <c r="AM48">
        <v>94.93</v>
      </c>
      <c r="AN48">
        <v>156.4</v>
      </c>
      <c r="AO48">
        <v>147.1</v>
      </c>
      <c r="AP48">
        <v>5.9</v>
      </c>
      <c r="AQ48">
        <v>188</v>
      </c>
      <c r="AR48">
        <v>3.6440000000000001</v>
      </c>
      <c r="AS48" s="3">
        <v>0.61275462962962968</v>
      </c>
      <c r="AT48" s="1">
        <v>45042</v>
      </c>
      <c r="AU48">
        <v>-0.2</v>
      </c>
      <c r="AV48">
        <v>-1E-3</v>
      </c>
      <c r="AW48">
        <v>0</v>
      </c>
      <c r="AX48">
        <v>-2E-3</v>
      </c>
      <c r="AY48">
        <v>13.021000000000001</v>
      </c>
      <c r="AZ48">
        <v>1.7949999999999999</v>
      </c>
      <c r="BA48">
        <v>-4.085</v>
      </c>
      <c r="BB48">
        <v>1</v>
      </c>
      <c r="BC48">
        <v>150</v>
      </c>
      <c r="BD48">
        <v>5.0000000000000001E-3</v>
      </c>
      <c r="BE48">
        <v>2</v>
      </c>
      <c r="BF48">
        <v>0</v>
      </c>
      <c r="BG48" t="s">
        <v>200</v>
      </c>
      <c r="BH48">
        <v>7000</v>
      </c>
      <c r="BI48">
        <v>500</v>
      </c>
      <c r="BJ48">
        <v>5</v>
      </c>
      <c r="BK48">
        <v>2</v>
      </c>
      <c r="BL48">
        <v>300</v>
      </c>
      <c r="BM48">
        <v>300</v>
      </c>
      <c r="BN48">
        <v>300</v>
      </c>
      <c r="BO48">
        <v>259.19473299999999</v>
      </c>
      <c r="BP48">
        <v>25</v>
      </c>
      <c r="BQ48">
        <v>1.1947220000000001</v>
      </c>
      <c r="BR48">
        <v>264.08529700000003</v>
      </c>
      <c r="BS48">
        <v>260.90832499999999</v>
      </c>
      <c r="BT48">
        <v>3.176971</v>
      </c>
      <c r="BU48">
        <v>2.3748290000000001</v>
      </c>
      <c r="BV48">
        <v>2.442088</v>
      </c>
      <c r="BW48">
        <v>1.5884910000000001</v>
      </c>
      <c r="BX48">
        <v>0.96972100000000006</v>
      </c>
      <c r="BY48">
        <v>0.186275</v>
      </c>
      <c r="BZ48">
        <v>5.424E-3</v>
      </c>
      <c r="CA48">
        <v>0.13376399999999999</v>
      </c>
      <c r="CB48">
        <v>0.27443200000000001</v>
      </c>
      <c r="CC48">
        <v>191.26332099999999</v>
      </c>
      <c r="CD48">
        <v>3.6200000000000002E-4</v>
      </c>
      <c r="CE48">
        <v>2.3486280000000002</v>
      </c>
      <c r="CF48">
        <v>-5.1E-5</v>
      </c>
      <c r="CG48">
        <v>1</v>
      </c>
      <c r="CH48">
        <v>2.4109430000000001</v>
      </c>
      <c r="CI48">
        <v>-5.7000000000000003E-5</v>
      </c>
      <c r="CJ48">
        <v>1</v>
      </c>
      <c r="CK48">
        <v>0.60051900000000002</v>
      </c>
      <c r="CL48">
        <v>0.60216099999999995</v>
      </c>
      <c r="CM48">
        <v>0.107265</v>
      </c>
      <c r="CN48">
        <v>0</v>
      </c>
      <c r="CO48" t="s">
        <v>253</v>
      </c>
      <c r="CP48" t="s">
        <v>201</v>
      </c>
      <c r="CQ48" t="s">
        <v>202</v>
      </c>
      <c r="CR48" t="s">
        <v>203</v>
      </c>
      <c r="CS48" t="s">
        <v>204</v>
      </c>
      <c r="CT48" t="s">
        <v>205</v>
      </c>
      <c r="CU48" t="s">
        <v>206</v>
      </c>
    </row>
    <row r="49" spans="1:99">
      <c r="A49">
        <v>4</v>
      </c>
      <c r="B49" s="3">
        <v>0.61383101851851851</v>
      </c>
      <c r="C49" s="1">
        <v>45042</v>
      </c>
      <c r="D49" t="s">
        <v>196</v>
      </c>
      <c r="E49" t="s">
        <v>197</v>
      </c>
      <c r="G49" s="1">
        <v>45042</v>
      </c>
      <c r="H49">
        <v>4</v>
      </c>
      <c r="I49" t="s">
        <v>238</v>
      </c>
      <c r="J49">
        <v>2</v>
      </c>
      <c r="M49">
        <v>5.7544999999999999E-2</v>
      </c>
      <c r="N49">
        <v>2.9193829999999998</v>
      </c>
      <c r="O49">
        <v>5.6432999999999997E-2</v>
      </c>
      <c r="P49">
        <v>2.6096119999999998</v>
      </c>
      <c r="Q49">
        <v>0.97960000000000003</v>
      </c>
      <c r="R49">
        <v>0.91035600000000005</v>
      </c>
      <c r="S49">
        <v>5.2256970000000003</v>
      </c>
      <c r="T49">
        <v>4.2460959999999996</v>
      </c>
      <c r="U49">
        <v>9.5903159999999996</v>
      </c>
      <c r="V49">
        <v>10.319782999999999</v>
      </c>
      <c r="W49">
        <v>55.051085999999998</v>
      </c>
      <c r="X49">
        <v>0.44178600000000001</v>
      </c>
      <c r="Y49" t="s">
        <v>254</v>
      </c>
      <c r="Z49">
        <v>0</v>
      </c>
      <c r="AA49">
        <v>0</v>
      </c>
      <c r="AB49">
        <v>0</v>
      </c>
      <c r="AC49">
        <v>104.696991</v>
      </c>
      <c r="AD49">
        <v>379.70181300000002</v>
      </c>
      <c r="AE49">
        <v>0.72426500000000005</v>
      </c>
      <c r="AF49">
        <v>0.5</v>
      </c>
      <c r="AG49">
        <v>0.8</v>
      </c>
      <c r="AH49">
        <v>38.748801999999998</v>
      </c>
      <c r="AI49">
        <v>17.670000000000002</v>
      </c>
      <c r="AJ49">
        <v>16.420000000000002</v>
      </c>
      <c r="AK49">
        <v>34.67</v>
      </c>
      <c r="AL49">
        <v>33.6</v>
      </c>
      <c r="AM49">
        <v>94.92</v>
      </c>
      <c r="AN49">
        <v>156.4</v>
      </c>
      <c r="AO49">
        <v>147.1</v>
      </c>
      <c r="AP49">
        <v>6</v>
      </c>
      <c r="AQ49">
        <v>134</v>
      </c>
      <c r="AR49">
        <v>3.6440000000000001</v>
      </c>
      <c r="AS49" s="3">
        <v>0.61275462962962968</v>
      </c>
      <c r="AT49" s="1">
        <v>45042</v>
      </c>
      <c r="AU49">
        <v>-0.2</v>
      </c>
      <c r="AV49">
        <v>0</v>
      </c>
      <c r="AW49">
        <v>0</v>
      </c>
      <c r="AX49">
        <v>0</v>
      </c>
      <c r="AY49">
        <v>-0.85</v>
      </c>
      <c r="AZ49">
        <v>-2.7570000000000001</v>
      </c>
      <c r="BA49">
        <v>-19.009</v>
      </c>
      <c r="BB49">
        <v>1</v>
      </c>
      <c r="BC49">
        <v>150</v>
      </c>
      <c r="BD49">
        <v>5.0000000000000001E-3</v>
      </c>
      <c r="BE49">
        <v>2</v>
      </c>
      <c r="BF49">
        <v>0</v>
      </c>
      <c r="BG49" t="s">
        <v>200</v>
      </c>
      <c r="BH49">
        <v>7000</v>
      </c>
      <c r="BI49">
        <v>500</v>
      </c>
      <c r="BJ49">
        <v>5</v>
      </c>
      <c r="BK49">
        <v>2</v>
      </c>
      <c r="BL49">
        <v>300</v>
      </c>
      <c r="BM49">
        <v>300</v>
      </c>
      <c r="BN49">
        <v>300</v>
      </c>
      <c r="BO49">
        <v>369.36807299999998</v>
      </c>
      <c r="BP49">
        <v>25</v>
      </c>
      <c r="BQ49">
        <v>-6.7194070000000004</v>
      </c>
      <c r="BR49">
        <v>375.651611</v>
      </c>
      <c r="BS49">
        <v>370.06411700000001</v>
      </c>
      <c r="BT49">
        <v>5.5874940000000004</v>
      </c>
      <c r="BU49">
        <v>2.3749660000000001</v>
      </c>
      <c r="BV49">
        <v>2.4414699999999998</v>
      </c>
      <c r="BW49">
        <v>1.5884910000000001</v>
      </c>
      <c r="BX49">
        <v>0.96951399999999999</v>
      </c>
      <c r="BY49">
        <v>0.186278</v>
      </c>
      <c r="BZ49">
        <v>-1.4173E-2</v>
      </c>
      <c r="CA49">
        <v>0.13750799999999999</v>
      </c>
      <c r="CB49">
        <v>0.225887</v>
      </c>
      <c r="CC49">
        <v>104.696991</v>
      </c>
      <c r="CD49">
        <v>3.6000000000000002E-4</v>
      </c>
      <c r="CE49">
        <v>2.3486280000000002</v>
      </c>
      <c r="CF49">
        <v>-5.1E-5</v>
      </c>
      <c r="CG49">
        <v>1</v>
      </c>
      <c r="CH49">
        <v>2.4109430000000001</v>
      </c>
      <c r="CI49">
        <v>-5.7000000000000003E-5</v>
      </c>
      <c r="CJ49">
        <v>1</v>
      </c>
      <c r="CK49">
        <v>0.60051900000000002</v>
      </c>
      <c r="CL49">
        <v>0.60216099999999995</v>
      </c>
      <c r="CM49">
        <v>0.107265</v>
      </c>
      <c r="CN49">
        <v>0</v>
      </c>
      <c r="CO49" t="s">
        <v>254</v>
      </c>
      <c r="CP49" t="s">
        <v>201</v>
      </c>
      <c r="CQ49" t="s">
        <v>202</v>
      </c>
      <c r="CR49" t="s">
        <v>203</v>
      </c>
      <c r="CS49" t="s">
        <v>204</v>
      </c>
      <c r="CT49" t="s">
        <v>205</v>
      </c>
      <c r="CU49" t="s">
        <v>206</v>
      </c>
    </row>
    <row r="50" spans="1:99">
      <c r="A50">
        <v>5</v>
      </c>
      <c r="B50" s="3">
        <v>0.61393518518518519</v>
      </c>
      <c r="C50" s="1">
        <v>45042</v>
      </c>
      <c r="D50" t="s">
        <v>196</v>
      </c>
      <c r="E50" t="s">
        <v>197</v>
      </c>
      <c r="G50" s="1">
        <v>45042</v>
      </c>
      <c r="H50">
        <v>5</v>
      </c>
      <c r="I50" t="s">
        <v>238</v>
      </c>
      <c r="J50">
        <v>2</v>
      </c>
      <c r="M50">
        <v>5.6610000000000001E-2</v>
      </c>
      <c r="N50">
        <v>2.919028</v>
      </c>
      <c r="O50">
        <v>5.5532999999999999E-2</v>
      </c>
      <c r="P50">
        <v>2.4371520000000002</v>
      </c>
      <c r="Q50">
        <v>0.95570299999999997</v>
      </c>
      <c r="R50">
        <v>0.89099600000000001</v>
      </c>
      <c r="S50">
        <v>4.9913800000000004</v>
      </c>
      <c r="T50">
        <v>4.0356769999999997</v>
      </c>
      <c r="U50">
        <v>9.3857999999999997</v>
      </c>
      <c r="V50">
        <v>10.067425</v>
      </c>
      <c r="W50">
        <v>52.579448999999997</v>
      </c>
      <c r="X50">
        <v>0.44178600000000001</v>
      </c>
      <c r="Y50" t="s">
        <v>255</v>
      </c>
      <c r="Z50">
        <v>0</v>
      </c>
      <c r="AA50">
        <v>0</v>
      </c>
      <c r="AB50">
        <v>0</v>
      </c>
      <c r="AC50">
        <v>97.964286999999999</v>
      </c>
      <c r="AD50">
        <v>372.76327500000002</v>
      </c>
      <c r="AE50">
        <v>0.73719400000000002</v>
      </c>
      <c r="AF50">
        <v>0.5</v>
      </c>
      <c r="AG50">
        <v>0.8</v>
      </c>
      <c r="AH50">
        <v>126.81658899999999</v>
      </c>
      <c r="AI50">
        <v>17.239999999999998</v>
      </c>
      <c r="AJ50">
        <v>16.07</v>
      </c>
      <c r="AK50">
        <v>34.67</v>
      </c>
      <c r="AL50">
        <v>32.78</v>
      </c>
      <c r="AM50">
        <v>94.93</v>
      </c>
      <c r="AN50">
        <v>156.4</v>
      </c>
      <c r="AO50">
        <v>147.19999999999999</v>
      </c>
      <c r="AP50">
        <v>5.9</v>
      </c>
      <c r="AQ50">
        <v>430</v>
      </c>
      <c r="AR50">
        <v>3.6419999999999999</v>
      </c>
      <c r="AS50" s="3">
        <v>0.61275462962962968</v>
      </c>
      <c r="AT50" s="1">
        <v>45042</v>
      </c>
      <c r="AU50">
        <v>-0.2</v>
      </c>
      <c r="AV50">
        <v>1E-3</v>
      </c>
      <c r="AW50">
        <v>2E-3</v>
      </c>
      <c r="AX50">
        <v>-9999</v>
      </c>
      <c r="AY50">
        <v>1.768</v>
      </c>
      <c r="AZ50">
        <v>-0.27500000000000002</v>
      </c>
      <c r="BA50">
        <v>-9999</v>
      </c>
      <c r="BB50">
        <v>1</v>
      </c>
      <c r="BC50">
        <v>150</v>
      </c>
      <c r="BD50">
        <v>5.0000000000000001E-3</v>
      </c>
      <c r="BE50">
        <v>2</v>
      </c>
      <c r="BF50">
        <v>0</v>
      </c>
      <c r="BG50" t="s">
        <v>200</v>
      </c>
      <c r="BH50">
        <v>7000</v>
      </c>
      <c r="BI50">
        <v>500</v>
      </c>
      <c r="BJ50">
        <v>5</v>
      </c>
      <c r="BK50">
        <v>2</v>
      </c>
      <c r="BL50">
        <v>300</v>
      </c>
      <c r="BM50">
        <v>300</v>
      </c>
      <c r="BN50">
        <v>300</v>
      </c>
      <c r="BO50">
        <v>365.05578600000001</v>
      </c>
      <c r="BP50">
        <v>25</v>
      </c>
      <c r="BQ50">
        <v>-7.2624630000000003</v>
      </c>
      <c r="BR50">
        <v>366.40154999999999</v>
      </c>
      <c r="BS50">
        <v>362.34667999999999</v>
      </c>
      <c r="BT50">
        <v>4.0548710000000003</v>
      </c>
      <c r="BU50">
        <v>2.374444</v>
      </c>
      <c r="BV50">
        <v>2.440785</v>
      </c>
      <c r="BW50">
        <v>1.588147</v>
      </c>
      <c r="BX50">
        <v>0.96996199999999999</v>
      </c>
      <c r="BY50">
        <v>0.18629899999999999</v>
      </c>
      <c r="BZ50">
        <v>-2.4667999999999999E-2</v>
      </c>
      <c r="CA50">
        <v>0.13867399999999999</v>
      </c>
      <c r="CB50">
        <v>0.48868099999999998</v>
      </c>
      <c r="CC50">
        <v>97.964286999999999</v>
      </c>
      <c r="CD50">
        <v>3.5799999999999997E-4</v>
      </c>
      <c r="CE50">
        <v>2.3486280000000002</v>
      </c>
      <c r="CF50">
        <v>-5.1E-5</v>
      </c>
      <c r="CG50">
        <v>1</v>
      </c>
      <c r="CH50">
        <v>2.4109430000000001</v>
      </c>
      <c r="CI50">
        <v>-5.7000000000000003E-5</v>
      </c>
      <c r="CJ50">
        <v>1</v>
      </c>
      <c r="CK50">
        <v>0.60051900000000002</v>
      </c>
      <c r="CL50">
        <v>0.60216099999999995</v>
      </c>
      <c r="CM50">
        <v>0.107265</v>
      </c>
      <c r="CN50">
        <v>0</v>
      </c>
      <c r="CO50" t="s">
        <v>255</v>
      </c>
      <c r="CP50" t="s">
        <v>201</v>
      </c>
      <c r="CQ50" t="s">
        <v>202</v>
      </c>
      <c r="CR50" t="s">
        <v>203</v>
      </c>
      <c r="CS50" t="s">
        <v>204</v>
      </c>
      <c r="CT50" t="s">
        <v>205</v>
      </c>
      <c r="CU50" t="s">
        <v>206</v>
      </c>
    </row>
    <row r="51" spans="1:99">
      <c r="A51">
        <v>6</v>
      </c>
      <c r="B51" s="3">
        <v>0.61423611111111109</v>
      </c>
      <c r="C51" s="1">
        <v>45042</v>
      </c>
      <c r="D51" t="s">
        <v>196</v>
      </c>
      <c r="E51" t="s">
        <v>197</v>
      </c>
      <c r="G51" s="1">
        <v>45042</v>
      </c>
      <c r="H51">
        <v>6</v>
      </c>
      <c r="I51" t="s">
        <v>238</v>
      </c>
      <c r="J51">
        <v>2</v>
      </c>
      <c r="M51">
        <v>0.15107999999999999</v>
      </c>
      <c r="N51">
        <v>2.9196339999999998</v>
      </c>
      <c r="O51">
        <v>0.143646</v>
      </c>
      <c r="P51">
        <v>6.1910040000000004</v>
      </c>
      <c r="Q51">
        <v>1.0839179999999999</v>
      </c>
      <c r="R51">
        <v>0.91984100000000002</v>
      </c>
      <c r="S51">
        <v>5.0434479999999997</v>
      </c>
      <c r="T51">
        <v>3.9595310000000001</v>
      </c>
      <c r="U51">
        <v>9.6892160000000001</v>
      </c>
      <c r="V51">
        <v>11.417532</v>
      </c>
      <c r="W51">
        <v>53.125560999999998</v>
      </c>
      <c r="X51">
        <v>0.44178600000000001</v>
      </c>
      <c r="Y51" t="s">
        <v>256</v>
      </c>
      <c r="Z51">
        <v>0</v>
      </c>
      <c r="AA51">
        <v>0</v>
      </c>
      <c r="AB51">
        <v>0</v>
      </c>
      <c r="AC51">
        <v>97.175362000000007</v>
      </c>
      <c r="AD51">
        <v>349.48297100000002</v>
      </c>
      <c r="AE51">
        <v>0.72194499999999995</v>
      </c>
      <c r="AF51">
        <v>0.5</v>
      </c>
      <c r="AG51">
        <v>0.8</v>
      </c>
      <c r="AH51">
        <v>511.49771099999998</v>
      </c>
      <c r="AI51">
        <v>19.55</v>
      </c>
      <c r="AJ51">
        <v>16.59</v>
      </c>
      <c r="AK51">
        <v>34.67</v>
      </c>
      <c r="AL51">
        <v>32.97</v>
      </c>
      <c r="AM51">
        <v>94.93</v>
      </c>
      <c r="AN51">
        <v>156.4</v>
      </c>
      <c r="AO51">
        <v>147.4</v>
      </c>
      <c r="AP51">
        <v>5.8</v>
      </c>
      <c r="AQ51">
        <v>1771</v>
      </c>
      <c r="AR51">
        <v>3.6080000000000001</v>
      </c>
      <c r="AS51" s="3">
        <v>0.61275462962962968</v>
      </c>
      <c r="AT51" s="1">
        <v>45042</v>
      </c>
      <c r="AU51">
        <v>-0.2</v>
      </c>
      <c r="AV51">
        <v>0</v>
      </c>
      <c r="AW51">
        <v>-1E-3</v>
      </c>
      <c r="AX51">
        <v>2E-3</v>
      </c>
      <c r="AY51">
        <v>9.9269999999999996</v>
      </c>
      <c r="AZ51">
        <v>4.43</v>
      </c>
      <c r="BA51">
        <v>-5.7229999999999999</v>
      </c>
      <c r="BB51">
        <v>1</v>
      </c>
      <c r="BC51">
        <v>150</v>
      </c>
      <c r="BD51">
        <v>5.0000000000000001E-3</v>
      </c>
      <c r="BE51">
        <v>2</v>
      </c>
      <c r="BF51">
        <v>0</v>
      </c>
      <c r="BG51" t="s">
        <v>200</v>
      </c>
      <c r="BH51">
        <v>7000</v>
      </c>
      <c r="BI51">
        <v>500</v>
      </c>
      <c r="BJ51">
        <v>5</v>
      </c>
      <c r="BK51">
        <v>2</v>
      </c>
      <c r="BL51">
        <v>300</v>
      </c>
      <c r="BM51">
        <v>300</v>
      </c>
      <c r="BN51">
        <v>300</v>
      </c>
      <c r="BO51">
        <v>324.53692599999999</v>
      </c>
      <c r="BP51">
        <v>25</v>
      </c>
      <c r="BQ51">
        <v>-16.563193999999999</v>
      </c>
      <c r="BR51">
        <v>327.13400300000001</v>
      </c>
      <c r="BS51">
        <v>325.72625699999998</v>
      </c>
      <c r="BT51">
        <v>1.407745</v>
      </c>
      <c r="BU51">
        <v>2.3752260000000001</v>
      </c>
      <c r="BV51">
        <v>2.4444490000000001</v>
      </c>
      <c r="BW51">
        <v>1.588733</v>
      </c>
      <c r="BX51">
        <v>0.97052799999999995</v>
      </c>
      <c r="BY51">
        <v>0.18628900000000001</v>
      </c>
      <c r="BZ51">
        <v>-2.2317E-2</v>
      </c>
      <c r="CA51">
        <v>0.14189099999999999</v>
      </c>
      <c r="CB51">
        <v>1.6781489999999999</v>
      </c>
      <c r="CC51">
        <v>97.175362000000007</v>
      </c>
      <c r="CD51">
        <v>3.5199999999999999E-4</v>
      </c>
      <c r="CE51">
        <v>2.3486280000000002</v>
      </c>
      <c r="CF51">
        <v>-5.1E-5</v>
      </c>
      <c r="CG51">
        <v>1</v>
      </c>
      <c r="CH51">
        <v>2.4109430000000001</v>
      </c>
      <c r="CI51">
        <v>-5.7000000000000003E-5</v>
      </c>
      <c r="CJ51">
        <v>1</v>
      </c>
      <c r="CK51">
        <v>0.60051900000000002</v>
      </c>
      <c r="CL51">
        <v>0.60216099999999995</v>
      </c>
      <c r="CM51">
        <v>0.107265</v>
      </c>
      <c r="CN51">
        <v>0</v>
      </c>
      <c r="CO51" t="s">
        <v>256</v>
      </c>
      <c r="CP51" t="s">
        <v>201</v>
      </c>
      <c r="CQ51" t="s">
        <v>202</v>
      </c>
      <c r="CR51" t="s">
        <v>203</v>
      </c>
      <c r="CS51" t="s">
        <v>204</v>
      </c>
      <c r="CT51" t="s">
        <v>205</v>
      </c>
      <c r="CU51" t="s">
        <v>206</v>
      </c>
    </row>
    <row r="53" spans="1:99">
      <c r="I53" t="s">
        <v>257</v>
      </c>
      <c r="J53" t="s">
        <v>27</v>
      </c>
      <c r="M53">
        <v>0.111267833</v>
      </c>
      <c r="N53">
        <v>2.9183979999999998</v>
      </c>
      <c r="O53">
        <v>0.106608333</v>
      </c>
      <c r="P53">
        <v>5.0215224999999997</v>
      </c>
      <c r="Q53">
        <v>1.111789833</v>
      </c>
      <c r="R53">
        <v>0.97860499999999995</v>
      </c>
      <c r="S53">
        <v>5.570582667</v>
      </c>
      <c r="T53">
        <v>4.4587928330000004</v>
      </c>
      <c r="U53">
        <v>10.30854633</v>
      </c>
      <c r="V53">
        <v>11.71151733</v>
      </c>
      <c r="W53">
        <v>58.679968500000001</v>
      </c>
      <c r="X53">
        <v>0.44178600000000001</v>
      </c>
      <c r="Y53" t="e">
        <v>#DIV/0!</v>
      </c>
      <c r="Z53">
        <v>0</v>
      </c>
      <c r="AA53">
        <v>0</v>
      </c>
      <c r="AB53">
        <v>0</v>
      </c>
      <c r="AC53">
        <v>113.56383630000001</v>
      </c>
      <c r="AD53">
        <v>289.30093119999998</v>
      </c>
      <c r="AE53">
        <v>0.54626116700000005</v>
      </c>
      <c r="AF53">
        <v>0.5</v>
      </c>
    </row>
    <row r="54" spans="1:99">
      <c r="I54" t="s">
        <v>258</v>
      </c>
      <c r="J54" t="s">
        <v>27</v>
      </c>
      <c r="M54">
        <v>9.2773499999999995E-2</v>
      </c>
      <c r="N54">
        <v>2.9194814999999998</v>
      </c>
      <c r="O54">
        <v>8.9473833000000003E-2</v>
      </c>
      <c r="P54">
        <v>4.3537768330000004</v>
      </c>
      <c r="Q54">
        <v>1.0491718329999999</v>
      </c>
      <c r="R54">
        <v>0.933778</v>
      </c>
      <c r="S54">
        <v>5.5258223329999998</v>
      </c>
      <c r="T54">
        <v>4.4766504999999999</v>
      </c>
      <c r="U54">
        <v>9.836753667</v>
      </c>
      <c r="V54">
        <v>11.052346999999999</v>
      </c>
      <c r="W54">
        <v>58.211102169999997</v>
      </c>
      <c r="X54">
        <v>0.44178600000000001</v>
      </c>
      <c r="Y54" t="e">
        <v>#DIV/0!</v>
      </c>
      <c r="Z54">
        <v>0</v>
      </c>
      <c r="AA54">
        <v>0</v>
      </c>
      <c r="AB54">
        <v>0</v>
      </c>
      <c r="AC54">
        <v>114.94743870000001</v>
      </c>
      <c r="AD54">
        <v>296.65850829999999</v>
      </c>
      <c r="AE54">
        <v>0.56109549999999997</v>
      </c>
      <c r="AF54">
        <v>0.5</v>
      </c>
    </row>
    <row r="55" spans="1:99">
      <c r="I55" t="s">
        <v>259</v>
      </c>
      <c r="J55" t="s">
        <v>27</v>
      </c>
      <c r="M55">
        <v>0.13629466700000001</v>
      </c>
      <c r="N55">
        <v>2.9191595000000001</v>
      </c>
      <c r="O55">
        <v>0.129584</v>
      </c>
      <c r="P55">
        <v>6.2018174999999998</v>
      </c>
      <c r="Q55">
        <v>1.1035151670000001</v>
      </c>
      <c r="R55">
        <v>0.93915033299999995</v>
      </c>
      <c r="S55">
        <v>5.508858</v>
      </c>
      <c r="T55">
        <v>4.4053430000000002</v>
      </c>
      <c r="U55">
        <v>9.8915238330000008</v>
      </c>
      <c r="V55">
        <v>11.622673499999999</v>
      </c>
      <c r="W55">
        <v>58.02140567</v>
      </c>
      <c r="X55">
        <v>0.44178600000000001</v>
      </c>
      <c r="Y55" t="e">
        <v>#DIV/0!</v>
      </c>
      <c r="Z55">
        <v>0</v>
      </c>
      <c r="AA55">
        <v>0</v>
      </c>
      <c r="AB55">
        <v>0</v>
      </c>
      <c r="AC55">
        <v>109.802246</v>
      </c>
      <c r="AD55">
        <v>235.6926268</v>
      </c>
      <c r="AE55">
        <v>0.49614649999999999</v>
      </c>
      <c r="AF55">
        <v>0.5</v>
      </c>
    </row>
    <row r="56" spans="1:99">
      <c r="I56" t="s">
        <v>260</v>
      </c>
      <c r="J56" t="s">
        <v>27</v>
      </c>
      <c r="M56">
        <v>0.18413616699999999</v>
      </c>
      <c r="N56">
        <v>2.9189946670000002</v>
      </c>
      <c r="O56">
        <v>0.17251449999999999</v>
      </c>
      <c r="P56">
        <v>7.8051113330000002</v>
      </c>
      <c r="Q56">
        <v>1.1327248329999999</v>
      </c>
      <c r="R56">
        <v>0.92587166700000001</v>
      </c>
      <c r="S56">
        <v>5.2629260000000002</v>
      </c>
      <c r="T56">
        <v>4.130200833</v>
      </c>
      <c r="U56">
        <v>9.7502375000000008</v>
      </c>
      <c r="V56">
        <v>11.9285765</v>
      </c>
      <c r="W56">
        <v>55.423118500000001</v>
      </c>
      <c r="X56">
        <v>0.44178600000000001</v>
      </c>
      <c r="Y56" t="e">
        <v>#DIV/0!</v>
      </c>
      <c r="Z56">
        <v>0</v>
      </c>
      <c r="AA56">
        <v>0</v>
      </c>
      <c r="AB56">
        <v>0</v>
      </c>
      <c r="AC56">
        <v>107.947109</v>
      </c>
      <c r="AD56">
        <v>294.99217720000001</v>
      </c>
      <c r="AE56">
        <v>0.58451866699999999</v>
      </c>
      <c r="AF56">
        <v>0.5</v>
      </c>
    </row>
    <row r="57" spans="1:99">
      <c r="I57" t="s">
        <v>261</v>
      </c>
      <c r="J57" t="s">
        <v>27</v>
      </c>
      <c r="M57">
        <v>0.13299683300000001</v>
      </c>
      <c r="N57">
        <v>2.918691667</v>
      </c>
      <c r="O57">
        <v>0.12697583300000001</v>
      </c>
      <c r="P57">
        <v>4.5840794999999996</v>
      </c>
      <c r="Q57">
        <v>1.0654995</v>
      </c>
      <c r="R57">
        <v>0.94381349999999997</v>
      </c>
      <c r="S57">
        <v>4.4079551669999999</v>
      </c>
      <c r="T57">
        <v>3.3424558329999998</v>
      </c>
      <c r="U57">
        <v>9.934580167</v>
      </c>
      <c r="V57">
        <v>11.21544417</v>
      </c>
      <c r="W57">
        <v>46.398067330000003</v>
      </c>
      <c r="X57">
        <v>0.44178600000000001</v>
      </c>
      <c r="Y57" t="e">
        <v>#DIV/0!</v>
      </c>
      <c r="Z57">
        <v>0</v>
      </c>
      <c r="AA57">
        <v>0</v>
      </c>
      <c r="AB57">
        <v>0</v>
      </c>
      <c r="AC57">
        <v>103.5255763</v>
      </c>
      <c r="AD57">
        <v>327.13376099999999</v>
      </c>
      <c r="AE57">
        <v>0.68462633299999998</v>
      </c>
      <c r="AF57">
        <v>0.5</v>
      </c>
    </row>
    <row r="58" spans="1:99">
      <c r="I58" t="s">
        <v>262</v>
      </c>
      <c r="J58" t="s">
        <v>27</v>
      </c>
      <c r="M58">
        <v>5.8046332999999999E-2</v>
      </c>
      <c r="N58">
        <v>2.9198278329999998</v>
      </c>
      <c r="O58">
        <v>5.6862999999999997E-2</v>
      </c>
      <c r="P58">
        <v>2.8118783330000001</v>
      </c>
      <c r="Q58">
        <v>1.0462499999999999</v>
      </c>
      <c r="R58">
        <v>0.97164816700000001</v>
      </c>
      <c r="S58">
        <v>5.5543538330000004</v>
      </c>
      <c r="T58">
        <v>4.5081038329999998</v>
      </c>
      <c r="U58">
        <v>10.225829170000001</v>
      </c>
      <c r="V58">
        <v>11.010958499999999</v>
      </c>
      <c r="W58">
        <v>58.455237169999997</v>
      </c>
      <c r="X58">
        <v>0.44178600000000001</v>
      </c>
      <c r="Y58" t="e">
        <v>#DIV/0!</v>
      </c>
      <c r="Z58">
        <v>0</v>
      </c>
      <c r="AA58">
        <v>0</v>
      </c>
      <c r="AB58">
        <v>0</v>
      </c>
      <c r="AC58">
        <v>143.16457500000001</v>
      </c>
      <c r="AD58">
        <v>292.07045479999999</v>
      </c>
      <c r="AE58">
        <v>0.45299633299999997</v>
      </c>
      <c r="AF58">
        <v>0.5</v>
      </c>
    </row>
    <row r="59" spans="1:99">
      <c r="I59" t="s">
        <v>263</v>
      </c>
      <c r="J59" t="s">
        <v>27</v>
      </c>
      <c r="M59">
        <v>0.124981833</v>
      </c>
      <c r="N59">
        <v>2.9192211669999999</v>
      </c>
      <c r="O59">
        <v>0.11924800000000001</v>
      </c>
      <c r="P59">
        <v>5.4354193329999996</v>
      </c>
      <c r="Q59">
        <v>1.0902768329999999</v>
      </c>
      <c r="R59">
        <v>0.94612983299999998</v>
      </c>
      <c r="S59">
        <v>5.2602343329999997</v>
      </c>
      <c r="T59">
        <v>4.1699576670000003</v>
      </c>
      <c r="U59">
        <v>9.9586111670000008</v>
      </c>
      <c r="V59">
        <v>11.47586167</v>
      </c>
      <c r="W59">
        <v>55.367146169999998</v>
      </c>
      <c r="X59">
        <v>0.44178600000000001</v>
      </c>
      <c r="Y59" t="e">
        <v>#DIV/0!</v>
      </c>
      <c r="Z59">
        <v>0</v>
      </c>
      <c r="AA59">
        <v>0</v>
      </c>
      <c r="AB59">
        <v>0</v>
      </c>
      <c r="AC59">
        <v>104.11483130000001</v>
      </c>
      <c r="AD59">
        <v>243.3058345</v>
      </c>
      <c r="AE59">
        <v>0.46558433300000002</v>
      </c>
      <c r="AF59">
        <v>0.5</v>
      </c>
    </row>
    <row r="60" spans="1:99">
      <c r="I60" t="s">
        <v>264</v>
      </c>
      <c r="J60" t="s">
        <v>27</v>
      </c>
      <c r="M60">
        <v>0.125702333</v>
      </c>
      <c r="N60">
        <v>2.9197881670000001</v>
      </c>
      <c r="O60">
        <v>0.119857333</v>
      </c>
      <c r="P60">
        <v>5.6672531670000001</v>
      </c>
      <c r="Q60">
        <v>1.0879293329999999</v>
      </c>
      <c r="R60">
        <v>0.93773166699999999</v>
      </c>
      <c r="S60">
        <v>5.3254694999999996</v>
      </c>
      <c r="T60">
        <v>4.2375401669999997</v>
      </c>
      <c r="U60">
        <v>9.8720588330000005</v>
      </c>
      <c r="V60">
        <v>11.45327517</v>
      </c>
      <c r="W60">
        <v>56.064339169999997</v>
      </c>
      <c r="X60">
        <v>0.44178600000000001</v>
      </c>
      <c r="Y60" t="e">
        <v>#DIV/0!</v>
      </c>
      <c r="Z60">
        <v>0</v>
      </c>
      <c r="AA60">
        <v>0</v>
      </c>
      <c r="AB60">
        <v>0</v>
      </c>
      <c r="AC60">
        <v>99.293768499999999</v>
      </c>
      <c r="AD60">
        <v>235.1762172</v>
      </c>
      <c r="AE60">
        <v>0.53104083300000005</v>
      </c>
      <c r="AF60">
        <v>0.5</v>
      </c>
    </row>
    <row r="62" spans="1:99">
      <c r="I62" t="s">
        <v>257</v>
      </c>
      <c r="J62" t="s">
        <v>29</v>
      </c>
      <c r="M62">
        <v>1.9420164E-2</v>
      </c>
      <c r="N62">
        <v>4.47708E-4</v>
      </c>
      <c r="O62">
        <v>1.7855737E-2</v>
      </c>
      <c r="P62">
        <v>0.72631598900000005</v>
      </c>
      <c r="Q62">
        <v>1.7774042E-2</v>
      </c>
      <c r="R62">
        <v>1.6210632999999999E-2</v>
      </c>
      <c r="S62">
        <v>0.28586785199999998</v>
      </c>
      <c r="T62">
        <v>0.286662058</v>
      </c>
      <c r="U62">
        <v>0.17069843300000001</v>
      </c>
      <c r="V62">
        <v>0.187292237</v>
      </c>
      <c r="W62">
        <v>3.0107475030000002</v>
      </c>
      <c r="X62">
        <v>0</v>
      </c>
      <c r="Y62" t="e">
        <v>#DIV/0!</v>
      </c>
      <c r="Z62">
        <v>0</v>
      </c>
      <c r="AA62">
        <v>0</v>
      </c>
      <c r="AB62">
        <v>0</v>
      </c>
      <c r="AC62">
        <v>7.9540625900000004</v>
      </c>
      <c r="AD62">
        <v>39.647294619999997</v>
      </c>
      <c r="AE62">
        <v>9.7014002000000002E-2</v>
      </c>
      <c r="AF62">
        <v>0</v>
      </c>
    </row>
    <row r="63" spans="1:99">
      <c r="I63" t="s">
        <v>258</v>
      </c>
      <c r="J63" t="s">
        <v>29</v>
      </c>
      <c r="M63">
        <v>1.6903660000000001E-2</v>
      </c>
      <c r="N63">
        <v>1.1419800000000001E-4</v>
      </c>
      <c r="O63">
        <v>1.5765283000000001E-2</v>
      </c>
      <c r="P63">
        <v>0.736663242</v>
      </c>
      <c r="Q63">
        <v>3.4046700999999999E-2</v>
      </c>
      <c r="R63">
        <v>1.7618643999999999E-2</v>
      </c>
      <c r="S63">
        <v>0.22098141700000001</v>
      </c>
      <c r="T63">
        <v>0.203182472</v>
      </c>
      <c r="U63">
        <v>0.18568664600000001</v>
      </c>
      <c r="V63">
        <v>0.358682901</v>
      </c>
      <c r="W63">
        <v>2.3286716599999999</v>
      </c>
      <c r="X63">
        <v>0</v>
      </c>
      <c r="Y63" t="e">
        <v>#DIV/0!</v>
      </c>
      <c r="Z63">
        <v>0</v>
      </c>
      <c r="AA63">
        <v>0</v>
      </c>
      <c r="AB63">
        <v>0</v>
      </c>
      <c r="AC63">
        <v>16.053943960000002</v>
      </c>
      <c r="AD63">
        <v>40.483115120000001</v>
      </c>
      <c r="AE63">
        <v>8.8876795999999994E-2</v>
      </c>
      <c r="AF63">
        <v>0</v>
      </c>
    </row>
    <row r="64" spans="1:99">
      <c r="I64" t="s">
        <v>259</v>
      </c>
      <c r="J64" t="s">
        <v>29</v>
      </c>
      <c r="M64">
        <v>2.0585005999999999E-2</v>
      </c>
      <c r="N64">
        <v>3.6746800000000003E-4</v>
      </c>
      <c r="O64">
        <v>1.8735775E-2</v>
      </c>
      <c r="P64">
        <v>0.919799068</v>
      </c>
      <c r="Q64">
        <v>3.5814366E-2</v>
      </c>
      <c r="R64">
        <v>2.1207466000000001E-2</v>
      </c>
      <c r="S64">
        <v>0.24231169499999999</v>
      </c>
      <c r="T64">
        <v>0.23003892400000001</v>
      </c>
      <c r="U64">
        <v>0.22331319499999999</v>
      </c>
      <c r="V64">
        <v>0.37711477900000001</v>
      </c>
      <c r="W64">
        <v>2.551125785</v>
      </c>
      <c r="X64">
        <v>0</v>
      </c>
      <c r="Y64" t="e">
        <v>#DIV/0!</v>
      </c>
      <c r="Z64">
        <v>0</v>
      </c>
      <c r="AA64">
        <v>0</v>
      </c>
      <c r="AB64">
        <v>0</v>
      </c>
      <c r="AC64">
        <v>19.324499979999999</v>
      </c>
      <c r="AD64">
        <v>29.6517059</v>
      </c>
      <c r="AE64">
        <v>9.4512502999999998E-2</v>
      </c>
      <c r="AF64">
        <v>0</v>
      </c>
    </row>
    <row r="65" spans="9:32">
      <c r="I65" t="s">
        <v>260</v>
      </c>
      <c r="J65" t="s">
        <v>29</v>
      </c>
      <c r="M65">
        <v>2.2208081000000001E-2</v>
      </c>
      <c r="N65">
        <v>3.19523E-4</v>
      </c>
      <c r="O65">
        <v>1.9467676E-2</v>
      </c>
      <c r="P65">
        <v>1.0487268750000001</v>
      </c>
      <c r="Q65">
        <v>2.6268479000000001E-2</v>
      </c>
      <c r="R65">
        <v>1.4996186999999999E-2</v>
      </c>
      <c r="S65">
        <v>0.21494634200000001</v>
      </c>
      <c r="T65">
        <v>0.207481745</v>
      </c>
      <c r="U65">
        <v>0.15807180000000001</v>
      </c>
      <c r="V65">
        <v>0.27668030700000001</v>
      </c>
      <c r="W65">
        <v>2.2634389289999999</v>
      </c>
      <c r="X65">
        <v>0</v>
      </c>
      <c r="Y65" t="e">
        <v>#DIV/0!</v>
      </c>
      <c r="Z65">
        <v>0</v>
      </c>
      <c r="AA65">
        <v>0</v>
      </c>
      <c r="AB65">
        <v>0</v>
      </c>
      <c r="AC65">
        <v>6.9465545139999998</v>
      </c>
      <c r="AD65">
        <v>45.342751890000002</v>
      </c>
      <c r="AE65">
        <v>6.9880278000000004E-2</v>
      </c>
      <c r="AF65">
        <v>0</v>
      </c>
    </row>
    <row r="66" spans="9:32">
      <c r="I66" t="s">
        <v>261</v>
      </c>
      <c r="J66" t="s">
        <v>29</v>
      </c>
      <c r="M66">
        <v>1.2344159E-2</v>
      </c>
      <c r="N66">
        <v>1.8698799999999999E-4</v>
      </c>
      <c r="O66">
        <v>1.1125559E-2</v>
      </c>
      <c r="P66">
        <v>0.363871528</v>
      </c>
      <c r="Q66">
        <v>1.8446673E-2</v>
      </c>
      <c r="R66">
        <v>1.545173E-2</v>
      </c>
      <c r="S66">
        <v>6.2002122999999999E-2</v>
      </c>
      <c r="T66">
        <v>7.3433545000000003E-2</v>
      </c>
      <c r="U66">
        <v>0.16273164600000001</v>
      </c>
      <c r="V66">
        <v>0.19422595400000001</v>
      </c>
      <c r="W66">
        <v>0.65207497000000003</v>
      </c>
      <c r="X66">
        <v>0</v>
      </c>
      <c r="Y66" t="e">
        <v>#DIV/0!</v>
      </c>
      <c r="Z66">
        <v>0</v>
      </c>
      <c r="AA66">
        <v>0</v>
      </c>
      <c r="AB66">
        <v>0</v>
      </c>
      <c r="AC66">
        <v>14.094870350000001</v>
      </c>
      <c r="AD66">
        <v>29.169458590000001</v>
      </c>
      <c r="AE66">
        <v>2.3769735E-2</v>
      </c>
      <c r="AF66">
        <v>0</v>
      </c>
    </row>
    <row r="67" spans="9:32">
      <c r="I67" t="s">
        <v>262</v>
      </c>
      <c r="J67" t="s">
        <v>29</v>
      </c>
      <c r="M67">
        <v>5.6686030000000004E-3</v>
      </c>
      <c r="N67">
        <v>2.3527899999999999E-4</v>
      </c>
      <c r="O67">
        <v>5.4645889999999997E-3</v>
      </c>
      <c r="P67">
        <v>0.317761497</v>
      </c>
      <c r="Q67">
        <v>2.0849713999999998E-2</v>
      </c>
      <c r="R67">
        <v>1.5595447E-2</v>
      </c>
      <c r="S67">
        <v>0.20001878300000001</v>
      </c>
      <c r="T67">
        <v>0.187102412</v>
      </c>
      <c r="U67">
        <v>0.164017303</v>
      </c>
      <c r="V67">
        <v>0.219357409</v>
      </c>
      <c r="W67">
        <v>2.1049945540000001</v>
      </c>
      <c r="X67">
        <v>0</v>
      </c>
      <c r="Y67" t="e">
        <v>#DIV/0!</v>
      </c>
      <c r="Z67">
        <v>0</v>
      </c>
      <c r="AA67">
        <v>0</v>
      </c>
      <c r="AB67">
        <v>0</v>
      </c>
      <c r="AC67">
        <v>22.327070670000001</v>
      </c>
      <c r="AD67">
        <v>44.872388469999997</v>
      </c>
      <c r="AE67">
        <v>9.3272164000000005E-2</v>
      </c>
      <c r="AF67">
        <v>0</v>
      </c>
    </row>
    <row r="68" spans="9:32">
      <c r="I68" t="s">
        <v>263</v>
      </c>
      <c r="J68" t="s">
        <v>29</v>
      </c>
      <c r="M68">
        <v>2.0037355E-2</v>
      </c>
      <c r="N68">
        <v>2.9649E-4</v>
      </c>
      <c r="O68">
        <v>1.8331518000000002E-2</v>
      </c>
      <c r="P68">
        <v>0.86879927199999996</v>
      </c>
      <c r="Q68">
        <v>2.8437275000000001E-2</v>
      </c>
      <c r="R68">
        <v>1.529661E-2</v>
      </c>
      <c r="S68">
        <v>0.297793857</v>
      </c>
      <c r="T68">
        <v>0.28829065799999998</v>
      </c>
      <c r="U68">
        <v>0.16129738800000001</v>
      </c>
      <c r="V68">
        <v>0.299643775</v>
      </c>
      <c r="W68">
        <v>3.1344476750000001</v>
      </c>
      <c r="X68">
        <v>0</v>
      </c>
      <c r="Y68" t="e">
        <v>#DIV/0!</v>
      </c>
      <c r="Z68">
        <v>0</v>
      </c>
      <c r="AA68">
        <v>0</v>
      </c>
      <c r="AB68">
        <v>0</v>
      </c>
      <c r="AC68">
        <v>7.5843252909999999</v>
      </c>
      <c r="AD68">
        <v>51.671157489999999</v>
      </c>
      <c r="AE68">
        <v>0.103985116</v>
      </c>
      <c r="AF68">
        <v>0</v>
      </c>
    </row>
    <row r="69" spans="9:32">
      <c r="I69" t="s">
        <v>264</v>
      </c>
      <c r="J69" t="s">
        <v>29</v>
      </c>
      <c r="M69">
        <v>2.0765892000000001E-2</v>
      </c>
      <c r="N69">
        <v>3.22777E-4</v>
      </c>
      <c r="O69">
        <v>1.9260639E-2</v>
      </c>
      <c r="P69">
        <v>1.071149648</v>
      </c>
      <c r="Q69">
        <v>4.6574851E-2</v>
      </c>
      <c r="R69">
        <v>2.8712044999999999E-2</v>
      </c>
      <c r="S69">
        <v>0.22026317100000001</v>
      </c>
      <c r="T69">
        <v>0.18023157100000001</v>
      </c>
      <c r="U69">
        <v>0.30222933299999999</v>
      </c>
      <c r="V69">
        <v>0.49026842700000001</v>
      </c>
      <c r="W69">
        <v>2.31848659</v>
      </c>
      <c r="X69">
        <v>0</v>
      </c>
      <c r="Y69" t="e">
        <v>#DIV/0!</v>
      </c>
      <c r="Z69">
        <v>0</v>
      </c>
      <c r="AA69">
        <v>0</v>
      </c>
      <c r="AB69">
        <v>0</v>
      </c>
      <c r="AC69">
        <v>13.42058765</v>
      </c>
      <c r="AD69">
        <v>42.609248260000001</v>
      </c>
      <c r="AE69">
        <v>6.7784989000000004E-2</v>
      </c>
      <c r="AF69">
        <v>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83"/>
  <sheetViews>
    <sheetView workbookViewId="0">
      <pane xSplit="3" ySplit="3" topLeftCell="D4" activePane="bottomRight" state="frozen"/>
      <selection pane="bottomRight" activeCell="Q4" sqref="Q4"/>
      <selection pane="bottomLeft" activeCell="A4" sqref="A4"/>
      <selection pane="topRight" activeCell="D1" sqref="D1"/>
    </sheetView>
  </sheetViews>
  <sheetFormatPr defaultColWidth="11.42578125" defaultRowHeight="15"/>
  <cols>
    <col min="10" max="10" width="14" customWidth="1"/>
  </cols>
  <sheetData>
    <row r="1" spans="1:96">
      <c r="A1" t="s">
        <v>70</v>
      </c>
      <c r="B1" t="s">
        <v>70</v>
      </c>
      <c r="C1" t="s">
        <v>70</v>
      </c>
      <c r="D1" t="s">
        <v>70</v>
      </c>
      <c r="E1" t="s">
        <v>70</v>
      </c>
      <c r="F1" t="s">
        <v>71</v>
      </c>
      <c r="G1" t="s">
        <v>71</v>
      </c>
      <c r="H1" t="s">
        <v>71</v>
      </c>
      <c r="I1" t="s">
        <v>71</v>
      </c>
      <c r="J1" t="s">
        <v>74</v>
      </c>
      <c r="K1" t="s">
        <v>74</v>
      </c>
      <c r="L1" t="s">
        <v>74</v>
      </c>
      <c r="M1" t="s">
        <v>74</v>
      </c>
      <c r="N1" t="s">
        <v>74</v>
      </c>
      <c r="O1" t="s">
        <v>74</v>
      </c>
      <c r="P1" t="s">
        <v>74</v>
      </c>
      <c r="Q1" t="s">
        <v>74</v>
      </c>
      <c r="R1" t="s">
        <v>74</v>
      </c>
      <c r="S1" t="s">
        <v>74</v>
      </c>
      <c r="T1" t="s">
        <v>74</v>
      </c>
      <c r="U1" t="s">
        <v>74</v>
      </c>
      <c r="V1" t="s">
        <v>75</v>
      </c>
      <c r="W1" t="s">
        <v>75</v>
      </c>
      <c r="X1" t="s">
        <v>75</v>
      </c>
      <c r="Y1" t="s">
        <v>75</v>
      </c>
      <c r="Z1" t="s">
        <v>75</v>
      </c>
      <c r="AA1" t="s">
        <v>75</v>
      </c>
      <c r="AB1" t="s">
        <v>75</v>
      </c>
      <c r="AC1" t="s">
        <v>75</v>
      </c>
      <c r="AD1" t="s">
        <v>75</v>
      </c>
      <c r="AE1" t="s">
        <v>75</v>
      </c>
      <c r="AF1" t="s">
        <v>76</v>
      </c>
      <c r="AG1" t="s">
        <v>76</v>
      </c>
      <c r="AH1" t="s">
        <v>76</v>
      </c>
      <c r="AI1" t="s">
        <v>76</v>
      </c>
      <c r="AJ1" t="s">
        <v>76</v>
      </c>
      <c r="AK1" t="s">
        <v>76</v>
      </c>
      <c r="AL1" t="s">
        <v>76</v>
      </c>
      <c r="AM1" t="s">
        <v>76</v>
      </c>
      <c r="AN1" t="s">
        <v>76</v>
      </c>
      <c r="AO1" t="s">
        <v>76</v>
      </c>
      <c r="AP1" t="s">
        <v>77</v>
      </c>
      <c r="AQ1" t="s">
        <v>77</v>
      </c>
      <c r="AR1" t="s">
        <v>77</v>
      </c>
      <c r="AS1" t="s">
        <v>78</v>
      </c>
      <c r="AT1" t="s">
        <v>78</v>
      </c>
      <c r="AU1" t="s">
        <v>78</v>
      </c>
      <c r="AV1" t="s">
        <v>78</v>
      </c>
      <c r="AW1" t="s">
        <v>78</v>
      </c>
      <c r="AX1" t="s">
        <v>78</v>
      </c>
      <c r="AY1" t="s">
        <v>79</v>
      </c>
      <c r="AZ1" t="s">
        <v>79</v>
      </c>
      <c r="BA1" t="s">
        <v>79</v>
      </c>
      <c r="BB1" t="s">
        <v>79</v>
      </c>
      <c r="BC1" t="s">
        <v>80</v>
      </c>
      <c r="BD1" t="s">
        <v>80</v>
      </c>
      <c r="BE1" t="s">
        <v>80</v>
      </c>
      <c r="BF1" t="s">
        <v>80</v>
      </c>
      <c r="BG1" t="s">
        <v>80</v>
      </c>
      <c r="BH1" t="s">
        <v>80</v>
      </c>
      <c r="BI1" t="s">
        <v>80</v>
      </c>
      <c r="BJ1" t="s">
        <v>80</v>
      </c>
      <c r="BK1" t="s">
        <v>80</v>
      </c>
      <c r="BL1" t="s">
        <v>80</v>
      </c>
      <c r="BM1" t="s">
        <v>80</v>
      </c>
      <c r="BN1" t="s">
        <v>80</v>
      </c>
      <c r="BO1" t="s">
        <v>80</v>
      </c>
      <c r="BP1" t="s">
        <v>80</v>
      </c>
      <c r="BQ1" t="s">
        <v>80</v>
      </c>
      <c r="BR1" t="s">
        <v>81</v>
      </c>
      <c r="BS1" t="s">
        <v>81</v>
      </c>
      <c r="BT1" t="s">
        <v>81</v>
      </c>
      <c r="BU1" t="s">
        <v>81</v>
      </c>
      <c r="BV1" t="s">
        <v>81</v>
      </c>
      <c r="BW1" t="s">
        <v>81</v>
      </c>
      <c r="BX1" t="s">
        <v>81</v>
      </c>
      <c r="BY1" t="s">
        <v>81</v>
      </c>
      <c r="BZ1" t="s">
        <v>81</v>
      </c>
      <c r="CA1" t="s">
        <v>81</v>
      </c>
      <c r="CB1" t="s">
        <v>82</v>
      </c>
      <c r="CC1" t="s">
        <v>82</v>
      </c>
      <c r="CD1" t="s">
        <v>82</v>
      </c>
      <c r="CE1" t="s">
        <v>82</v>
      </c>
      <c r="CF1" t="s">
        <v>82</v>
      </c>
      <c r="CG1" t="s">
        <v>82</v>
      </c>
      <c r="CH1" t="s">
        <v>82</v>
      </c>
      <c r="CI1" t="s">
        <v>82</v>
      </c>
      <c r="CJ1" t="s">
        <v>82</v>
      </c>
      <c r="CK1" t="s">
        <v>82</v>
      </c>
      <c r="CL1" t="s">
        <v>83</v>
      </c>
      <c r="CM1" t="s">
        <v>83</v>
      </c>
      <c r="CN1" t="s">
        <v>83</v>
      </c>
      <c r="CO1" t="s">
        <v>83</v>
      </c>
      <c r="CP1" t="s">
        <v>83</v>
      </c>
      <c r="CQ1" t="s">
        <v>83</v>
      </c>
      <c r="CR1" t="s">
        <v>83</v>
      </c>
    </row>
    <row r="2" spans="1:96">
      <c r="A2" t="s">
        <v>84</v>
      </c>
      <c r="B2" t="s">
        <v>85</v>
      </c>
      <c r="C2" t="s">
        <v>86</v>
      </c>
      <c r="D2" t="s">
        <v>87</v>
      </c>
      <c r="E2" t="s">
        <v>88</v>
      </c>
      <c r="F2" t="s">
        <v>89</v>
      </c>
      <c r="G2" t="s">
        <v>90</v>
      </c>
      <c r="J2" t="s">
        <v>91</v>
      </c>
      <c r="K2" t="s">
        <v>92</v>
      </c>
      <c r="L2" t="s">
        <v>93</v>
      </c>
      <c r="M2" t="s">
        <v>94</v>
      </c>
      <c r="N2" t="s">
        <v>95</v>
      </c>
      <c r="O2" t="s">
        <v>96</v>
      </c>
      <c r="P2" t="s">
        <v>97</v>
      </c>
      <c r="Q2" t="s">
        <v>98</v>
      </c>
      <c r="R2" t="s">
        <v>99</v>
      </c>
      <c r="S2" t="s">
        <v>100</v>
      </c>
      <c r="T2" t="s">
        <v>101</v>
      </c>
      <c r="U2" t="s">
        <v>102</v>
      </c>
      <c r="V2" t="s">
        <v>103</v>
      </c>
      <c r="W2" t="s">
        <v>104</v>
      </c>
      <c r="X2" t="s">
        <v>105</v>
      </c>
      <c r="Y2" t="s">
        <v>106</v>
      </c>
      <c r="Z2" t="s">
        <v>107</v>
      </c>
      <c r="AA2" t="s">
        <v>108</v>
      </c>
      <c r="AB2" t="s">
        <v>109</v>
      </c>
      <c r="AC2" t="s">
        <v>110</v>
      </c>
      <c r="AD2" t="s">
        <v>111</v>
      </c>
      <c r="AE2" t="s">
        <v>112</v>
      </c>
      <c r="AF2" t="s">
        <v>113</v>
      </c>
      <c r="AG2" t="s">
        <v>114</v>
      </c>
      <c r="AH2" t="s">
        <v>115</v>
      </c>
      <c r="AI2" t="s">
        <v>116</v>
      </c>
      <c r="AJ2" t="s">
        <v>117</v>
      </c>
      <c r="AK2" t="s">
        <v>118</v>
      </c>
      <c r="AL2" t="s">
        <v>119</v>
      </c>
      <c r="AM2" t="s">
        <v>120</v>
      </c>
      <c r="AN2" t="s">
        <v>121</v>
      </c>
      <c r="AO2" t="s">
        <v>122</v>
      </c>
      <c r="AP2" t="s">
        <v>123</v>
      </c>
      <c r="AQ2" t="s">
        <v>124</v>
      </c>
      <c r="AR2" t="s">
        <v>125</v>
      </c>
      <c r="AS2" t="s">
        <v>126</v>
      </c>
      <c r="AT2" t="s">
        <v>127</v>
      </c>
      <c r="AU2" t="s">
        <v>128</v>
      </c>
      <c r="AV2" t="s">
        <v>129</v>
      </c>
      <c r="AW2" t="s">
        <v>130</v>
      </c>
      <c r="AX2" t="s">
        <v>131</v>
      </c>
      <c r="AY2" t="s">
        <v>132</v>
      </c>
      <c r="AZ2" t="s">
        <v>133</v>
      </c>
      <c r="BA2" t="s">
        <v>134</v>
      </c>
      <c r="BB2" t="s">
        <v>135</v>
      </c>
      <c r="BC2" t="s">
        <v>136</v>
      </c>
      <c r="BD2" t="s">
        <v>137</v>
      </c>
      <c r="BE2" t="s">
        <v>138</v>
      </c>
      <c r="BF2" t="s">
        <v>139</v>
      </c>
      <c r="BG2" t="s">
        <v>140</v>
      </c>
      <c r="BH2" t="s">
        <v>141</v>
      </c>
      <c r="BI2" t="s">
        <v>142</v>
      </c>
      <c r="BJ2" t="s">
        <v>143</v>
      </c>
      <c r="BK2" t="s">
        <v>144</v>
      </c>
      <c r="BL2" t="s">
        <v>145</v>
      </c>
      <c r="BM2" t="s">
        <v>146</v>
      </c>
      <c r="BN2" t="s">
        <v>147</v>
      </c>
      <c r="BO2" t="s">
        <v>148</v>
      </c>
      <c r="BP2" t="s">
        <v>149</v>
      </c>
      <c r="BQ2" t="s">
        <v>150</v>
      </c>
      <c r="BR2" t="s">
        <v>151</v>
      </c>
      <c r="BS2" t="s">
        <v>152</v>
      </c>
      <c r="BT2" t="s">
        <v>153</v>
      </c>
      <c r="BU2" t="s">
        <v>154</v>
      </c>
      <c r="BV2" t="s">
        <v>155</v>
      </c>
      <c r="BW2" t="s">
        <v>156</v>
      </c>
      <c r="BX2" t="s">
        <v>157</v>
      </c>
      <c r="BY2" t="s">
        <v>158</v>
      </c>
      <c r="BZ2" t="s">
        <v>159</v>
      </c>
      <c r="CA2" t="s">
        <v>160</v>
      </c>
      <c r="CB2" t="s">
        <v>161</v>
      </c>
      <c r="CC2" t="s">
        <v>162</v>
      </c>
      <c r="CD2" t="s">
        <v>163</v>
      </c>
      <c r="CE2" t="s">
        <v>164</v>
      </c>
      <c r="CF2" t="s">
        <v>165</v>
      </c>
      <c r="CG2" t="s">
        <v>166</v>
      </c>
      <c r="CH2" t="s">
        <v>167</v>
      </c>
      <c r="CI2" t="s">
        <v>168</v>
      </c>
      <c r="CJ2" t="s">
        <v>169</v>
      </c>
      <c r="CK2" t="s">
        <v>170</v>
      </c>
      <c r="CL2" t="s">
        <v>171</v>
      </c>
      <c r="CM2" t="s">
        <v>172</v>
      </c>
      <c r="CN2" t="s">
        <v>173</v>
      </c>
      <c r="CO2" t="s">
        <v>174</v>
      </c>
      <c r="CP2" t="s">
        <v>175</v>
      </c>
      <c r="CQ2" t="s">
        <v>176</v>
      </c>
      <c r="CR2" t="s">
        <v>177</v>
      </c>
    </row>
    <row r="3" spans="1:96">
      <c r="B3" t="s">
        <v>178</v>
      </c>
      <c r="C3" t="s">
        <v>179</v>
      </c>
      <c r="J3" t="s">
        <v>180</v>
      </c>
      <c r="K3" t="s">
        <v>180</v>
      </c>
      <c r="L3" t="s">
        <v>180</v>
      </c>
      <c r="M3" t="s">
        <v>181</v>
      </c>
      <c r="N3" t="s">
        <v>182</v>
      </c>
      <c r="O3" t="s">
        <v>182</v>
      </c>
      <c r="P3" t="s">
        <v>182</v>
      </c>
      <c r="Q3" t="s">
        <v>182</v>
      </c>
      <c r="R3" t="s">
        <v>183</v>
      </c>
      <c r="S3" t="s">
        <v>183</v>
      </c>
      <c r="T3" t="s">
        <v>183</v>
      </c>
      <c r="U3" t="s">
        <v>184</v>
      </c>
      <c r="AE3" t="s">
        <v>185</v>
      </c>
      <c r="AF3" t="s">
        <v>186</v>
      </c>
      <c r="AG3" t="s">
        <v>186</v>
      </c>
      <c r="AH3" t="s">
        <v>187</v>
      </c>
      <c r="AI3" t="s">
        <v>187</v>
      </c>
      <c r="AJ3" t="s">
        <v>182</v>
      </c>
      <c r="AK3" t="s">
        <v>188</v>
      </c>
      <c r="AL3" t="s">
        <v>188</v>
      </c>
      <c r="AM3" t="s">
        <v>186</v>
      </c>
      <c r="AN3" t="s">
        <v>185</v>
      </c>
      <c r="AO3" t="s">
        <v>189</v>
      </c>
      <c r="AP3" t="s">
        <v>178</v>
      </c>
      <c r="AQ3" t="s">
        <v>179</v>
      </c>
      <c r="AR3" t="s">
        <v>186</v>
      </c>
      <c r="AZ3" t="s">
        <v>188</v>
      </c>
      <c r="BA3" t="s">
        <v>190</v>
      </c>
      <c r="BB3" t="s">
        <v>191</v>
      </c>
      <c r="BE3" t="s">
        <v>185</v>
      </c>
      <c r="BF3" t="s">
        <v>192</v>
      </c>
      <c r="BG3" t="s">
        <v>193</v>
      </c>
      <c r="BH3" t="s">
        <v>191</v>
      </c>
      <c r="BI3" t="s">
        <v>194</v>
      </c>
      <c r="BJ3" t="s">
        <v>194</v>
      </c>
      <c r="BK3" t="s">
        <v>194</v>
      </c>
      <c r="BM3" t="s">
        <v>186</v>
      </c>
      <c r="BR3" t="s">
        <v>189</v>
      </c>
      <c r="BS3" t="s">
        <v>189</v>
      </c>
      <c r="BT3" t="s">
        <v>189</v>
      </c>
      <c r="BU3" t="s">
        <v>189</v>
      </c>
      <c r="BV3" t="s">
        <v>189</v>
      </c>
      <c r="BW3" t="s">
        <v>189</v>
      </c>
      <c r="BX3" t="s">
        <v>189</v>
      </c>
      <c r="BY3" t="s">
        <v>189</v>
      </c>
      <c r="BZ3" t="s">
        <v>189</v>
      </c>
      <c r="CA3" t="s">
        <v>195</v>
      </c>
    </row>
    <row r="4" spans="1:96">
      <c r="A4">
        <v>1</v>
      </c>
      <c r="B4" s="3">
        <v>0.34342592592592597</v>
      </c>
      <c r="C4" s="1">
        <v>45133</v>
      </c>
      <c r="D4" t="s">
        <v>196</v>
      </c>
      <c r="E4" t="s">
        <v>197</v>
      </c>
      <c r="G4">
        <v>1</v>
      </c>
      <c r="J4">
        <v>6.4908999999999994E-2</v>
      </c>
      <c r="K4">
        <v>2.917529</v>
      </c>
      <c r="L4">
        <v>6.3495999999999997E-2</v>
      </c>
      <c r="M4">
        <v>0.97297599999999995</v>
      </c>
      <c r="N4">
        <v>1.8979729999999999</v>
      </c>
      <c r="O4">
        <v>1.8722970000000001</v>
      </c>
      <c r="P4">
        <v>3.3166880000000001</v>
      </c>
      <c r="Q4">
        <v>1.4187149999999999</v>
      </c>
      <c r="R4">
        <v>19.668538999999999</v>
      </c>
      <c r="S4">
        <v>19.938267</v>
      </c>
      <c r="T4">
        <v>34.841907999999997</v>
      </c>
      <c r="U4">
        <v>0.44178600000000001</v>
      </c>
      <c r="V4" t="s">
        <v>265</v>
      </c>
      <c r="W4">
        <v>0</v>
      </c>
      <c r="X4">
        <v>0</v>
      </c>
      <c r="Y4">
        <v>0</v>
      </c>
      <c r="Z4">
        <v>78.946349999999995</v>
      </c>
      <c r="AA4">
        <v>391.16836499999999</v>
      </c>
      <c r="AB4">
        <v>0.79817800000000005</v>
      </c>
      <c r="AC4">
        <v>0.5</v>
      </c>
      <c r="AD4">
        <v>0.8</v>
      </c>
      <c r="AE4">
        <v>28.464783000000001</v>
      </c>
      <c r="AF4">
        <v>53.2</v>
      </c>
      <c r="AG4">
        <v>52.48</v>
      </c>
      <c r="AH4">
        <v>26.94</v>
      </c>
      <c r="AI4">
        <v>25.71</v>
      </c>
      <c r="AJ4">
        <v>95.19</v>
      </c>
      <c r="AK4">
        <v>156.19999999999999</v>
      </c>
      <c r="AL4">
        <v>148.1</v>
      </c>
      <c r="AM4">
        <v>5.2</v>
      </c>
      <c r="AN4">
        <v>89</v>
      </c>
      <c r="AO4">
        <v>4.0679999999999996</v>
      </c>
      <c r="AP4" s="3">
        <v>0.34313657407407411</v>
      </c>
      <c r="AQ4" s="1">
        <v>45133</v>
      </c>
      <c r="AR4">
        <v>-0.35</v>
      </c>
      <c r="AS4">
        <v>-3.0000000000000001E-3</v>
      </c>
      <c r="AT4">
        <v>-1E-3</v>
      </c>
      <c r="AU4">
        <v>-0.01</v>
      </c>
      <c r="AV4">
        <v>0.33500000000000002</v>
      </c>
      <c r="AW4">
        <v>-0.20200000000000001</v>
      </c>
      <c r="AX4">
        <v>0.95299999999999996</v>
      </c>
      <c r="AY4">
        <v>1</v>
      </c>
      <c r="AZ4">
        <v>150</v>
      </c>
      <c r="BA4">
        <v>5.0000000000000001E-3</v>
      </c>
      <c r="BB4">
        <v>2</v>
      </c>
      <c r="BC4">
        <v>0</v>
      </c>
      <c r="BD4" t="s">
        <v>200</v>
      </c>
      <c r="BE4">
        <v>7000</v>
      </c>
      <c r="BF4">
        <v>500</v>
      </c>
      <c r="BG4">
        <v>5</v>
      </c>
      <c r="BH4">
        <v>2</v>
      </c>
      <c r="BI4">
        <v>300</v>
      </c>
      <c r="BJ4">
        <v>300</v>
      </c>
      <c r="BK4">
        <v>300</v>
      </c>
      <c r="BL4">
        <v>380.96594199999998</v>
      </c>
      <c r="BM4">
        <v>25</v>
      </c>
      <c r="BN4">
        <v>-8.1168700000000005</v>
      </c>
      <c r="BO4">
        <v>385.64193699999998</v>
      </c>
      <c r="BP4">
        <v>379.526276</v>
      </c>
      <c r="BQ4">
        <v>6.1156620000000004</v>
      </c>
      <c r="BR4">
        <v>2.4248249999999998</v>
      </c>
      <c r="BS4">
        <v>2.494189</v>
      </c>
      <c r="BT4">
        <v>1.5867</v>
      </c>
      <c r="BU4">
        <v>0.97284400000000004</v>
      </c>
      <c r="BV4">
        <v>0.25241200000000003</v>
      </c>
      <c r="BW4">
        <v>-1.5037999999999999E-2</v>
      </c>
      <c r="BX4">
        <v>4.5905000000000001E-2</v>
      </c>
      <c r="BY4">
        <v>0.186335</v>
      </c>
      <c r="BZ4">
        <v>78.946349999999995</v>
      </c>
      <c r="CA4">
        <v>3.4499999999999998E-4</v>
      </c>
      <c r="CB4">
        <v>2.3486280000000002</v>
      </c>
      <c r="CC4">
        <v>-5.1E-5</v>
      </c>
      <c r="CD4">
        <v>1</v>
      </c>
      <c r="CE4">
        <v>2.4109430000000001</v>
      </c>
      <c r="CF4">
        <v>-5.7000000000000003E-5</v>
      </c>
      <c r="CG4">
        <v>1</v>
      </c>
      <c r="CH4">
        <v>0.60051900000000002</v>
      </c>
      <c r="CI4">
        <v>0.60216099999999995</v>
      </c>
      <c r="CJ4">
        <v>0.107265</v>
      </c>
      <c r="CK4">
        <v>0</v>
      </c>
      <c r="CL4" t="s">
        <v>265</v>
      </c>
      <c r="CM4" t="s">
        <v>201</v>
      </c>
      <c r="CN4" t="s">
        <v>202</v>
      </c>
      <c r="CO4" t="s">
        <v>203</v>
      </c>
      <c r="CP4" t="s">
        <v>204</v>
      </c>
      <c r="CQ4" t="s">
        <v>205</v>
      </c>
      <c r="CR4" t="s">
        <v>206</v>
      </c>
    </row>
    <row r="5" spans="1:96">
      <c r="A5">
        <v>2</v>
      </c>
      <c r="B5" s="3">
        <v>0.34385416666666663</v>
      </c>
      <c r="C5" s="1">
        <v>45133</v>
      </c>
      <c r="D5" t="s">
        <v>196</v>
      </c>
      <c r="E5" t="s">
        <v>197</v>
      </c>
      <c r="G5">
        <v>2</v>
      </c>
      <c r="J5">
        <v>0.14565600000000001</v>
      </c>
      <c r="K5">
        <v>2.9171320000000001</v>
      </c>
      <c r="L5">
        <v>0.13872899999999999</v>
      </c>
      <c r="M5">
        <v>1.689001</v>
      </c>
      <c r="N5">
        <v>1.9655370000000001</v>
      </c>
      <c r="O5">
        <v>1.9209860000000001</v>
      </c>
      <c r="P5">
        <v>3.0936330000000001</v>
      </c>
      <c r="Q5">
        <v>1.128096</v>
      </c>
      <c r="R5">
        <v>20.181025000000002</v>
      </c>
      <c r="S5">
        <v>20.649055000000001</v>
      </c>
      <c r="T5">
        <v>32.500323999999999</v>
      </c>
      <c r="U5">
        <v>0.44178600000000001</v>
      </c>
      <c r="V5" t="s">
        <v>266</v>
      </c>
      <c r="W5">
        <v>0</v>
      </c>
      <c r="X5">
        <v>0</v>
      </c>
      <c r="Y5">
        <v>0</v>
      </c>
      <c r="Z5">
        <v>88.247176999999994</v>
      </c>
      <c r="AA5">
        <v>404.29745500000001</v>
      </c>
      <c r="AB5">
        <v>0.78172699999999995</v>
      </c>
      <c r="AC5">
        <v>0.5</v>
      </c>
      <c r="AD5">
        <v>0.8</v>
      </c>
      <c r="AE5">
        <v>14.863690999999999</v>
      </c>
      <c r="AF5">
        <v>55.35</v>
      </c>
      <c r="AG5">
        <v>54.09</v>
      </c>
      <c r="AH5">
        <v>26.87</v>
      </c>
      <c r="AI5">
        <v>24.54</v>
      </c>
      <c r="AJ5">
        <v>95.19</v>
      </c>
      <c r="AK5">
        <v>156.1</v>
      </c>
      <c r="AL5">
        <v>148</v>
      </c>
      <c r="AM5">
        <v>5.2</v>
      </c>
      <c r="AN5">
        <v>48</v>
      </c>
      <c r="AO5">
        <v>4.0679999999999996</v>
      </c>
      <c r="AP5" s="3">
        <v>0.34313657407407411</v>
      </c>
      <c r="AQ5" s="1">
        <v>45133</v>
      </c>
      <c r="AR5">
        <v>-0.35</v>
      </c>
      <c r="AS5">
        <v>-2E-3</v>
      </c>
      <c r="AT5">
        <v>0</v>
      </c>
      <c r="AU5">
        <v>-1.6E-2</v>
      </c>
      <c r="AV5">
        <v>-0.28899999999999998</v>
      </c>
      <c r="AW5">
        <v>-0.29599999999999999</v>
      </c>
      <c r="AX5">
        <v>-0.56899999999999995</v>
      </c>
      <c r="AY5">
        <v>1</v>
      </c>
      <c r="AZ5">
        <v>150</v>
      </c>
      <c r="BA5">
        <v>5.0000000000000001E-3</v>
      </c>
      <c r="BB5">
        <v>2</v>
      </c>
      <c r="BC5">
        <v>0</v>
      </c>
      <c r="BD5" t="s">
        <v>200</v>
      </c>
      <c r="BE5">
        <v>7000</v>
      </c>
      <c r="BF5">
        <v>500</v>
      </c>
      <c r="BG5">
        <v>5</v>
      </c>
      <c r="BH5">
        <v>2</v>
      </c>
      <c r="BI5">
        <v>300</v>
      </c>
      <c r="BJ5">
        <v>300</v>
      </c>
      <c r="BK5">
        <v>300</v>
      </c>
      <c r="BL5">
        <v>399.81329299999999</v>
      </c>
      <c r="BM5">
        <v>25</v>
      </c>
      <c r="BN5">
        <v>-3.2402310000000001</v>
      </c>
      <c r="BO5">
        <v>405.39480600000002</v>
      </c>
      <c r="BP5">
        <v>399.64996300000001</v>
      </c>
      <c r="BQ5">
        <v>5.7448430000000004</v>
      </c>
      <c r="BR5">
        <v>2.4268640000000001</v>
      </c>
      <c r="BS5">
        <v>2.49709</v>
      </c>
      <c r="BT5">
        <v>1.5863179999999999</v>
      </c>
      <c r="BU5">
        <v>0.97253599999999996</v>
      </c>
      <c r="BV5">
        <v>0.25319199999999997</v>
      </c>
      <c r="BW5">
        <v>-2.8045E-2</v>
      </c>
      <c r="BX5">
        <v>5.1096999999999997E-2</v>
      </c>
      <c r="BY5">
        <v>0.149423</v>
      </c>
      <c r="BZ5">
        <v>88.247176999999994</v>
      </c>
      <c r="CA5">
        <v>3.3799999999999998E-4</v>
      </c>
      <c r="CB5">
        <v>2.3486280000000002</v>
      </c>
      <c r="CC5">
        <v>-5.1E-5</v>
      </c>
      <c r="CD5">
        <v>1</v>
      </c>
      <c r="CE5">
        <v>2.4109430000000001</v>
      </c>
      <c r="CF5">
        <v>-5.7000000000000003E-5</v>
      </c>
      <c r="CG5">
        <v>1</v>
      </c>
      <c r="CH5">
        <v>0.60051900000000002</v>
      </c>
      <c r="CI5">
        <v>0.60216099999999995</v>
      </c>
      <c r="CJ5">
        <v>0.107265</v>
      </c>
      <c r="CK5">
        <v>0</v>
      </c>
      <c r="CL5" t="s">
        <v>266</v>
      </c>
      <c r="CM5" t="s">
        <v>201</v>
      </c>
      <c r="CN5" t="s">
        <v>202</v>
      </c>
      <c r="CO5" t="s">
        <v>203</v>
      </c>
      <c r="CP5" t="s">
        <v>204</v>
      </c>
      <c r="CQ5" t="s">
        <v>205</v>
      </c>
      <c r="CR5" t="s">
        <v>206</v>
      </c>
    </row>
    <row r="6" spans="1:96">
      <c r="A6">
        <v>3</v>
      </c>
      <c r="B6" s="3">
        <v>0.34416666666666668</v>
      </c>
      <c r="C6" s="1">
        <v>45133</v>
      </c>
      <c r="D6" t="s">
        <v>196</v>
      </c>
      <c r="E6" t="s">
        <v>197</v>
      </c>
      <c r="G6">
        <v>3</v>
      </c>
      <c r="J6">
        <v>0.24353</v>
      </c>
      <c r="K6">
        <v>2.9182190000000001</v>
      </c>
      <c r="L6">
        <v>0.224772</v>
      </c>
      <c r="M6">
        <v>2.893065</v>
      </c>
      <c r="N6">
        <v>2.0266510000000002</v>
      </c>
      <c r="O6">
        <v>1.9504539999999999</v>
      </c>
      <c r="P6">
        <v>3.2180949999999999</v>
      </c>
      <c r="Q6">
        <v>1.1914439999999999</v>
      </c>
      <c r="R6">
        <v>20.490168000000001</v>
      </c>
      <c r="S6">
        <v>21.29064</v>
      </c>
      <c r="T6">
        <v>33.807158999999999</v>
      </c>
      <c r="U6">
        <v>0.44178600000000001</v>
      </c>
      <c r="V6" t="s">
        <v>267</v>
      </c>
      <c r="W6">
        <v>0</v>
      </c>
      <c r="X6">
        <v>0</v>
      </c>
      <c r="Y6">
        <v>0</v>
      </c>
      <c r="Z6">
        <v>105.032089</v>
      </c>
      <c r="AA6">
        <v>402.05450400000001</v>
      </c>
      <c r="AB6">
        <v>0.73876200000000003</v>
      </c>
      <c r="AC6">
        <v>0.5</v>
      </c>
      <c r="AD6">
        <v>0.8</v>
      </c>
      <c r="AE6">
        <v>22.181450000000002</v>
      </c>
      <c r="AF6">
        <v>57.31</v>
      </c>
      <c r="AG6">
        <v>55.15</v>
      </c>
      <c r="AH6">
        <v>26.8</v>
      </c>
      <c r="AI6">
        <v>25.2</v>
      </c>
      <c r="AJ6">
        <v>95.19</v>
      </c>
      <c r="AK6">
        <v>156.30000000000001</v>
      </c>
      <c r="AL6">
        <v>148.1</v>
      </c>
      <c r="AM6">
        <v>5.2</v>
      </c>
      <c r="AN6">
        <v>75</v>
      </c>
      <c r="AO6">
        <v>4.0670000000000002</v>
      </c>
      <c r="AP6" s="3">
        <v>0.34313657407407411</v>
      </c>
      <c r="AQ6" s="1">
        <v>45133</v>
      </c>
      <c r="AR6">
        <v>-0.35</v>
      </c>
      <c r="AS6">
        <v>-1E-3</v>
      </c>
      <c r="AT6">
        <v>-2E-3</v>
      </c>
      <c r="AU6">
        <v>-8.9999999999999993E-3</v>
      </c>
      <c r="AV6">
        <v>-2.5000000000000001E-2</v>
      </c>
      <c r="AW6">
        <v>6.2E-2</v>
      </c>
      <c r="AX6">
        <v>0.36599999999999999</v>
      </c>
      <c r="AY6">
        <v>1</v>
      </c>
      <c r="AZ6">
        <v>150</v>
      </c>
      <c r="BA6">
        <v>5.0000000000000001E-3</v>
      </c>
      <c r="BB6">
        <v>2</v>
      </c>
      <c r="BC6">
        <v>0</v>
      </c>
      <c r="BD6" t="s">
        <v>200</v>
      </c>
      <c r="BE6">
        <v>7000</v>
      </c>
      <c r="BF6">
        <v>500</v>
      </c>
      <c r="BG6">
        <v>5</v>
      </c>
      <c r="BH6">
        <v>2</v>
      </c>
      <c r="BI6">
        <v>300</v>
      </c>
      <c r="BJ6">
        <v>300</v>
      </c>
      <c r="BK6">
        <v>300</v>
      </c>
      <c r="BL6">
        <v>394.785034</v>
      </c>
      <c r="BM6">
        <v>25</v>
      </c>
      <c r="BN6">
        <v>-5.3798700000000004</v>
      </c>
      <c r="BO6">
        <v>397.35101300000002</v>
      </c>
      <c r="BP6">
        <v>394.33810399999999</v>
      </c>
      <c r="BQ6">
        <v>3.0129090000000001</v>
      </c>
      <c r="BR6">
        <v>2.4282080000000001</v>
      </c>
      <c r="BS6">
        <v>2.49973</v>
      </c>
      <c r="BT6">
        <v>1.5873660000000001</v>
      </c>
      <c r="BU6">
        <v>0.97276799999999997</v>
      </c>
      <c r="BV6">
        <v>0.253911</v>
      </c>
      <c r="BW6">
        <v>-1.9307999999999999E-2</v>
      </c>
      <c r="BX6">
        <v>5.4734999999999999E-2</v>
      </c>
      <c r="BY6">
        <v>0.17383699999999999</v>
      </c>
      <c r="BZ6">
        <v>105.032089</v>
      </c>
      <c r="CA6">
        <v>3.4299999999999999E-4</v>
      </c>
      <c r="CB6">
        <v>2.3486280000000002</v>
      </c>
      <c r="CC6">
        <v>-5.1E-5</v>
      </c>
      <c r="CD6">
        <v>1</v>
      </c>
      <c r="CE6">
        <v>2.4109430000000001</v>
      </c>
      <c r="CF6">
        <v>-5.7000000000000003E-5</v>
      </c>
      <c r="CG6">
        <v>1</v>
      </c>
      <c r="CH6">
        <v>0.60051900000000002</v>
      </c>
      <c r="CI6">
        <v>0.60216099999999995</v>
      </c>
      <c r="CJ6">
        <v>0.107265</v>
      </c>
      <c r="CK6">
        <v>0</v>
      </c>
      <c r="CL6" t="s">
        <v>267</v>
      </c>
      <c r="CM6" t="s">
        <v>201</v>
      </c>
      <c r="CN6" t="s">
        <v>202</v>
      </c>
      <c r="CO6" t="s">
        <v>203</v>
      </c>
      <c r="CP6" t="s">
        <v>204</v>
      </c>
      <c r="CQ6" t="s">
        <v>205</v>
      </c>
      <c r="CR6" t="s">
        <v>206</v>
      </c>
    </row>
    <row r="7" spans="1:96">
      <c r="A7">
        <v>4</v>
      </c>
      <c r="B7" s="3">
        <v>0.3447453703703704</v>
      </c>
      <c r="C7" s="1">
        <v>45133</v>
      </c>
      <c r="D7" t="s">
        <v>196</v>
      </c>
      <c r="E7" t="s">
        <v>197</v>
      </c>
      <c r="G7">
        <v>4</v>
      </c>
      <c r="J7">
        <v>0.20241200000000001</v>
      </c>
      <c r="K7">
        <v>2.9193669999999998</v>
      </c>
      <c r="L7">
        <v>0.18928800000000001</v>
      </c>
      <c r="M7">
        <v>2.4257209999999998</v>
      </c>
      <c r="N7">
        <v>2.0705369999999998</v>
      </c>
      <c r="O7">
        <v>2.0067360000000001</v>
      </c>
      <c r="P7">
        <v>3.256291</v>
      </c>
      <c r="Q7">
        <v>1.185754</v>
      </c>
      <c r="R7">
        <v>21.080926999999999</v>
      </c>
      <c r="S7">
        <v>21.751166999999999</v>
      </c>
      <c r="T7">
        <v>34.207611</v>
      </c>
      <c r="U7">
        <v>0.44178600000000001</v>
      </c>
      <c r="V7" t="s">
        <v>268</v>
      </c>
      <c r="W7">
        <v>0</v>
      </c>
      <c r="X7">
        <v>0</v>
      </c>
      <c r="Y7">
        <v>0</v>
      </c>
      <c r="Z7">
        <v>79.137680000000003</v>
      </c>
      <c r="AA7">
        <v>372.20794699999999</v>
      </c>
      <c r="AB7">
        <v>0.78738300000000006</v>
      </c>
      <c r="AC7">
        <v>0.5</v>
      </c>
      <c r="AD7">
        <v>0.8</v>
      </c>
      <c r="AE7">
        <v>27.329986999999999</v>
      </c>
      <c r="AF7">
        <v>58.96</v>
      </c>
      <c r="AG7">
        <v>57.14</v>
      </c>
      <c r="AH7">
        <v>26.68</v>
      </c>
      <c r="AI7">
        <v>25.4</v>
      </c>
      <c r="AJ7">
        <v>95.19</v>
      </c>
      <c r="AK7">
        <v>156.4</v>
      </c>
      <c r="AL7">
        <v>148</v>
      </c>
      <c r="AM7">
        <v>5.4</v>
      </c>
      <c r="AN7">
        <v>87</v>
      </c>
      <c r="AO7">
        <v>4.0659999999999998</v>
      </c>
      <c r="AP7" s="3">
        <v>0.34313657407407411</v>
      </c>
      <c r="AQ7" s="1">
        <v>45133</v>
      </c>
      <c r="AR7">
        <v>-0.35</v>
      </c>
      <c r="AS7">
        <v>-3.0000000000000001E-3</v>
      </c>
      <c r="AT7">
        <v>-1E-3</v>
      </c>
      <c r="AU7">
        <v>-1.7999999999999999E-2</v>
      </c>
      <c r="AV7">
        <v>-0.14199999999999999</v>
      </c>
      <c r="AW7">
        <v>-0.14599999999999999</v>
      </c>
      <c r="AX7">
        <v>-0.252</v>
      </c>
      <c r="AY7">
        <v>1</v>
      </c>
      <c r="AZ7">
        <v>150</v>
      </c>
      <c r="BA7">
        <v>5.0000000000000001E-3</v>
      </c>
      <c r="BB7">
        <v>2</v>
      </c>
      <c r="BC7">
        <v>0</v>
      </c>
      <c r="BD7" t="s">
        <v>200</v>
      </c>
      <c r="BE7">
        <v>7000</v>
      </c>
      <c r="BF7">
        <v>500</v>
      </c>
      <c r="BG7">
        <v>5</v>
      </c>
      <c r="BH7">
        <v>2</v>
      </c>
      <c r="BI7">
        <v>300</v>
      </c>
      <c r="BJ7">
        <v>300</v>
      </c>
      <c r="BK7">
        <v>300</v>
      </c>
      <c r="BL7">
        <v>355.14486699999998</v>
      </c>
      <c r="BM7">
        <v>25</v>
      </c>
      <c r="BN7">
        <v>-11.740861000000001</v>
      </c>
      <c r="BO7">
        <v>358.036652</v>
      </c>
      <c r="BP7">
        <v>355.36795000000001</v>
      </c>
      <c r="BQ7">
        <v>2.668701</v>
      </c>
      <c r="BR7">
        <v>2.430714</v>
      </c>
      <c r="BS7">
        <v>2.501957</v>
      </c>
      <c r="BT7">
        <v>1.5884750000000001</v>
      </c>
      <c r="BU7">
        <v>0.97225600000000001</v>
      </c>
      <c r="BV7">
        <v>0.25510300000000002</v>
      </c>
      <c r="BW7">
        <v>-1.5502E-2</v>
      </c>
      <c r="BX7">
        <v>6.1719000000000003E-2</v>
      </c>
      <c r="BY7">
        <v>0.184224</v>
      </c>
      <c r="BZ7">
        <v>79.137680000000003</v>
      </c>
      <c r="CA7">
        <v>3.3599999999999998E-4</v>
      </c>
      <c r="CB7">
        <v>2.3486280000000002</v>
      </c>
      <c r="CC7">
        <v>-5.1E-5</v>
      </c>
      <c r="CD7">
        <v>1</v>
      </c>
      <c r="CE7">
        <v>2.4109430000000001</v>
      </c>
      <c r="CF7">
        <v>-5.7000000000000003E-5</v>
      </c>
      <c r="CG7">
        <v>1</v>
      </c>
      <c r="CH7">
        <v>0.60051900000000002</v>
      </c>
      <c r="CI7">
        <v>0.60216099999999995</v>
      </c>
      <c r="CJ7">
        <v>0.107265</v>
      </c>
      <c r="CK7">
        <v>0</v>
      </c>
      <c r="CL7" t="s">
        <v>268</v>
      </c>
      <c r="CM7" t="s">
        <v>201</v>
      </c>
      <c r="CN7" t="s">
        <v>202</v>
      </c>
      <c r="CO7" t="s">
        <v>203</v>
      </c>
      <c r="CP7" t="s">
        <v>204</v>
      </c>
      <c r="CQ7" t="s">
        <v>205</v>
      </c>
      <c r="CR7" t="s">
        <v>206</v>
      </c>
    </row>
    <row r="8" spans="1:96">
      <c r="A8">
        <v>5</v>
      </c>
      <c r="B8" s="3">
        <v>0.34513888888888888</v>
      </c>
      <c r="C8" s="1">
        <v>45133</v>
      </c>
      <c r="D8" t="s">
        <v>196</v>
      </c>
      <c r="E8" t="s">
        <v>197</v>
      </c>
      <c r="G8">
        <v>5</v>
      </c>
      <c r="J8">
        <v>0.20030100000000001</v>
      </c>
      <c r="K8">
        <v>2.9187690000000002</v>
      </c>
      <c r="L8">
        <v>0.18743799999999999</v>
      </c>
      <c r="M8">
        <v>2.348652</v>
      </c>
      <c r="N8">
        <v>2.0746099999999998</v>
      </c>
      <c r="O8">
        <v>2.0128140000000001</v>
      </c>
      <c r="P8">
        <v>3.2340409999999999</v>
      </c>
      <c r="Q8">
        <v>1.1594310000000001</v>
      </c>
      <c r="R8">
        <v>21.146443999999999</v>
      </c>
      <c r="S8">
        <v>21.795667999999999</v>
      </c>
      <c r="T8">
        <v>33.976551000000001</v>
      </c>
      <c r="U8">
        <v>0.44178600000000001</v>
      </c>
      <c r="V8" t="s">
        <v>269</v>
      </c>
      <c r="W8">
        <v>0</v>
      </c>
      <c r="X8">
        <v>0</v>
      </c>
      <c r="Y8">
        <v>0</v>
      </c>
      <c r="Z8">
        <v>79.773903000000004</v>
      </c>
      <c r="AA8">
        <v>381.48468000000003</v>
      </c>
      <c r="AB8">
        <v>0.79088599999999998</v>
      </c>
      <c r="AC8">
        <v>0.5</v>
      </c>
      <c r="AD8">
        <v>0.8</v>
      </c>
      <c r="AE8">
        <v>168.292664</v>
      </c>
      <c r="AF8">
        <v>59.31</v>
      </c>
      <c r="AG8">
        <v>57.54</v>
      </c>
      <c r="AH8">
        <v>26.61</v>
      </c>
      <c r="AI8">
        <v>25.28</v>
      </c>
      <c r="AJ8">
        <v>95.18</v>
      </c>
      <c r="AK8">
        <v>156.30000000000001</v>
      </c>
      <c r="AL8">
        <v>147.9</v>
      </c>
      <c r="AM8">
        <v>5.4</v>
      </c>
      <c r="AN8">
        <v>532</v>
      </c>
      <c r="AO8">
        <v>4.0650000000000004</v>
      </c>
      <c r="AP8" s="3">
        <v>0.34313657407407411</v>
      </c>
      <c r="AQ8" s="1">
        <v>45133</v>
      </c>
      <c r="AR8">
        <v>-0.35</v>
      </c>
      <c r="AS8">
        <v>-3.0000000000000001E-3</v>
      </c>
      <c r="AT8">
        <v>-4.0000000000000001E-3</v>
      </c>
      <c r="AU8">
        <v>-1.7000000000000001E-2</v>
      </c>
      <c r="AV8">
        <v>2.5059999999999998</v>
      </c>
      <c r="AW8">
        <v>2.081</v>
      </c>
      <c r="AX8">
        <v>3.2989999999999999</v>
      </c>
      <c r="AY8">
        <v>1</v>
      </c>
      <c r="AZ8">
        <v>150</v>
      </c>
      <c r="BA8">
        <v>5.0000000000000001E-3</v>
      </c>
      <c r="BB8">
        <v>2</v>
      </c>
      <c r="BC8">
        <v>0</v>
      </c>
      <c r="BD8" t="s">
        <v>200</v>
      </c>
      <c r="BE8">
        <v>7000</v>
      </c>
      <c r="BF8">
        <v>500</v>
      </c>
      <c r="BG8">
        <v>5</v>
      </c>
      <c r="BH8">
        <v>2</v>
      </c>
      <c r="BI8">
        <v>300</v>
      </c>
      <c r="BJ8">
        <v>300</v>
      </c>
      <c r="BK8">
        <v>300</v>
      </c>
      <c r="BL8">
        <v>350.61871300000001</v>
      </c>
      <c r="BM8">
        <v>25</v>
      </c>
      <c r="BN8">
        <v>-20.552841000000001</v>
      </c>
      <c r="BO8">
        <v>350.22998000000001</v>
      </c>
      <c r="BP8">
        <v>352.005585</v>
      </c>
      <c r="BQ8">
        <v>-1.775604</v>
      </c>
      <c r="BR8">
        <v>2.4312339999999999</v>
      </c>
      <c r="BS8">
        <v>2.5024459999999999</v>
      </c>
      <c r="BT8">
        <v>1.5878969999999999</v>
      </c>
      <c r="BU8">
        <v>0.97214699999999998</v>
      </c>
      <c r="BV8">
        <v>0.25579800000000003</v>
      </c>
      <c r="BW8">
        <v>-1.6049999999999998E-2</v>
      </c>
      <c r="BX8">
        <v>6.6199999999999995E-2</v>
      </c>
      <c r="BY8">
        <v>0.57906299999999999</v>
      </c>
      <c r="BZ8">
        <v>79.773903000000004</v>
      </c>
      <c r="CA8">
        <v>3.4400000000000001E-4</v>
      </c>
      <c r="CB8">
        <v>2.3486280000000002</v>
      </c>
      <c r="CC8">
        <v>-5.1E-5</v>
      </c>
      <c r="CD8">
        <v>1</v>
      </c>
      <c r="CE8">
        <v>2.4109430000000001</v>
      </c>
      <c r="CF8">
        <v>-5.7000000000000003E-5</v>
      </c>
      <c r="CG8">
        <v>1</v>
      </c>
      <c r="CH8">
        <v>0.60051900000000002</v>
      </c>
      <c r="CI8">
        <v>0.60216099999999995</v>
      </c>
      <c r="CJ8">
        <v>0.107265</v>
      </c>
      <c r="CK8">
        <v>0</v>
      </c>
      <c r="CL8" t="s">
        <v>269</v>
      </c>
      <c r="CM8" t="s">
        <v>201</v>
      </c>
      <c r="CN8" t="s">
        <v>202</v>
      </c>
      <c r="CO8" t="s">
        <v>203</v>
      </c>
      <c r="CP8" t="s">
        <v>204</v>
      </c>
      <c r="CQ8" t="s">
        <v>205</v>
      </c>
      <c r="CR8" t="s">
        <v>206</v>
      </c>
    </row>
    <row r="9" spans="1:96">
      <c r="A9">
        <v>6</v>
      </c>
      <c r="B9" s="3">
        <v>0.34541666666666665</v>
      </c>
      <c r="C9" s="1">
        <v>45133</v>
      </c>
      <c r="D9" t="s">
        <v>196</v>
      </c>
      <c r="E9" t="s">
        <v>197</v>
      </c>
      <c r="G9">
        <v>6</v>
      </c>
      <c r="J9">
        <v>7.0233000000000004E-2</v>
      </c>
      <c r="K9">
        <v>2.9212359999999999</v>
      </c>
      <c r="L9">
        <v>6.8584000000000006E-2</v>
      </c>
      <c r="M9">
        <v>0.92743399999999998</v>
      </c>
      <c r="N9">
        <v>2.0432290000000002</v>
      </c>
      <c r="O9">
        <v>2.0188670000000002</v>
      </c>
      <c r="P9">
        <v>3.2942279999999999</v>
      </c>
      <c r="Q9">
        <v>1.250999</v>
      </c>
      <c r="R9">
        <v>21.210937999999999</v>
      </c>
      <c r="S9">
        <v>21.466888000000001</v>
      </c>
      <c r="T9">
        <v>34.610325000000003</v>
      </c>
      <c r="U9">
        <v>0.44178600000000001</v>
      </c>
      <c r="V9" t="s">
        <v>270</v>
      </c>
      <c r="W9">
        <v>0</v>
      </c>
      <c r="X9">
        <v>0</v>
      </c>
      <c r="Y9">
        <v>0</v>
      </c>
      <c r="Z9">
        <v>96.910354999999996</v>
      </c>
      <c r="AA9">
        <v>412.69198599999999</v>
      </c>
      <c r="AB9">
        <v>0.76517500000000005</v>
      </c>
      <c r="AC9">
        <v>0.5</v>
      </c>
      <c r="AD9">
        <v>0.8</v>
      </c>
      <c r="AE9">
        <v>96.662612999999993</v>
      </c>
      <c r="AF9">
        <v>58.56</v>
      </c>
      <c r="AG9">
        <v>57.86</v>
      </c>
      <c r="AH9">
        <v>26.57</v>
      </c>
      <c r="AI9">
        <v>25.59</v>
      </c>
      <c r="AJ9">
        <v>95.18</v>
      </c>
      <c r="AK9">
        <v>156.6</v>
      </c>
      <c r="AL9">
        <v>147.9</v>
      </c>
      <c r="AM9">
        <v>5.6</v>
      </c>
      <c r="AN9">
        <v>316</v>
      </c>
      <c r="AO9">
        <v>4.0640000000000001</v>
      </c>
      <c r="AP9" s="3">
        <v>0.34313657407407411</v>
      </c>
      <c r="AQ9" s="1">
        <v>45133</v>
      </c>
      <c r="AR9">
        <v>-0.35</v>
      </c>
      <c r="AS9">
        <v>3.0000000000000001E-3</v>
      </c>
      <c r="AT9">
        <v>1E-3</v>
      </c>
      <c r="AU9">
        <v>-1.2E-2</v>
      </c>
      <c r="AV9">
        <v>-0.88800000000000001</v>
      </c>
      <c r="AW9">
        <v>-0.36499999999999999</v>
      </c>
      <c r="AX9">
        <v>-1.458</v>
      </c>
      <c r="AY9">
        <v>1</v>
      </c>
      <c r="AZ9">
        <v>150</v>
      </c>
      <c r="BA9">
        <v>5.0000000000000001E-3</v>
      </c>
      <c r="BB9">
        <v>2</v>
      </c>
      <c r="BC9">
        <v>0</v>
      </c>
      <c r="BD9" t="s">
        <v>200</v>
      </c>
      <c r="BE9">
        <v>7000</v>
      </c>
      <c r="BF9">
        <v>500</v>
      </c>
      <c r="BG9">
        <v>5</v>
      </c>
      <c r="BH9">
        <v>2</v>
      </c>
      <c r="BI9">
        <v>300</v>
      </c>
      <c r="BJ9">
        <v>300</v>
      </c>
      <c r="BK9">
        <v>300</v>
      </c>
      <c r="BL9">
        <v>399.60443099999998</v>
      </c>
      <c r="BM9">
        <v>25</v>
      </c>
      <c r="BN9">
        <v>-9.2609069999999996</v>
      </c>
      <c r="BO9">
        <v>402.01269500000001</v>
      </c>
      <c r="BP9">
        <v>399.408997</v>
      </c>
      <c r="BQ9">
        <v>2.6036990000000002</v>
      </c>
      <c r="BR9">
        <v>2.4316369999999998</v>
      </c>
      <c r="BS9">
        <v>2.501455</v>
      </c>
      <c r="BT9">
        <v>1.590287</v>
      </c>
      <c r="BU9">
        <v>0.97203799999999996</v>
      </c>
      <c r="BV9">
        <v>0.25622499999999998</v>
      </c>
      <c r="BW9">
        <v>-1.1821999999999999E-2</v>
      </c>
      <c r="BX9">
        <v>6.9351999999999997E-2</v>
      </c>
      <c r="BY9">
        <v>0.38735799999999998</v>
      </c>
      <c r="BZ9">
        <v>96.910354999999996</v>
      </c>
      <c r="CA9">
        <v>3.4400000000000001E-4</v>
      </c>
      <c r="CB9">
        <v>2.3486280000000002</v>
      </c>
      <c r="CC9">
        <v>-5.1E-5</v>
      </c>
      <c r="CD9">
        <v>1</v>
      </c>
      <c r="CE9">
        <v>2.4109430000000001</v>
      </c>
      <c r="CF9">
        <v>-5.7000000000000003E-5</v>
      </c>
      <c r="CG9">
        <v>1</v>
      </c>
      <c r="CH9">
        <v>0.60051900000000002</v>
      </c>
      <c r="CI9">
        <v>0.60216099999999995</v>
      </c>
      <c r="CJ9">
        <v>0.107265</v>
      </c>
      <c r="CK9">
        <v>0</v>
      </c>
      <c r="CL9" t="s">
        <v>270</v>
      </c>
      <c r="CM9" t="s">
        <v>201</v>
      </c>
      <c r="CN9" t="s">
        <v>202</v>
      </c>
      <c r="CO9" t="s">
        <v>203</v>
      </c>
      <c r="CP9" t="s">
        <v>204</v>
      </c>
      <c r="CQ9" t="s">
        <v>205</v>
      </c>
      <c r="CR9" t="s">
        <v>206</v>
      </c>
    </row>
    <row r="10" spans="1:96">
      <c r="A10">
        <v>7</v>
      </c>
      <c r="B10" s="3">
        <v>0.34554398148148152</v>
      </c>
      <c r="C10" s="1">
        <v>45133</v>
      </c>
      <c r="D10" t="s">
        <v>196</v>
      </c>
      <c r="E10" t="s">
        <v>197</v>
      </c>
      <c r="G10">
        <v>7</v>
      </c>
      <c r="J10">
        <v>9.0193999999999996E-2</v>
      </c>
      <c r="K10">
        <v>2.9185509999999999</v>
      </c>
      <c r="L10">
        <v>8.7489999999999998E-2</v>
      </c>
      <c r="M10">
        <v>1.072006</v>
      </c>
      <c r="N10">
        <v>2.0522079999999998</v>
      </c>
      <c r="O10">
        <v>2.0239940000000001</v>
      </c>
      <c r="P10">
        <v>3.1862529999999998</v>
      </c>
      <c r="Q10">
        <v>1.1340460000000001</v>
      </c>
      <c r="R10">
        <v>21.266582</v>
      </c>
      <c r="S10">
        <v>21.563032</v>
      </c>
      <c r="T10">
        <v>33.478718000000001</v>
      </c>
      <c r="U10">
        <v>0.44178600000000001</v>
      </c>
      <c r="V10" t="s">
        <v>271</v>
      </c>
      <c r="W10">
        <v>0</v>
      </c>
      <c r="X10">
        <v>0</v>
      </c>
      <c r="Y10">
        <v>0</v>
      </c>
      <c r="Z10">
        <v>119.147301</v>
      </c>
      <c r="AA10">
        <v>481.04611199999999</v>
      </c>
      <c r="AB10">
        <v>0.75231599999999998</v>
      </c>
      <c r="AC10">
        <v>0.5</v>
      </c>
      <c r="AD10">
        <v>0.8</v>
      </c>
      <c r="AE10">
        <v>57.060161999999998</v>
      </c>
      <c r="AF10">
        <v>58.88</v>
      </c>
      <c r="AG10">
        <v>58.07</v>
      </c>
      <c r="AH10">
        <v>26.55</v>
      </c>
      <c r="AI10">
        <v>25.03</v>
      </c>
      <c r="AJ10">
        <v>95.17</v>
      </c>
      <c r="AK10">
        <v>156.30000000000001</v>
      </c>
      <c r="AL10">
        <v>147.69999999999999</v>
      </c>
      <c r="AM10">
        <v>5.5</v>
      </c>
      <c r="AN10">
        <v>190</v>
      </c>
      <c r="AO10">
        <v>4.0640000000000001</v>
      </c>
      <c r="AP10" s="3">
        <v>0.34313657407407411</v>
      </c>
      <c r="AQ10" s="1">
        <v>45133</v>
      </c>
      <c r="AR10">
        <v>-0.35</v>
      </c>
      <c r="AS10">
        <v>0</v>
      </c>
      <c r="AT10">
        <v>-1E-3</v>
      </c>
      <c r="AU10">
        <v>-9999</v>
      </c>
      <c r="AV10">
        <v>0.59599999999999997</v>
      </c>
      <c r="AW10">
        <v>1.3759999999999999</v>
      </c>
      <c r="AX10">
        <v>-9999</v>
      </c>
      <c r="AY10">
        <v>1</v>
      </c>
      <c r="AZ10">
        <v>150</v>
      </c>
      <c r="BA10">
        <v>5.0000000000000001E-3</v>
      </c>
      <c r="BB10">
        <v>2</v>
      </c>
      <c r="BC10">
        <v>0</v>
      </c>
      <c r="BD10" t="s">
        <v>200</v>
      </c>
      <c r="BE10">
        <v>7000</v>
      </c>
      <c r="BF10">
        <v>500</v>
      </c>
      <c r="BG10">
        <v>5</v>
      </c>
      <c r="BH10">
        <v>2</v>
      </c>
      <c r="BI10">
        <v>300</v>
      </c>
      <c r="BJ10">
        <v>300</v>
      </c>
      <c r="BK10">
        <v>300</v>
      </c>
      <c r="BL10">
        <v>477.79797400000001</v>
      </c>
      <c r="BM10">
        <v>25</v>
      </c>
      <c r="BN10">
        <v>-2.1251570000000002</v>
      </c>
      <c r="BO10">
        <v>479.49850500000002</v>
      </c>
      <c r="BP10">
        <v>477.99798600000003</v>
      </c>
      <c r="BQ10">
        <v>1.5005189999999999</v>
      </c>
      <c r="BR10">
        <v>2.4318979999999999</v>
      </c>
      <c r="BS10">
        <v>2.5018820000000002</v>
      </c>
      <c r="BT10">
        <v>1.5876859999999999</v>
      </c>
      <c r="BU10">
        <v>0.97148599999999996</v>
      </c>
      <c r="BV10">
        <v>0.25640200000000002</v>
      </c>
      <c r="BW10">
        <v>-1.8318000000000001E-2</v>
      </c>
      <c r="BX10">
        <v>7.0789000000000005E-2</v>
      </c>
      <c r="BY10">
        <v>0.27543099999999998</v>
      </c>
      <c r="BZ10">
        <v>119.147301</v>
      </c>
      <c r="CA10">
        <v>3.4699999999999998E-4</v>
      </c>
      <c r="CB10">
        <v>2.3486280000000002</v>
      </c>
      <c r="CC10">
        <v>-5.1E-5</v>
      </c>
      <c r="CD10">
        <v>1</v>
      </c>
      <c r="CE10">
        <v>2.4109430000000001</v>
      </c>
      <c r="CF10">
        <v>-5.7000000000000003E-5</v>
      </c>
      <c r="CG10">
        <v>1</v>
      </c>
      <c r="CH10">
        <v>0.60051900000000002</v>
      </c>
      <c r="CI10">
        <v>0.60216099999999995</v>
      </c>
      <c r="CJ10">
        <v>0.107265</v>
      </c>
      <c r="CK10">
        <v>0</v>
      </c>
      <c r="CL10" t="s">
        <v>271</v>
      </c>
      <c r="CM10" t="s">
        <v>201</v>
      </c>
      <c r="CN10" t="s">
        <v>202</v>
      </c>
      <c r="CO10" t="s">
        <v>203</v>
      </c>
      <c r="CP10" t="s">
        <v>204</v>
      </c>
      <c r="CQ10" t="s">
        <v>205</v>
      </c>
      <c r="CR10" t="s">
        <v>206</v>
      </c>
    </row>
    <row r="11" spans="1:96">
      <c r="A11">
        <v>8</v>
      </c>
      <c r="B11" s="3">
        <v>0.3457175925925926</v>
      </c>
      <c r="C11" s="1">
        <v>45133</v>
      </c>
      <c r="D11" t="s">
        <v>196</v>
      </c>
      <c r="E11" t="s">
        <v>197</v>
      </c>
      <c r="G11">
        <v>8</v>
      </c>
      <c r="J11">
        <v>6.5636E-2</v>
      </c>
      <c r="K11">
        <v>2.9179309999999998</v>
      </c>
      <c r="L11">
        <v>6.4191999999999999E-2</v>
      </c>
      <c r="M11">
        <v>1.049083</v>
      </c>
      <c r="N11">
        <v>2.0730900000000001</v>
      </c>
      <c r="O11">
        <v>2.0454720000000002</v>
      </c>
      <c r="P11">
        <v>3.5822980000000002</v>
      </c>
      <c r="Q11">
        <v>1.509207</v>
      </c>
      <c r="R11">
        <v>21.49192</v>
      </c>
      <c r="S11">
        <v>21.782108000000001</v>
      </c>
      <c r="T11">
        <v>37.639454000000001</v>
      </c>
      <c r="U11">
        <v>0.44178600000000001</v>
      </c>
      <c r="V11" t="s">
        <v>272</v>
      </c>
      <c r="W11">
        <v>0</v>
      </c>
      <c r="X11">
        <v>0</v>
      </c>
      <c r="Y11">
        <v>0</v>
      </c>
      <c r="Z11">
        <v>169.999832</v>
      </c>
      <c r="AA11">
        <v>282.708191</v>
      </c>
      <c r="AB11">
        <v>0.39867399999999997</v>
      </c>
      <c r="AC11">
        <v>0.5</v>
      </c>
      <c r="AD11">
        <v>0.8</v>
      </c>
      <c r="AE11">
        <v>51.850250000000003</v>
      </c>
      <c r="AF11">
        <v>59.55</v>
      </c>
      <c r="AG11">
        <v>58.75</v>
      </c>
      <c r="AH11">
        <v>26.53</v>
      </c>
      <c r="AI11">
        <v>27.01</v>
      </c>
      <c r="AJ11">
        <v>95.17</v>
      </c>
      <c r="AK11">
        <v>156.19999999999999</v>
      </c>
      <c r="AL11">
        <v>147.9</v>
      </c>
      <c r="AM11">
        <v>5.4</v>
      </c>
      <c r="AN11">
        <v>325</v>
      </c>
      <c r="AO11">
        <v>4.0629999999999997</v>
      </c>
      <c r="AP11" s="3">
        <v>0.34313657407407411</v>
      </c>
      <c r="AQ11" s="1">
        <v>45133</v>
      </c>
      <c r="AR11">
        <v>-0.35</v>
      </c>
      <c r="AS11">
        <v>0</v>
      </c>
      <c r="AT11">
        <v>-3.0000000000000001E-3</v>
      </c>
      <c r="AU11">
        <v>-9999</v>
      </c>
      <c r="AV11">
        <v>-0.77200000000000002</v>
      </c>
      <c r="AW11">
        <v>-1.4</v>
      </c>
      <c r="AX11">
        <v>-9999</v>
      </c>
      <c r="AY11">
        <v>1</v>
      </c>
      <c r="AZ11">
        <v>150</v>
      </c>
      <c r="BA11">
        <v>5.0000000000000001E-3</v>
      </c>
      <c r="BB11">
        <v>2</v>
      </c>
      <c r="BC11">
        <v>0</v>
      </c>
      <c r="BD11" t="s">
        <v>200</v>
      </c>
      <c r="BE11">
        <v>7000</v>
      </c>
      <c r="BF11">
        <v>500</v>
      </c>
      <c r="BG11">
        <v>5</v>
      </c>
      <c r="BH11">
        <v>2</v>
      </c>
      <c r="BI11">
        <v>300</v>
      </c>
      <c r="BJ11">
        <v>300</v>
      </c>
      <c r="BK11">
        <v>300</v>
      </c>
      <c r="BL11">
        <v>278.90896600000002</v>
      </c>
      <c r="BM11">
        <v>25</v>
      </c>
      <c r="BN11">
        <v>-2.5614119999999998</v>
      </c>
      <c r="BO11">
        <v>280.684235</v>
      </c>
      <c r="BP11">
        <v>279.03433200000001</v>
      </c>
      <c r="BQ11">
        <v>1.649902</v>
      </c>
      <c r="BR11">
        <v>2.4327540000000001</v>
      </c>
      <c r="BS11">
        <v>2.502777</v>
      </c>
      <c r="BT11">
        <v>1.5870869999999999</v>
      </c>
      <c r="BU11">
        <v>0.97202100000000002</v>
      </c>
      <c r="BV11">
        <v>0.256604</v>
      </c>
      <c r="BW11">
        <v>5.816E-3</v>
      </c>
      <c r="BX11">
        <v>7.2639999999999996E-2</v>
      </c>
      <c r="BY11">
        <v>0.39562700000000001</v>
      </c>
      <c r="BZ11">
        <v>169.999832</v>
      </c>
      <c r="CA11">
        <v>3.4400000000000001E-4</v>
      </c>
      <c r="CB11">
        <v>2.3486280000000002</v>
      </c>
      <c r="CC11">
        <v>-5.1E-5</v>
      </c>
      <c r="CD11">
        <v>1</v>
      </c>
      <c r="CE11">
        <v>2.4109430000000001</v>
      </c>
      <c r="CF11">
        <v>-5.7000000000000003E-5</v>
      </c>
      <c r="CG11">
        <v>1</v>
      </c>
      <c r="CH11">
        <v>0.60051900000000002</v>
      </c>
      <c r="CI11">
        <v>0.60216099999999995</v>
      </c>
      <c r="CJ11">
        <v>0.107265</v>
      </c>
      <c r="CK11">
        <v>0</v>
      </c>
      <c r="CL11" t="s">
        <v>272</v>
      </c>
      <c r="CM11" t="s">
        <v>201</v>
      </c>
      <c r="CN11" t="s">
        <v>202</v>
      </c>
      <c r="CO11" t="s">
        <v>203</v>
      </c>
      <c r="CP11" t="s">
        <v>204</v>
      </c>
      <c r="CQ11" t="s">
        <v>205</v>
      </c>
      <c r="CR11" t="s">
        <v>206</v>
      </c>
    </row>
    <row r="12" spans="1:96">
      <c r="A12">
        <v>1</v>
      </c>
      <c r="B12" s="3">
        <v>0.35312499999999997</v>
      </c>
      <c r="C12" s="1">
        <v>45133</v>
      </c>
      <c r="D12" t="s">
        <v>196</v>
      </c>
      <c r="E12" t="s">
        <v>197</v>
      </c>
      <c r="G12">
        <v>1</v>
      </c>
      <c r="J12">
        <v>0.120626</v>
      </c>
      <c r="K12">
        <v>2.9188550000000002</v>
      </c>
      <c r="L12">
        <v>0.115838</v>
      </c>
      <c r="M12">
        <v>1.4330560000000001</v>
      </c>
      <c r="N12">
        <v>2.02413</v>
      </c>
      <c r="O12">
        <v>1.9863900000000001</v>
      </c>
      <c r="P12">
        <v>3.1700569999999999</v>
      </c>
      <c r="Q12">
        <v>1.1459269999999999</v>
      </c>
      <c r="R12">
        <v>20.859746999999999</v>
      </c>
      <c r="S12">
        <v>21.256069</v>
      </c>
      <c r="T12">
        <v>33.289828999999997</v>
      </c>
      <c r="U12">
        <v>0.44178600000000001</v>
      </c>
      <c r="V12" t="s">
        <v>273</v>
      </c>
      <c r="W12">
        <v>0</v>
      </c>
      <c r="X12">
        <v>0</v>
      </c>
      <c r="Y12">
        <v>0</v>
      </c>
      <c r="Z12">
        <v>82.851287999999997</v>
      </c>
      <c r="AA12">
        <v>406.42401100000001</v>
      </c>
      <c r="AB12">
        <v>0.79614600000000002</v>
      </c>
      <c r="AC12">
        <v>0.5</v>
      </c>
      <c r="AD12">
        <v>0.8</v>
      </c>
      <c r="AE12">
        <v>35.531585999999997</v>
      </c>
      <c r="AF12">
        <v>59.12</v>
      </c>
      <c r="AG12">
        <v>58.02</v>
      </c>
      <c r="AH12">
        <v>26.25</v>
      </c>
      <c r="AI12">
        <v>24.95</v>
      </c>
      <c r="AJ12">
        <v>95.23</v>
      </c>
      <c r="AK12">
        <v>156.30000000000001</v>
      </c>
      <c r="AL12">
        <v>147.9</v>
      </c>
      <c r="AM12">
        <v>5.4</v>
      </c>
      <c r="AN12">
        <v>112</v>
      </c>
      <c r="AO12">
        <v>4.0620000000000003</v>
      </c>
      <c r="AP12" s="3">
        <v>0.35288194444444443</v>
      </c>
      <c r="AQ12" s="1">
        <v>45133</v>
      </c>
      <c r="AR12">
        <v>-0.54</v>
      </c>
      <c r="AS12">
        <v>2E-3</v>
      </c>
      <c r="AT12">
        <v>-1E-3</v>
      </c>
      <c r="AU12">
        <v>-0.01</v>
      </c>
      <c r="AV12">
        <v>-0.13</v>
      </c>
      <c r="AW12">
        <v>0.182</v>
      </c>
      <c r="AX12">
        <v>15.725</v>
      </c>
      <c r="AY12">
        <v>1</v>
      </c>
      <c r="AZ12">
        <v>150</v>
      </c>
      <c r="BA12">
        <v>5.0000000000000001E-3</v>
      </c>
      <c r="BB12">
        <v>2</v>
      </c>
      <c r="BC12">
        <v>0</v>
      </c>
      <c r="BD12" t="s">
        <v>200</v>
      </c>
      <c r="BE12">
        <v>7000</v>
      </c>
      <c r="BF12">
        <v>500</v>
      </c>
      <c r="BG12">
        <v>5</v>
      </c>
      <c r="BH12">
        <v>2</v>
      </c>
      <c r="BI12">
        <v>300</v>
      </c>
      <c r="BJ12">
        <v>300</v>
      </c>
      <c r="BK12">
        <v>300</v>
      </c>
      <c r="BL12">
        <v>383.91744999999997</v>
      </c>
      <c r="BM12">
        <v>25</v>
      </c>
      <c r="BN12">
        <v>-15.658101</v>
      </c>
      <c r="BO12">
        <v>383.93820199999999</v>
      </c>
      <c r="BP12">
        <v>383.965485</v>
      </c>
      <c r="BQ12">
        <v>-2.7283000000000002E-2</v>
      </c>
      <c r="BR12">
        <v>2.431915</v>
      </c>
      <c r="BS12">
        <v>2.5025469999999999</v>
      </c>
      <c r="BT12">
        <v>1.5879799999999999</v>
      </c>
      <c r="BU12">
        <v>0.97211700000000001</v>
      </c>
      <c r="BV12">
        <v>0.25952700000000001</v>
      </c>
      <c r="BW12">
        <v>-1.5644999999999999E-2</v>
      </c>
      <c r="BX12">
        <v>0.19147900000000001</v>
      </c>
      <c r="BY12">
        <v>0.20621800000000001</v>
      </c>
      <c r="BZ12">
        <v>82.851287999999997</v>
      </c>
      <c r="CA12">
        <v>3.4600000000000001E-4</v>
      </c>
      <c r="CB12">
        <v>2.3486280000000002</v>
      </c>
      <c r="CC12">
        <v>-5.1E-5</v>
      </c>
      <c r="CD12">
        <v>1</v>
      </c>
      <c r="CE12">
        <v>2.4109430000000001</v>
      </c>
      <c r="CF12">
        <v>-5.7000000000000003E-5</v>
      </c>
      <c r="CG12">
        <v>1</v>
      </c>
      <c r="CH12">
        <v>0.60051900000000002</v>
      </c>
      <c r="CI12">
        <v>0.60216099999999995</v>
      </c>
      <c r="CJ12">
        <v>0.107265</v>
      </c>
      <c r="CK12">
        <v>0</v>
      </c>
      <c r="CL12" t="s">
        <v>273</v>
      </c>
      <c r="CM12" t="s">
        <v>201</v>
      </c>
      <c r="CN12" t="s">
        <v>202</v>
      </c>
      <c r="CO12" t="s">
        <v>203</v>
      </c>
      <c r="CP12" t="s">
        <v>204</v>
      </c>
      <c r="CQ12" t="s">
        <v>205</v>
      </c>
      <c r="CR12" t="s">
        <v>206</v>
      </c>
    </row>
    <row r="13" spans="1:96">
      <c r="A13">
        <v>2</v>
      </c>
      <c r="B13" s="3">
        <v>0.35356481481481478</v>
      </c>
      <c r="C13" s="1">
        <v>45133</v>
      </c>
      <c r="D13" t="s">
        <v>196</v>
      </c>
      <c r="E13" t="s">
        <v>197</v>
      </c>
      <c r="G13">
        <v>2</v>
      </c>
      <c r="J13">
        <v>0.208624</v>
      </c>
      <c r="K13">
        <v>2.9188079999999998</v>
      </c>
      <c r="L13">
        <v>0.19470699999999999</v>
      </c>
      <c r="M13">
        <v>2.2763110000000002</v>
      </c>
      <c r="N13">
        <v>2.0802499999999999</v>
      </c>
      <c r="O13">
        <v>2.0203329999999999</v>
      </c>
      <c r="P13">
        <v>3.1629320000000001</v>
      </c>
      <c r="Q13">
        <v>1.0826819999999999</v>
      </c>
      <c r="R13">
        <v>21.215302999999999</v>
      </c>
      <c r="S13">
        <v>21.844479</v>
      </c>
      <c r="T13">
        <v>33.213608000000001</v>
      </c>
      <c r="U13">
        <v>0.44178600000000001</v>
      </c>
      <c r="V13" t="s">
        <v>274</v>
      </c>
      <c r="W13">
        <v>0</v>
      </c>
      <c r="X13">
        <v>0</v>
      </c>
      <c r="Y13">
        <v>0</v>
      </c>
      <c r="Z13">
        <v>84.788559000000006</v>
      </c>
      <c r="AA13">
        <v>344.43408199999999</v>
      </c>
      <c r="AB13">
        <v>0.75383199999999995</v>
      </c>
      <c r="AC13">
        <v>0.5</v>
      </c>
      <c r="AD13">
        <v>0.8</v>
      </c>
      <c r="AE13">
        <v>143.186508</v>
      </c>
      <c r="AF13">
        <v>60.78</v>
      </c>
      <c r="AG13">
        <v>59.03</v>
      </c>
      <c r="AH13">
        <v>26.24</v>
      </c>
      <c r="AI13">
        <v>24.91</v>
      </c>
      <c r="AJ13">
        <v>95.23</v>
      </c>
      <c r="AK13">
        <v>156.30000000000001</v>
      </c>
      <c r="AL13">
        <v>148.19999999999999</v>
      </c>
      <c r="AM13">
        <v>5.2</v>
      </c>
      <c r="AN13">
        <v>475</v>
      </c>
      <c r="AO13">
        <v>4.0609999999999999</v>
      </c>
      <c r="AP13" s="3">
        <v>0.35288194444444443</v>
      </c>
      <c r="AQ13" s="1">
        <v>45133</v>
      </c>
      <c r="AR13">
        <v>-0.54</v>
      </c>
      <c r="AS13">
        <v>-3.0000000000000001E-3</v>
      </c>
      <c r="AT13">
        <v>-2E-3</v>
      </c>
      <c r="AU13">
        <v>-9999</v>
      </c>
      <c r="AV13">
        <v>-5.8999999999999997E-2</v>
      </c>
      <c r="AW13">
        <v>-0.13200000000000001</v>
      </c>
      <c r="AX13">
        <v>-9999</v>
      </c>
      <c r="AY13">
        <v>1</v>
      </c>
      <c r="AZ13">
        <v>150</v>
      </c>
      <c r="BA13">
        <v>5.0000000000000001E-3</v>
      </c>
      <c r="BB13">
        <v>2</v>
      </c>
      <c r="BC13">
        <v>0</v>
      </c>
      <c r="BD13" t="s">
        <v>200</v>
      </c>
      <c r="BE13">
        <v>7000</v>
      </c>
      <c r="BF13">
        <v>500</v>
      </c>
      <c r="BG13">
        <v>5</v>
      </c>
      <c r="BH13">
        <v>2</v>
      </c>
      <c r="BI13">
        <v>300</v>
      </c>
      <c r="BJ13">
        <v>300</v>
      </c>
      <c r="BK13">
        <v>300</v>
      </c>
      <c r="BL13">
        <v>321.18023699999998</v>
      </c>
      <c r="BM13">
        <v>25</v>
      </c>
      <c r="BN13">
        <v>-16.566814000000001</v>
      </c>
      <c r="BO13">
        <v>322.82318099999998</v>
      </c>
      <c r="BP13">
        <v>320.67218000000003</v>
      </c>
      <c r="BQ13">
        <v>2.1510009999999999</v>
      </c>
      <c r="BR13">
        <v>2.4331719999999999</v>
      </c>
      <c r="BS13">
        <v>2.504753</v>
      </c>
      <c r="BT13">
        <v>1.5879350000000001</v>
      </c>
      <c r="BU13">
        <v>0.97302200000000005</v>
      </c>
      <c r="BV13">
        <v>0.25958300000000001</v>
      </c>
      <c r="BW13">
        <v>-1.6028000000000001E-2</v>
      </c>
      <c r="BX13">
        <v>0.196355</v>
      </c>
      <c r="BY13">
        <v>0.52841099999999996</v>
      </c>
      <c r="BZ13">
        <v>84.788559000000006</v>
      </c>
      <c r="CA13">
        <v>3.4200000000000002E-4</v>
      </c>
      <c r="CB13">
        <v>2.3486280000000002</v>
      </c>
      <c r="CC13">
        <v>-5.1E-5</v>
      </c>
      <c r="CD13">
        <v>1</v>
      </c>
      <c r="CE13">
        <v>2.4109430000000001</v>
      </c>
      <c r="CF13">
        <v>-5.7000000000000003E-5</v>
      </c>
      <c r="CG13">
        <v>1</v>
      </c>
      <c r="CH13">
        <v>0.60051900000000002</v>
      </c>
      <c r="CI13">
        <v>0.60216099999999995</v>
      </c>
      <c r="CJ13">
        <v>0.107265</v>
      </c>
      <c r="CK13">
        <v>0</v>
      </c>
      <c r="CL13" t="s">
        <v>274</v>
      </c>
      <c r="CM13" t="s">
        <v>201</v>
      </c>
      <c r="CN13" t="s">
        <v>202</v>
      </c>
      <c r="CO13" t="s">
        <v>203</v>
      </c>
      <c r="CP13" t="s">
        <v>204</v>
      </c>
      <c r="CQ13" t="s">
        <v>205</v>
      </c>
      <c r="CR13" t="s">
        <v>206</v>
      </c>
    </row>
    <row r="14" spans="1:96">
      <c r="A14">
        <v>3</v>
      </c>
      <c r="B14" s="3">
        <v>0.35370370370370369</v>
      </c>
      <c r="C14" s="1">
        <v>45133</v>
      </c>
      <c r="D14" t="s">
        <v>196</v>
      </c>
      <c r="E14" t="s">
        <v>197</v>
      </c>
      <c r="G14">
        <v>3</v>
      </c>
      <c r="J14">
        <v>0.15304400000000001</v>
      </c>
      <c r="K14">
        <v>2.918266</v>
      </c>
      <c r="L14">
        <v>0.14541799999999999</v>
      </c>
      <c r="M14">
        <v>1.621926</v>
      </c>
      <c r="N14">
        <v>2.108317</v>
      </c>
      <c r="O14">
        <v>2.0656189999999999</v>
      </c>
      <c r="P14">
        <v>3.1412149999999999</v>
      </c>
      <c r="Q14">
        <v>1.0328980000000001</v>
      </c>
      <c r="R14">
        <v>21.690441</v>
      </c>
      <c r="S14">
        <v>22.1388</v>
      </c>
      <c r="T14">
        <v>32.984954999999999</v>
      </c>
      <c r="U14">
        <v>0.44178600000000001</v>
      </c>
      <c r="V14" t="s">
        <v>275</v>
      </c>
      <c r="W14">
        <v>0</v>
      </c>
      <c r="X14">
        <v>0</v>
      </c>
      <c r="Y14">
        <v>0</v>
      </c>
      <c r="Z14">
        <v>89.263557000000006</v>
      </c>
      <c r="AA14">
        <v>382.93997200000001</v>
      </c>
      <c r="AB14">
        <v>0.766899</v>
      </c>
      <c r="AC14">
        <v>0.5</v>
      </c>
      <c r="AD14">
        <v>0.8</v>
      </c>
      <c r="AE14">
        <v>145.44761700000001</v>
      </c>
      <c r="AF14">
        <v>61.62</v>
      </c>
      <c r="AG14">
        <v>60.37</v>
      </c>
      <c r="AH14">
        <v>26.24</v>
      </c>
      <c r="AI14">
        <v>24.8</v>
      </c>
      <c r="AJ14">
        <v>95.23</v>
      </c>
      <c r="AK14">
        <v>156.30000000000001</v>
      </c>
      <c r="AL14">
        <v>148.1</v>
      </c>
      <c r="AM14">
        <v>5.3</v>
      </c>
      <c r="AN14">
        <v>474</v>
      </c>
      <c r="AO14">
        <v>4.0609999999999999</v>
      </c>
      <c r="AP14" s="3">
        <v>0.35288194444444443</v>
      </c>
      <c r="AQ14" s="1">
        <v>45133</v>
      </c>
      <c r="AR14">
        <v>-0.54</v>
      </c>
      <c r="AS14">
        <v>-3.0000000000000001E-3</v>
      </c>
      <c r="AT14">
        <v>-4.0000000000000001E-3</v>
      </c>
      <c r="AU14">
        <v>-9999</v>
      </c>
      <c r="AV14">
        <v>-1.2999999999999999E-2</v>
      </c>
      <c r="AW14">
        <v>0.159</v>
      </c>
      <c r="AX14">
        <v>-9999</v>
      </c>
      <c r="AY14">
        <v>1</v>
      </c>
      <c r="AZ14">
        <v>150</v>
      </c>
      <c r="BA14">
        <v>5.0000000000000001E-3</v>
      </c>
      <c r="BB14">
        <v>2</v>
      </c>
      <c r="BC14">
        <v>0</v>
      </c>
      <c r="BD14" t="s">
        <v>200</v>
      </c>
      <c r="BE14">
        <v>7000</v>
      </c>
      <c r="BF14">
        <v>500</v>
      </c>
      <c r="BG14">
        <v>5</v>
      </c>
      <c r="BH14">
        <v>2</v>
      </c>
      <c r="BI14">
        <v>300</v>
      </c>
      <c r="BJ14">
        <v>300</v>
      </c>
      <c r="BK14">
        <v>300</v>
      </c>
      <c r="BL14">
        <v>354.44961499999999</v>
      </c>
      <c r="BM14">
        <v>25</v>
      </c>
      <c r="BN14">
        <v>-20.076763</v>
      </c>
      <c r="BO14">
        <v>352.69366500000001</v>
      </c>
      <c r="BP14">
        <v>354.14370700000001</v>
      </c>
      <c r="BQ14">
        <v>-1.450043</v>
      </c>
      <c r="BR14">
        <v>2.4348329999999998</v>
      </c>
      <c r="BS14">
        <v>2.505862</v>
      </c>
      <c r="BT14">
        <v>1.5874109999999999</v>
      </c>
      <c r="BU14">
        <v>0.97257199999999999</v>
      </c>
      <c r="BV14">
        <v>0.25962600000000002</v>
      </c>
      <c r="BW14">
        <v>-1.7354000000000001E-2</v>
      </c>
      <c r="BX14">
        <v>0.19784499999999999</v>
      </c>
      <c r="BY14">
        <v>0.52777200000000002</v>
      </c>
      <c r="BZ14">
        <v>89.263557000000006</v>
      </c>
      <c r="CA14">
        <v>3.4600000000000001E-4</v>
      </c>
      <c r="CB14">
        <v>2.3486280000000002</v>
      </c>
      <c r="CC14">
        <v>-5.1E-5</v>
      </c>
      <c r="CD14">
        <v>1</v>
      </c>
      <c r="CE14">
        <v>2.4109430000000001</v>
      </c>
      <c r="CF14">
        <v>-5.7000000000000003E-5</v>
      </c>
      <c r="CG14">
        <v>1</v>
      </c>
      <c r="CH14">
        <v>0.60051900000000002</v>
      </c>
      <c r="CI14">
        <v>0.60216099999999995</v>
      </c>
      <c r="CJ14">
        <v>0.107265</v>
      </c>
      <c r="CK14">
        <v>0</v>
      </c>
      <c r="CL14" t="s">
        <v>275</v>
      </c>
      <c r="CM14" t="s">
        <v>201</v>
      </c>
      <c r="CN14" t="s">
        <v>202</v>
      </c>
      <c r="CO14" t="s">
        <v>203</v>
      </c>
      <c r="CP14" t="s">
        <v>204</v>
      </c>
      <c r="CQ14" t="s">
        <v>205</v>
      </c>
      <c r="CR14" t="s">
        <v>206</v>
      </c>
    </row>
    <row r="15" spans="1:96">
      <c r="A15">
        <v>4</v>
      </c>
      <c r="B15" s="3">
        <v>0.35386574074074079</v>
      </c>
      <c r="C15" s="1">
        <v>45133</v>
      </c>
      <c r="D15" t="s">
        <v>196</v>
      </c>
      <c r="E15" t="s">
        <v>197</v>
      </c>
      <c r="G15">
        <v>4</v>
      </c>
      <c r="J15">
        <v>0.175875</v>
      </c>
      <c r="K15">
        <v>2.9174020000000001</v>
      </c>
      <c r="L15">
        <v>0.16587499999999999</v>
      </c>
      <c r="M15">
        <v>1.9387810000000001</v>
      </c>
      <c r="N15">
        <v>2.1382919999999999</v>
      </c>
      <c r="O15">
        <v>2.0872350000000002</v>
      </c>
      <c r="P15">
        <v>3.2200440000000001</v>
      </c>
      <c r="Q15">
        <v>1.081752</v>
      </c>
      <c r="R15">
        <v>21.917891999999998</v>
      </c>
      <c r="S15">
        <v>22.454035000000001</v>
      </c>
      <c r="T15">
        <v>33.813419000000003</v>
      </c>
      <c r="U15">
        <v>0.44178600000000001</v>
      </c>
      <c r="V15" t="s">
        <v>276</v>
      </c>
      <c r="W15">
        <v>0</v>
      </c>
      <c r="X15">
        <v>0</v>
      </c>
      <c r="Y15">
        <v>0</v>
      </c>
      <c r="Z15">
        <v>86.277007999999995</v>
      </c>
      <c r="AA15">
        <v>342.395691</v>
      </c>
      <c r="AB15">
        <v>0.74802000000000002</v>
      </c>
      <c r="AC15">
        <v>0.5</v>
      </c>
      <c r="AD15">
        <v>0.8</v>
      </c>
      <c r="AE15">
        <v>176.67979399999999</v>
      </c>
      <c r="AF15">
        <v>62.48</v>
      </c>
      <c r="AG15">
        <v>60.99</v>
      </c>
      <c r="AH15">
        <v>26.24</v>
      </c>
      <c r="AI15">
        <v>25.21</v>
      </c>
      <c r="AJ15">
        <v>95.23</v>
      </c>
      <c r="AK15">
        <v>156.19999999999999</v>
      </c>
      <c r="AL15">
        <v>148</v>
      </c>
      <c r="AM15">
        <v>5.2</v>
      </c>
      <c r="AN15">
        <v>590</v>
      </c>
      <c r="AO15">
        <v>4.0609999999999999</v>
      </c>
      <c r="AP15" s="3">
        <v>0.35288194444444443</v>
      </c>
      <c r="AQ15" s="1">
        <v>45133</v>
      </c>
      <c r="AR15">
        <v>-0.54</v>
      </c>
      <c r="AS15">
        <v>-1E-3</v>
      </c>
      <c r="AT15">
        <v>-2E-3</v>
      </c>
      <c r="AU15">
        <v>-1.2E-2</v>
      </c>
      <c r="AV15">
        <v>5.7000000000000002E-2</v>
      </c>
      <c r="AW15">
        <v>7.0000000000000007E-2</v>
      </c>
      <c r="AX15">
        <v>-0.29399999999999998</v>
      </c>
      <c r="AY15">
        <v>1</v>
      </c>
      <c r="AZ15">
        <v>150</v>
      </c>
      <c r="BA15">
        <v>5.0000000000000001E-3</v>
      </c>
      <c r="BB15">
        <v>2</v>
      </c>
      <c r="BC15">
        <v>0</v>
      </c>
      <c r="BD15" t="s">
        <v>200</v>
      </c>
      <c r="BE15">
        <v>7000</v>
      </c>
      <c r="BF15">
        <v>500</v>
      </c>
      <c r="BG15">
        <v>5</v>
      </c>
      <c r="BH15">
        <v>2</v>
      </c>
      <c r="BI15">
        <v>300</v>
      </c>
      <c r="BJ15">
        <v>300</v>
      </c>
      <c r="BK15">
        <v>300</v>
      </c>
      <c r="BL15">
        <v>311.00250199999999</v>
      </c>
      <c r="BM15">
        <v>25</v>
      </c>
      <c r="BN15">
        <v>-22.330444</v>
      </c>
      <c r="BO15">
        <v>309.44503800000001</v>
      </c>
      <c r="BP15">
        <v>310.36697400000003</v>
      </c>
      <c r="BQ15">
        <v>-0.92193599999999998</v>
      </c>
      <c r="BR15">
        <v>2.435603</v>
      </c>
      <c r="BS15">
        <v>2.5070100000000002</v>
      </c>
      <c r="BT15">
        <v>1.586578</v>
      </c>
      <c r="BU15">
        <v>0.97251699999999996</v>
      </c>
      <c r="BV15">
        <v>0.25959900000000002</v>
      </c>
      <c r="BW15">
        <v>-1.2423E-2</v>
      </c>
      <c r="BX15">
        <v>0.19953199999999999</v>
      </c>
      <c r="BY15">
        <v>0.63095999999999997</v>
      </c>
      <c r="BZ15">
        <v>86.277007999999995</v>
      </c>
      <c r="CA15">
        <v>3.39E-4</v>
      </c>
      <c r="CB15">
        <v>2.3486280000000002</v>
      </c>
      <c r="CC15">
        <v>-5.1E-5</v>
      </c>
      <c r="CD15">
        <v>1</v>
      </c>
      <c r="CE15">
        <v>2.4109430000000001</v>
      </c>
      <c r="CF15">
        <v>-5.7000000000000003E-5</v>
      </c>
      <c r="CG15">
        <v>1</v>
      </c>
      <c r="CH15">
        <v>0.60051900000000002</v>
      </c>
      <c r="CI15">
        <v>0.60216099999999995</v>
      </c>
      <c r="CJ15">
        <v>0.107265</v>
      </c>
      <c r="CK15">
        <v>0</v>
      </c>
      <c r="CL15" t="s">
        <v>276</v>
      </c>
      <c r="CM15" t="s">
        <v>201</v>
      </c>
      <c r="CN15" t="s">
        <v>202</v>
      </c>
      <c r="CO15" t="s">
        <v>203</v>
      </c>
      <c r="CP15" t="s">
        <v>204</v>
      </c>
      <c r="CQ15" t="s">
        <v>205</v>
      </c>
      <c r="CR15" t="s">
        <v>206</v>
      </c>
    </row>
    <row r="16" spans="1:96">
      <c r="A16">
        <v>1</v>
      </c>
      <c r="B16" s="3">
        <v>0.3600694444444445</v>
      </c>
      <c r="C16" s="1">
        <v>45133</v>
      </c>
      <c r="D16" t="s">
        <v>196</v>
      </c>
      <c r="E16" t="s">
        <v>197</v>
      </c>
      <c r="G16">
        <v>1</v>
      </c>
      <c r="J16">
        <v>0.33181699999999997</v>
      </c>
      <c r="K16">
        <v>2.9189470000000002</v>
      </c>
      <c r="L16">
        <v>0.29794700000000002</v>
      </c>
      <c r="M16">
        <v>3.3581400000000001</v>
      </c>
      <c r="N16">
        <v>2.143831</v>
      </c>
      <c r="O16">
        <v>2.0555340000000002</v>
      </c>
      <c r="P16">
        <v>3.1868150000000002</v>
      </c>
      <c r="Q16">
        <v>1.0429850000000001</v>
      </c>
      <c r="R16">
        <v>21.591063999999999</v>
      </c>
      <c r="S16">
        <v>22.518516999999999</v>
      </c>
      <c r="T16">
        <v>33.473891999999999</v>
      </c>
      <c r="U16">
        <v>0.44178600000000001</v>
      </c>
      <c r="V16" t="s">
        <v>277</v>
      </c>
      <c r="W16">
        <v>0</v>
      </c>
      <c r="X16">
        <v>0</v>
      </c>
      <c r="Y16">
        <v>0</v>
      </c>
      <c r="Z16">
        <v>83.025101000000006</v>
      </c>
      <c r="AA16">
        <v>344.12756300000001</v>
      </c>
      <c r="AB16">
        <v>0.75873699999999999</v>
      </c>
      <c r="AC16">
        <v>0.5</v>
      </c>
      <c r="AD16">
        <v>0.8</v>
      </c>
      <c r="AE16">
        <v>220.89334099999999</v>
      </c>
      <c r="AF16">
        <v>62.66</v>
      </c>
      <c r="AG16">
        <v>60.08</v>
      </c>
      <c r="AH16">
        <v>26.23</v>
      </c>
      <c r="AI16">
        <v>25.04</v>
      </c>
      <c r="AJ16">
        <v>95.2</v>
      </c>
      <c r="AK16">
        <v>156.4</v>
      </c>
      <c r="AL16">
        <v>148.30000000000001</v>
      </c>
      <c r="AM16">
        <v>5.0999999999999996</v>
      </c>
      <c r="AN16">
        <v>728</v>
      </c>
      <c r="AO16">
        <v>4.0609999999999999</v>
      </c>
      <c r="AP16" s="3">
        <v>0.35988425925925926</v>
      </c>
      <c r="AQ16" s="1">
        <v>45133</v>
      </c>
      <c r="AR16">
        <v>-0.56000000000000005</v>
      </c>
      <c r="AS16">
        <v>0</v>
      </c>
      <c r="AT16">
        <v>-3.0000000000000001E-3</v>
      </c>
      <c r="AU16">
        <v>-1.7999999999999999E-2</v>
      </c>
      <c r="AV16">
        <v>-0.28000000000000003</v>
      </c>
      <c r="AW16">
        <v>0.159</v>
      </c>
      <c r="AX16">
        <v>-1.343</v>
      </c>
      <c r="AY16">
        <v>1</v>
      </c>
      <c r="AZ16">
        <v>150</v>
      </c>
      <c r="BA16">
        <v>5.0000000000000001E-3</v>
      </c>
      <c r="BB16">
        <v>2</v>
      </c>
      <c r="BC16">
        <v>0</v>
      </c>
      <c r="BD16" t="s">
        <v>200</v>
      </c>
      <c r="BE16">
        <v>7000</v>
      </c>
      <c r="BF16">
        <v>500</v>
      </c>
      <c r="BG16">
        <v>5</v>
      </c>
      <c r="BH16">
        <v>2</v>
      </c>
      <c r="BI16">
        <v>300</v>
      </c>
      <c r="BJ16">
        <v>300</v>
      </c>
      <c r="BK16">
        <v>300</v>
      </c>
      <c r="BL16">
        <v>317.07251000000002</v>
      </c>
      <c r="BM16">
        <v>25</v>
      </c>
      <c r="BN16">
        <v>-18.760759</v>
      </c>
      <c r="BO16">
        <v>317.26886000000002</v>
      </c>
      <c r="BP16">
        <v>317.21887199999998</v>
      </c>
      <c r="BQ16">
        <v>4.9987999999999998E-2</v>
      </c>
      <c r="BR16">
        <v>2.4344769999999998</v>
      </c>
      <c r="BS16">
        <v>2.5072709999999998</v>
      </c>
      <c r="BT16">
        <v>1.588068</v>
      </c>
      <c r="BU16">
        <v>0.97347300000000003</v>
      </c>
      <c r="BV16">
        <v>0.25964700000000002</v>
      </c>
      <c r="BW16">
        <v>-1.4448000000000001E-2</v>
      </c>
      <c r="BX16">
        <v>0.14290800000000001</v>
      </c>
      <c r="BY16">
        <v>0.75276399999999999</v>
      </c>
      <c r="BZ16">
        <v>83.025101000000006</v>
      </c>
      <c r="CA16">
        <v>3.4299999999999999E-4</v>
      </c>
      <c r="CB16">
        <v>2.3486280000000002</v>
      </c>
      <c r="CC16">
        <v>-5.1E-5</v>
      </c>
      <c r="CD16">
        <v>1</v>
      </c>
      <c r="CE16">
        <v>2.4109430000000001</v>
      </c>
      <c r="CF16">
        <v>-5.7000000000000003E-5</v>
      </c>
      <c r="CG16">
        <v>1</v>
      </c>
      <c r="CH16">
        <v>0.60051900000000002</v>
      </c>
      <c r="CI16">
        <v>0.60216099999999995</v>
      </c>
      <c r="CJ16">
        <v>0.107265</v>
      </c>
      <c r="CK16">
        <v>0</v>
      </c>
      <c r="CL16" t="s">
        <v>277</v>
      </c>
      <c r="CM16" t="s">
        <v>201</v>
      </c>
      <c r="CN16" t="s">
        <v>202</v>
      </c>
      <c r="CO16" t="s">
        <v>203</v>
      </c>
      <c r="CP16" t="s">
        <v>204</v>
      </c>
      <c r="CQ16" t="s">
        <v>205</v>
      </c>
      <c r="CR16" t="s">
        <v>206</v>
      </c>
    </row>
    <row r="17" spans="1:96">
      <c r="A17">
        <v>2</v>
      </c>
      <c r="B17" s="3">
        <v>0.36035879629629625</v>
      </c>
      <c r="C17" s="1">
        <v>45133</v>
      </c>
      <c r="D17" t="s">
        <v>196</v>
      </c>
      <c r="E17" t="s">
        <v>197</v>
      </c>
      <c r="G17">
        <v>2</v>
      </c>
      <c r="J17">
        <v>0.11165799999999999</v>
      </c>
      <c r="K17">
        <v>2.9204970000000001</v>
      </c>
      <c r="L17">
        <v>0.107546</v>
      </c>
      <c r="M17">
        <v>1.3073250000000001</v>
      </c>
      <c r="N17">
        <v>2.1483370000000002</v>
      </c>
      <c r="O17">
        <v>2.1140059999999998</v>
      </c>
      <c r="P17">
        <v>3.2726850000000001</v>
      </c>
      <c r="Q17">
        <v>1.1243479999999999</v>
      </c>
      <c r="R17">
        <v>22.204955999999999</v>
      </c>
      <c r="S17">
        <v>22.565556000000001</v>
      </c>
      <c r="T17">
        <v>34.375411999999997</v>
      </c>
      <c r="U17">
        <v>0.44178600000000001</v>
      </c>
      <c r="V17" t="s">
        <v>278</v>
      </c>
      <c r="W17">
        <v>0</v>
      </c>
      <c r="X17">
        <v>0</v>
      </c>
      <c r="Y17">
        <v>0</v>
      </c>
      <c r="Z17">
        <v>90.140465000000006</v>
      </c>
      <c r="AA17">
        <v>379.12252799999999</v>
      </c>
      <c r="AB17">
        <v>0.762239</v>
      </c>
      <c r="AC17">
        <v>0.5</v>
      </c>
      <c r="AD17">
        <v>0.8</v>
      </c>
      <c r="AE17">
        <v>215.69648699999999</v>
      </c>
      <c r="AF17">
        <v>62.78</v>
      </c>
      <c r="AG17">
        <v>61.78</v>
      </c>
      <c r="AH17">
        <v>26.24</v>
      </c>
      <c r="AI17">
        <v>25.48</v>
      </c>
      <c r="AJ17">
        <v>95.2</v>
      </c>
      <c r="AK17">
        <v>156.6</v>
      </c>
      <c r="AL17">
        <v>147.9</v>
      </c>
      <c r="AM17">
        <v>5.5</v>
      </c>
      <c r="AN17">
        <v>707</v>
      </c>
      <c r="AO17">
        <v>4.0579999999999998</v>
      </c>
      <c r="AP17" s="3">
        <v>0.35988425925925926</v>
      </c>
      <c r="AQ17" s="1">
        <v>45133</v>
      </c>
      <c r="AR17">
        <v>-0.56000000000000005</v>
      </c>
      <c r="AS17">
        <v>1E-3</v>
      </c>
      <c r="AT17">
        <v>-2E-3</v>
      </c>
      <c r="AU17">
        <v>-8.9999999999999993E-3</v>
      </c>
      <c r="AV17">
        <v>-0.17799999999999999</v>
      </c>
      <c r="AW17">
        <v>-0.26800000000000002</v>
      </c>
      <c r="AX17">
        <v>-2.8000000000000001E-2</v>
      </c>
      <c r="AY17">
        <v>1</v>
      </c>
      <c r="AZ17">
        <v>150</v>
      </c>
      <c r="BA17">
        <v>5.0000000000000001E-3</v>
      </c>
      <c r="BB17">
        <v>2</v>
      </c>
      <c r="BC17">
        <v>0</v>
      </c>
      <c r="BD17" t="s">
        <v>200</v>
      </c>
      <c r="BE17">
        <v>7000</v>
      </c>
      <c r="BF17">
        <v>500</v>
      </c>
      <c r="BG17">
        <v>5</v>
      </c>
      <c r="BH17">
        <v>2</v>
      </c>
      <c r="BI17">
        <v>300</v>
      </c>
      <c r="BJ17">
        <v>300</v>
      </c>
      <c r="BK17">
        <v>300</v>
      </c>
      <c r="BL17">
        <v>364.63558999999998</v>
      </c>
      <c r="BM17">
        <v>25</v>
      </c>
      <c r="BN17">
        <v>-10.032045999999999</v>
      </c>
      <c r="BO17">
        <v>366.76739500000002</v>
      </c>
      <c r="BP17">
        <v>364.73349000000002</v>
      </c>
      <c r="BQ17">
        <v>2.0339049999999999</v>
      </c>
      <c r="BR17">
        <v>2.4365779999999999</v>
      </c>
      <c r="BS17">
        <v>2.507428</v>
      </c>
      <c r="BT17">
        <v>1.5895699999999999</v>
      </c>
      <c r="BU17">
        <v>0.97220700000000004</v>
      </c>
      <c r="BV17">
        <v>0.25961299999999998</v>
      </c>
      <c r="BW17">
        <v>-9.1389999999999996E-3</v>
      </c>
      <c r="BX17">
        <v>0.14685699999999999</v>
      </c>
      <c r="BY17">
        <v>0.73468199999999995</v>
      </c>
      <c r="BZ17">
        <v>90.140465000000006</v>
      </c>
      <c r="CA17">
        <v>3.4299999999999999E-4</v>
      </c>
      <c r="CB17">
        <v>2.3486280000000002</v>
      </c>
      <c r="CC17">
        <v>-5.1E-5</v>
      </c>
      <c r="CD17">
        <v>1</v>
      </c>
      <c r="CE17">
        <v>2.4109430000000001</v>
      </c>
      <c r="CF17">
        <v>-5.7000000000000003E-5</v>
      </c>
      <c r="CG17">
        <v>1</v>
      </c>
      <c r="CH17">
        <v>0.60051900000000002</v>
      </c>
      <c r="CI17">
        <v>0.60216099999999995</v>
      </c>
      <c r="CJ17">
        <v>0.107265</v>
      </c>
      <c r="CK17">
        <v>0</v>
      </c>
      <c r="CL17" t="s">
        <v>278</v>
      </c>
      <c r="CM17" t="s">
        <v>201</v>
      </c>
      <c r="CN17" t="s">
        <v>202</v>
      </c>
      <c r="CO17" t="s">
        <v>203</v>
      </c>
      <c r="CP17" t="s">
        <v>204</v>
      </c>
      <c r="CQ17" t="s">
        <v>205</v>
      </c>
      <c r="CR17" t="s">
        <v>206</v>
      </c>
    </row>
    <row r="18" spans="1:96">
      <c r="A18">
        <v>3</v>
      </c>
      <c r="B18" s="3">
        <v>0.36054398148148148</v>
      </c>
      <c r="C18" s="1">
        <v>45133</v>
      </c>
      <c r="D18" t="s">
        <v>196</v>
      </c>
      <c r="E18" t="s">
        <v>197</v>
      </c>
      <c r="G18">
        <v>3</v>
      </c>
      <c r="J18">
        <v>0.16758300000000001</v>
      </c>
      <c r="K18">
        <v>2.9189639999999999</v>
      </c>
      <c r="L18">
        <v>0.15848400000000001</v>
      </c>
      <c r="M18">
        <v>1.6590290000000001</v>
      </c>
      <c r="N18">
        <v>2.158013</v>
      </c>
      <c r="O18">
        <v>2.1143990000000001</v>
      </c>
      <c r="P18">
        <v>3.126932</v>
      </c>
      <c r="Q18">
        <v>0.96891899999999997</v>
      </c>
      <c r="R18">
        <v>22.209667</v>
      </c>
      <c r="S18">
        <v>22.667781999999999</v>
      </c>
      <c r="T18">
        <v>32.845317999999999</v>
      </c>
      <c r="U18">
        <v>0.44178600000000001</v>
      </c>
      <c r="V18" t="s">
        <v>279</v>
      </c>
      <c r="W18">
        <v>0</v>
      </c>
      <c r="X18">
        <v>0</v>
      </c>
      <c r="Y18">
        <v>0</v>
      </c>
      <c r="Z18">
        <v>85.218429999999998</v>
      </c>
      <c r="AA18">
        <v>345.27410900000001</v>
      </c>
      <c r="AB18">
        <v>0.75318600000000002</v>
      </c>
      <c r="AC18">
        <v>0.5</v>
      </c>
      <c r="AD18">
        <v>0.8</v>
      </c>
      <c r="AE18">
        <v>172.881134</v>
      </c>
      <c r="AF18">
        <v>63.08</v>
      </c>
      <c r="AG18">
        <v>61.81</v>
      </c>
      <c r="AH18">
        <v>26.23</v>
      </c>
      <c r="AI18">
        <v>24.72</v>
      </c>
      <c r="AJ18">
        <v>95.2</v>
      </c>
      <c r="AK18">
        <v>156.4</v>
      </c>
      <c r="AL18">
        <v>148</v>
      </c>
      <c r="AM18">
        <v>5.4</v>
      </c>
      <c r="AN18">
        <v>574</v>
      </c>
      <c r="AO18">
        <v>4.0579999999999998</v>
      </c>
      <c r="AP18" s="3">
        <v>0.35988425925925926</v>
      </c>
      <c r="AQ18" s="1">
        <v>45133</v>
      </c>
      <c r="AR18">
        <v>-0.56000000000000005</v>
      </c>
      <c r="AS18">
        <v>3.0000000000000001E-3</v>
      </c>
      <c r="AT18">
        <v>2E-3</v>
      </c>
      <c r="AU18">
        <v>-1.7999999999999999E-2</v>
      </c>
      <c r="AV18">
        <v>1.2999999999999999E-2</v>
      </c>
      <c r="AW18">
        <v>0.36799999999999999</v>
      </c>
      <c r="AX18">
        <v>1.7470000000000001</v>
      </c>
      <c r="AY18">
        <v>1</v>
      </c>
      <c r="AZ18">
        <v>150</v>
      </c>
      <c r="BA18">
        <v>5.0000000000000001E-3</v>
      </c>
      <c r="BB18">
        <v>2</v>
      </c>
      <c r="BC18">
        <v>0</v>
      </c>
      <c r="BD18" t="s">
        <v>200</v>
      </c>
      <c r="BE18">
        <v>7000</v>
      </c>
      <c r="BF18">
        <v>500</v>
      </c>
      <c r="BG18">
        <v>5</v>
      </c>
      <c r="BH18">
        <v>2</v>
      </c>
      <c r="BI18">
        <v>300</v>
      </c>
      <c r="BJ18">
        <v>300</v>
      </c>
      <c r="BK18">
        <v>300</v>
      </c>
      <c r="BL18">
        <v>314.98504600000001</v>
      </c>
      <c r="BM18">
        <v>25</v>
      </c>
      <c r="BN18">
        <v>-21.365615999999999</v>
      </c>
      <c r="BO18">
        <v>313.752655</v>
      </c>
      <c r="BP18">
        <v>314.62924199999998</v>
      </c>
      <c r="BQ18">
        <v>-0.87658700000000001</v>
      </c>
      <c r="BR18">
        <v>2.4366110000000001</v>
      </c>
      <c r="BS18">
        <v>2.5078230000000001</v>
      </c>
      <c r="BT18">
        <v>1.5880860000000001</v>
      </c>
      <c r="BU18">
        <v>0.97230399999999995</v>
      </c>
      <c r="BV18">
        <v>0.259654</v>
      </c>
      <c r="BW18">
        <v>-1.8228999999999999E-2</v>
      </c>
      <c r="BX18">
        <v>0.14916399999999999</v>
      </c>
      <c r="BY18">
        <v>0.61618600000000001</v>
      </c>
      <c r="BZ18">
        <v>85.218429999999998</v>
      </c>
      <c r="CA18">
        <v>3.4499999999999998E-4</v>
      </c>
      <c r="CB18">
        <v>2.3486280000000002</v>
      </c>
      <c r="CC18">
        <v>-5.1E-5</v>
      </c>
      <c r="CD18">
        <v>1</v>
      </c>
      <c r="CE18">
        <v>2.4109430000000001</v>
      </c>
      <c r="CF18">
        <v>-5.7000000000000003E-5</v>
      </c>
      <c r="CG18">
        <v>1</v>
      </c>
      <c r="CH18">
        <v>0.60051900000000002</v>
      </c>
      <c r="CI18">
        <v>0.60216099999999995</v>
      </c>
      <c r="CJ18">
        <v>0.107265</v>
      </c>
      <c r="CK18">
        <v>0</v>
      </c>
      <c r="CL18" t="s">
        <v>279</v>
      </c>
      <c r="CM18" t="s">
        <v>201</v>
      </c>
      <c r="CN18" t="s">
        <v>202</v>
      </c>
      <c r="CO18" t="s">
        <v>203</v>
      </c>
      <c r="CP18" t="s">
        <v>204</v>
      </c>
      <c r="CQ18" t="s">
        <v>205</v>
      </c>
      <c r="CR18" t="s">
        <v>206</v>
      </c>
    </row>
    <row r="19" spans="1:96">
      <c r="A19">
        <v>4</v>
      </c>
      <c r="B19" s="3">
        <v>0.36097222222222225</v>
      </c>
      <c r="C19" s="1">
        <v>45133</v>
      </c>
      <c r="D19" t="s">
        <v>196</v>
      </c>
      <c r="E19" t="s">
        <v>197</v>
      </c>
      <c r="G19">
        <v>4</v>
      </c>
      <c r="J19">
        <v>0.17360500000000001</v>
      </c>
      <c r="K19">
        <v>2.9184679999999998</v>
      </c>
      <c r="L19">
        <v>0.163858</v>
      </c>
      <c r="M19">
        <v>1.941346</v>
      </c>
      <c r="N19">
        <v>2.1432250000000002</v>
      </c>
      <c r="O19">
        <v>2.0921660000000002</v>
      </c>
      <c r="P19">
        <v>3.239182</v>
      </c>
      <c r="Q19">
        <v>1.0959570000000001</v>
      </c>
      <c r="R19">
        <v>21.977744999999999</v>
      </c>
      <c r="S19">
        <v>22.514112000000001</v>
      </c>
      <c r="T19">
        <v>34.026893999999999</v>
      </c>
      <c r="U19">
        <v>0.44178600000000001</v>
      </c>
      <c r="V19" t="s">
        <v>280</v>
      </c>
      <c r="W19">
        <v>0</v>
      </c>
      <c r="X19">
        <v>0</v>
      </c>
      <c r="Y19">
        <v>0</v>
      </c>
      <c r="Z19">
        <v>79.818603999999993</v>
      </c>
      <c r="AA19">
        <v>370.116669</v>
      </c>
      <c r="AB19">
        <v>0.78434199999999998</v>
      </c>
      <c r="AC19">
        <v>0.5</v>
      </c>
      <c r="AD19">
        <v>0.8</v>
      </c>
      <c r="AE19">
        <v>252.192657</v>
      </c>
      <c r="AF19">
        <v>62.69</v>
      </c>
      <c r="AG19">
        <v>61.2</v>
      </c>
      <c r="AH19">
        <v>26.22</v>
      </c>
      <c r="AI19">
        <v>25.31</v>
      </c>
      <c r="AJ19">
        <v>95.19</v>
      </c>
      <c r="AK19">
        <v>156.30000000000001</v>
      </c>
      <c r="AL19">
        <v>148</v>
      </c>
      <c r="AM19">
        <v>5.3</v>
      </c>
      <c r="AN19">
        <v>804</v>
      </c>
      <c r="AO19">
        <v>4.056</v>
      </c>
      <c r="AP19" s="3">
        <v>0.35988425925925926</v>
      </c>
      <c r="AQ19" s="1">
        <v>45133</v>
      </c>
      <c r="AR19">
        <v>-0.56000000000000005</v>
      </c>
      <c r="AS19">
        <v>-1E-3</v>
      </c>
      <c r="AT19">
        <v>-2E-3</v>
      </c>
      <c r="AU19">
        <v>-0.01</v>
      </c>
      <c r="AV19">
        <v>-0.11700000000000001</v>
      </c>
      <c r="AW19">
        <v>-0.13400000000000001</v>
      </c>
      <c r="AX19">
        <v>-0.28399999999999997</v>
      </c>
      <c r="AY19">
        <v>1</v>
      </c>
      <c r="AZ19">
        <v>150</v>
      </c>
      <c r="BA19">
        <v>5.0000000000000001E-3</v>
      </c>
      <c r="BB19">
        <v>2</v>
      </c>
      <c r="BC19">
        <v>0</v>
      </c>
      <c r="BD19" t="s">
        <v>200</v>
      </c>
      <c r="BE19">
        <v>7000</v>
      </c>
      <c r="BF19">
        <v>500</v>
      </c>
      <c r="BG19">
        <v>5</v>
      </c>
      <c r="BH19">
        <v>2</v>
      </c>
      <c r="BI19">
        <v>300</v>
      </c>
      <c r="BJ19">
        <v>300</v>
      </c>
      <c r="BK19">
        <v>300</v>
      </c>
      <c r="BL19">
        <v>357.68438700000002</v>
      </c>
      <c r="BM19">
        <v>25</v>
      </c>
      <c r="BN19">
        <v>-8.5259719999999994</v>
      </c>
      <c r="BO19">
        <v>361.09292599999998</v>
      </c>
      <c r="BP19">
        <v>357.887787</v>
      </c>
      <c r="BQ19">
        <v>3.205139</v>
      </c>
      <c r="BR19">
        <v>2.435864</v>
      </c>
      <c r="BS19">
        <v>2.507314</v>
      </c>
      <c r="BT19">
        <v>1.5876060000000001</v>
      </c>
      <c r="BU19">
        <v>0.97248599999999996</v>
      </c>
      <c r="BV19">
        <v>0.25978000000000001</v>
      </c>
      <c r="BW19">
        <v>-1.1018999999999999E-2</v>
      </c>
      <c r="BX19">
        <v>0.15432199999999999</v>
      </c>
      <c r="BY19">
        <v>0.82016999999999995</v>
      </c>
      <c r="BZ19">
        <v>79.818603999999993</v>
      </c>
      <c r="CA19">
        <v>3.4200000000000002E-4</v>
      </c>
      <c r="CB19">
        <v>2.3486280000000002</v>
      </c>
      <c r="CC19">
        <v>-5.1E-5</v>
      </c>
      <c r="CD19">
        <v>1</v>
      </c>
      <c r="CE19">
        <v>2.4109430000000001</v>
      </c>
      <c r="CF19">
        <v>-5.7000000000000003E-5</v>
      </c>
      <c r="CG19">
        <v>1</v>
      </c>
      <c r="CH19">
        <v>0.60051900000000002</v>
      </c>
      <c r="CI19">
        <v>0.60216099999999995</v>
      </c>
      <c r="CJ19">
        <v>0.107265</v>
      </c>
      <c r="CK19">
        <v>0</v>
      </c>
      <c r="CL19" t="s">
        <v>280</v>
      </c>
      <c r="CM19" t="s">
        <v>201</v>
      </c>
      <c r="CN19" t="s">
        <v>202</v>
      </c>
      <c r="CO19" t="s">
        <v>203</v>
      </c>
      <c r="CP19" t="s">
        <v>204</v>
      </c>
      <c r="CQ19" t="s">
        <v>205</v>
      </c>
      <c r="CR19" t="s">
        <v>206</v>
      </c>
    </row>
    <row r="20" spans="1:96">
      <c r="A20">
        <v>1</v>
      </c>
      <c r="B20" s="3">
        <v>0.36615740740740743</v>
      </c>
      <c r="C20" s="1">
        <v>45133</v>
      </c>
      <c r="D20" t="s">
        <v>196</v>
      </c>
      <c r="E20" t="s">
        <v>197</v>
      </c>
      <c r="G20">
        <v>1</v>
      </c>
      <c r="J20">
        <v>0.17297000000000001</v>
      </c>
      <c r="K20">
        <v>2.9181140000000001</v>
      </c>
      <c r="L20">
        <v>0.16329099999999999</v>
      </c>
      <c r="M20">
        <v>2.0021</v>
      </c>
      <c r="N20">
        <v>2.1074920000000001</v>
      </c>
      <c r="O20">
        <v>2.0547960000000001</v>
      </c>
      <c r="P20">
        <v>3.2419560000000001</v>
      </c>
      <c r="Q20">
        <v>1.1344639999999999</v>
      </c>
      <c r="R20">
        <v>21.583653999999999</v>
      </c>
      <c r="S20">
        <v>22.137174999999999</v>
      </c>
      <c r="T20">
        <v>34.053618999999998</v>
      </c>
      <c r="U20">
        <v>0.44178600000000001</v>
      </c>
      <c r="V20" t="s">
        <v>281</v>
      </c>
      <c r="W20">
        <v>0</v>
      </c>
      <c r="X20">
        <v>0</v>
      </c>
      <c r="Y20">
        <v>0</v>
      </c>
      <c r="Z20">
        <v>86.169005999999996</v>
      </c>
      <c r="AA20">
        <v>402.04406699999998</v>
      </c>
      <c r="AB20">
        <v>0.78567299999999995</v>
      </c>
      <c r="AC20">
        <v>0.5</v>
      </c>
      <c r="AD20">
        <v>0.8</v>
      </c>
      <c r="AE20">
        <v>290.45288099999999</v>
      </c>
      <c r="AF20">
        <v>61.98</v>
      </c>
      <c r="AG20">
        <v>60.43</v>
      </c>
      <c r="AH20">
        <v>26.13</v>
      </c>
      <c r="AI20">
        <v>25.33</v>
      </c>
      <c r="AJ20">
        <v>95.2</v>
      </c>
      <c r="AK20">
        <v>156.30000000000001</v>
      </c>
      <c r="AL20">
        <v>148.30000000000001</v>
      </c>
      <c r="AM20">
        <v>5.0999999999999996</v>
      </c>
      <c r="AN20">
        <v>924</v>
      </c>
      <c r="AO20">
        <v>4.0570000000000004</v>
      </c>
      <c r="AP20" s="3">
        <v>0.36603009259259256</v>
      </c>
      <c r="AQ20" s="1">
        <v>45133</v>
      </c>
      <c r="AR20">
        <v>-0.59</v>
      </c>
      <c r="AS20">
        <v>-1E-3</v>
      </c>
      <c r="AT20">
        <v>-1E-3</v>
      </c>
      <c r="AU20">
        <v>-1.4E-2</v>
      </c>
      <c r="AV20">
        <v>-3.2000000000000001E-2</v>
      </c>
      <c r="AW20">
        <v>-0.68500000000000005</v>
      </c>
      <c r="AX20">
        <v>-2.2040000000000002</v>
      </c>
      <c r="AY20">
        <v>1</v>
      </c>
      <c r="AZ20">
        <v>150</v>
      </c>
      <c r="BA20">
        <v>5.0000000000000001E-3</v>
      </c>
      <c r="BB20">
        <v>2</v>
      </c>
      <c r="BC20">
        <v>0</v>
      </c>
      <c r="BD20" t="s">
        <v>200</v>
      </c>
      <c r="BE20">
        <v>7000</v>
      </c>
      <c r="BF20">
        <v>500</v>
      </c>
      <c r="BG20">
        <v>5</v>
      </c>
      <c r="BH20">
        <v>2</v>
      </c>
      <c r="BI20">
        <v>300</v>
      </c>
      <c r="BJ20">
        <v>300</v>
      </c>
      <c r="BK20">
        <v>300</v>
      </c>
      <c r="BL20">
        <v>382.26913500000001</v>
      </c>
      <c r="BM20">
        <v>25</v>
      </c>
      <c r="BN20">
        <v>-14.611814000000001</v>
      </c>
      <c r="BO20">
        <v>382.96258499999999</v>
      </c>
      <c r="BP20">
        <v>381.08624300000002</v>
      </c>
      <c r="BQ20">
        <v>1.8763430000000001</v>
      </c>
      <c r="BR20">
        <v>2.434933</v>
      </c>
      <c r="BS20">
        <v>2.5064350000000002</v>
      </c>
      <c r="BT20">
        <v>1.5872649999999999</v>
      </c>
      <c r="BU20">
        <v>0.97320499999999999</v>
      </c>
      <c r="BV20">
        <v>0.26072000000000001</v>
      </c>
      <c r="BW20">
        <v>-9.7459999999999995E-3</v>
      </c>
      <c r="BX20">
        <v>0.137651</v>
      </c>
      <c r="BY20">
        <v>0.92693499999999995</v>
      </c>
      <c r="BZ20">
        <v>86.169005999999996</v>
      </c>
      <c r="CA20">
        <v>3.4600000000000001E-4</v>
      </c>
      <c r="CB20">
        <v>2.3486280000000002</v>
      </c>
      <c r="CC20">
        <v>-5.1E-5</v>
      </c>
      <c r="CD20">
        <v>1</v>
      </c>
      <c r="CE20">
        <v>2.4109430000000001</v>
      </c>
      <c r="CF20">
        <v>-5.7000000000000003E-5</v>
      </c>
      <c r="CG20">
        <v>1</v>
      </c>
      <c r="CH20">
        <v>0.60051900000000002</v>
      </c>
      <c r="CI20">
        <v>0.60216099999999995</v>
      </c>
      <c r="CJ20">
        <v>0.107265</v>
      </c>
      <c r="CK20">
        <v>0</v>
      </c>
      <c r="CL20" t="s">
        <v>281</v>
      </c>
      <c r="CM20" t="s">
        <v>201</v>
      </c>
      <c r="CN20" t="s">
        <v>202</v>
      </c>
      <c r="CO20" t="s">
        <v>203</v>
      </c>
      <c r="CP20" t="s">
        <v>204</v>
      </c>
      <c r="CQ20" t="s">
        <v>205</v>
      </c>
      <c r="CR20" t="s">
        <v>206</v>
      </c>
    </row>
    <row r="21" spans="1:96">
      <c r="A21">
        <v>2</v>
      </c>
      <c r="B21" s="3">
        <v>0.36633101851851851</v>
      </c>
      <c r="C21" s="1">
        <v>45133</v>
      </c>
      <c r="D21" t="s">
        <v>196</v>
      </c>
      <c r="E21" t="s">
        <v>197</v>
      </c>
      <c r="G21">
        <v>2</v>
      </c>
      <c r="J21">
        <v>0.26937</v>
      </c>
      <c r="K21">
        <v>2.917532</v>
      </c>
      <c r="L21">
        <v>0.24660099999999999</v>
      </c>
      <c r="M21">
        <v>2.6825519999999998</v>
      </c>
      <c r="N21">
        <v>2.2032600000000002</v>
      </c>
      <c r="O21">
        <v>2.1326969999999998</v>
      </c>
      <c r="P21">
        <v>3.209384</v>
      </c>
      <c r="Q21">
        <v>1.006124</v>
      </c>
      <c r="R21">
        <v>22.402930999999999</v>
      </c>
      <c r="S21">
        <v>23.144151999999998</v>
      </c>
      <c r="T21">
        <v>33.712989999999998</v>
      </c>
      <c r="U21">
        <v>0.44178600000000001</v>
      </c>
      <c r="V21" t="s">
        <v>282</v>
      </c>
      <c r="W21">
        <v>0</v>
      </c>
      <c r="X21">
        <v>0</v>
      </c>
      <c r="Y21">
        <v>0</v>
      </c>
      <c r="Z21">
        <v>87.094543000000002</v>
      </c>
      <c r="AA21">
        <v>364.983856</v>
      </c>
      <c r="AB21">
        <v>0.761374</v>
      </c>
      <c r="AC21">
        <v>0.5</v>
      </c>
      <c r="AD21">
        <v>0.8</v>
      </c>
      <c r="AE21">
        <v>282.38128699999999</v>
      </c>
      <c r="AF21">
        <v>64.67</v>
      </c>
      <c r="AG21">
        <v>62.6</v>
      </c>
      <c r="AH21">
        <v>26.16</v>
      </c>
      <c r="AI21">
        <v>25.16</v>
      </c>
      <c r="AJ21">
        <v>95.2</v>
      </c>
      <c r="AK21">
        <v>156.19999999999999</v>
      </c>
      <c r="AL21">
        <v>147.9</v>
      </c>
      <c r="AM21">
        <v>5.3</v>
      </c>
      <c r="AN21">
        <v>927</v>
      </c>
      <c r="AO21">
        <v>4.0570000000000004</v>
      </c>
      <c r="AP21" s="3">
        <v>0.36603009259259256</v>
      </c>
      <c r="AQ21" s="1">
        <v>45133</v>
      </c>
      <c r="AR21">
        <v>-0.59</v>
      </c>
      <c r="AS21">
        <v>-3.0000000000000001E-3</v>
      </c>
      <c r="AT21">
        <v>-2E-3</v>
      </c>
      <c r="AU21">
        <v>-1.6E-2</v>
      </c>
      <c r="AV21">
        <v>6.2E-2</v>
      </c>
      <c r="AW21">
        <v>0.29199999999999998</v>
      </c>
      <c r="AX21">
        <v>1.956</v>
      </c>
      <c r="AY21">
        <v>1</v>
      </c>
      <c r="AZ21">
        <v>150</v>
      </c>
      <c r="BA21">
        <v>5.0000000000000001E-3</v>
      </c>
      <c r="BB21">
        <v>2</v>
      </c>
      <c r="BC21">
        <v>0</v>
      </c>
      <c r="BD21" t="s">
        <v>200</v>
      </c>
      <c r="BE21">
        <v>7000</v>
      </c>
      <c r="BF21">
        <v>500</v>
      </c>
      <c r="BG21">
        <v>5</v>
      </c>
      <c r="BH21">
        <v>2</v>
      </c>
      <c r="BI21">
        <v>300</v>
      </c>
      <c r="BJ21">
        <v>300</v>
      </c>
      <c r="BK21">
        <v>300</v>
      </c>
      <c r="BL21">
        <v>333.06454500000001</v>
      </c>
      <c r="BM21">
        <v>25</v>
      </c>
      <c r="BN21">
        <v>-23.226486000000001</v>
      </c>
      <c r="BO21">
        <v>330.02185100000003</v>
      </c>
      <c r="BP21">
        <v>331.66992199999999</v>
      </c>
      <c r="BQ21">
        <v>-1.6480710000000001</v>
      </c>
      <c r="BR21">
        <v>2.4376150000000001</v>
      </c>
      <c r="BS21">
        <v>2.509992</v>
      </c>
      <c r="BT21">
        <v>1.5867039999999999</v>
      </c>
      <c r="BU21">
        <v>0.97203300000000004</v>
      </c>
      <c r="BV21">
        <v>0.26039200000000001</v>
      </c>
      <c r="BW21">
        <v>-1.2161E-2</v>
      </c>
      <c r="BX21">
        <v>0.140152</v>
      </c>
      <c r="BY21">
        <v>0.92958799999999997</v>
      </c>
      <c r="BZ21">
        <v>87.094543000000002</v>
      </c>
      <c r="CA21">
        <v>3.4400000000000001E-4</v>
      </c>
      <c r="CB21">
        <v>2.3486280000000002</v>
      </c>
      <c r="CC21">
        <v>-5.1E-5</v>
      </c>
      <c r="CD21">
        <v>1</v>
      </c>
      <c r="CE21">
        <v>2.4109430000000001</v>
      </c>
      <c r="CF21">
        <v>-5.7000000000000003E-5</v>
      </c>
      <c r="CG21">
        <v>1</v>
      </c>
      <c r="CH21">
        <v>0.60051900000000002</v>
      </c>
      <c r="CI21">
        <v>0.60216099999999995</v>
      </c>
      <c r="CJ21">
        <v>0.107265</v>
      </c>
      <c r="CK21">
        <v>0</v>
      </c>
      <c r="CL21" t="s">
        <v>282</v>
      </c>
      <c r="CM21" t="s">
        <v>201</v>
      </c>
      <c r="CN21" t="s">
        <v>202</v>
      </c>
      <c r="CO21" t="s">
        <v>203</v>
      </c>
      <c r="CP21" t="s">
        <v>204</v>
      </c>
      <c r="CQ21" t="s">
        <v>205</v>
      </c>
      <c r="CR21" t="s">
        <v>206</v>
      </c>
    </row>
    <row r="22" spans="1:96">
      <c r="A22">
        <v>3</v>
      </c>
      <c r="B22" s="3">
        <v>0.36658564814814815</v>
      </c>
      <c r="C22" s="1">
        <v>45133</v>
      </c>
      <c r="D22" t="s">
        <v>196</v>
      </c>
      <c r="E22" t="s">
        <v>197</v>
      </c>
      <c r="G22">
        <v>3</v>
      </c>
      <c r="J22">
        <v>0.233574</v>
      </c>
      <c r="K22">
        <v>2.9200620000000002</v>
      </c>
      <c r="L22">
        <v>0.21627399999999999</v>
      </c>
      <c r="M22">
        <v>2.4212419999999999</v>
      </c>
      <c r="N22">
        <v>2.2568589999999999</v>
      </c>
      <c r="O22">
        <v>2.1933389999999999</v>
      </c>
      <c r="P22">
        <v>3.2914819999999998</v>
      </c>
      <c r="Q22">
        <v>1.0346230000000001</v>
      </c>
      <c r="R22">
        <v>23.041574000000001</v>
      </c>
      <c r="S22">
        <v>23.708872</v>
      </c>
      <c r="T22">
        <v>34.577843000000001</v>
      </c>
      <c r="U22">
        <v>0.44178600000000001</v>
      </c>
      <c r="V22" t="s">
        <v>283</v>
      </c>
      <c r="W22">
        <v>0</v>
      </c>
      <c r="X22">
        <v>0</v>
      </c>
      <c r="Y22">
        <v>0</v>
      </c>
      <c r="Z22">
        <v>84.339737</v>
      </c>
      <c r="AA22">
        <v>333.80850199999998</v>
      </c>
      <c r="AB22">
        <v>0.74734100000000003</v>
      </c>
      <c r="AC22">
        <v>0.5</v>
      </c>
      <c r="AD22">
        <v>0.8</v>
      </c>
      <c r="AE22">
        <v>303.30014</v>
      </c>
      <c r="AF22">
        <v>66.09</v>
      </c>
      <c r="AG22">
        <v>64.23</v>
      </c>
      <c r="AH22">
        <v>26.2</v>
      </c>
      <c r="AI22">
        <v>25.58</v>
      </c>
      <c r="AJ22">
        <v>95.19</v>
      </c>
      <c r="AK22">
        <v>156.5</v>
      </c>
      <c r="AL22">
        <v>148</v>
      </c>
      <c r="AM22">
        <v>5.4</v>
      </c>
      <c r="AN22">
        <v>1015</v>
      </c>
      <c r="AO22">
        <v>4.0549999999999997</v>
      </c>
      <c r="AP22" s="3">
        <v>0.36603009259259256</v>
      </c>
      <c r="AQ22" s="1">
        <v>45133</v>
      </c>
      <c r="AR22">
        <v>-0.59</v>
      </c>
      <c r="AS22">
        <v>4.0000000000000001E-3</v>
      </c>
      <c r="AT22">
        <v>0</v>
      </c>
      <c r="AU22">
        <v>-1.6E-2</v>
      </c>
      <c r="AV22">
        <v>-0.38900000000000001</v>
      </c>
      <c r="AW22">
        <v>0.11700000000000001</v>
      </c>
      <c r="AX22">
        <v>-0.872</v>
      </c>
      <c r="AY22">
        <v>1</v>
      </c>
      <c r="AZ22">
        <v>150</v>
      </c>
      <c r="BA22">
        <v>5.0000000000000001E-3</v>
      </c>
      <c r="BB22">
        <v>2</v>
      </c>
      <c r="BC22">
        <v>0</v>
      </c>
      <c r="BD22" t="s">
        <v>200</v>
      </c>
      <c r="BE22">
        <v>7000</v>
      </c>
      <c r="BF22">
        <v>500</v>
      </c>
      <c r="BG22">
        <v>5</v>
      </c>
      <c r="BH22">
        <v>2</v>
      </c>
      <c r="BI22">
        <v>300</v>
      </c>
      <c r="BJ22">
        <v>300</v>
      </c>
      <c r="BK22">
        <v>300</v>
      </c>
      <c r="BL22">
        <v>294.290527</v>
      </c>
      <c r="BM22">
        <v>25</v>
      </c>
      <c r="BN22">
        <v>-28.722207999999998</v>
      </c>
      <c r="BO22">
        <v>288.20120200000002</v>
      </c>
      <c r="BP22">
        <v>292.61203</v>
      </c>
      <c r="BQ22">
        <v>-4.4108280000000004</v>
      </c>
      <c r="BR22">
        <v>2.4396110000000002</v>
      </c>
      <c r="BS22">
        <v>2.5118469999999999</v>
      </c>
      <c r="BT22">
        <v>1.589148</v>
      </c>
      <c r="BU22">
        <v>0.97235499999999997</v>
      </c>
      <c r="BV22">
        <v>0.259967</v>
      </c>
      <c r="BW22">
        <v>-7.5659999999999998E-3</v>
      </c>
      <c r="BX22">
        <v>0.14385500000000001</v>
      </c>
      <c r="BY22">
        <v>1.007091</v>
      </c>
      <c r="BZ22">
        <v>84.339737</v>
      </c>
      <c r="CA22">
        <v>3.3500000000000001E-4</v>
      </c>
      <c r="CB22">
        <v>2.3486280000000002</v>
      </c>
      <c r="CC22">
        <v>-5.1E-5</v>
      </c>
      <c r="CD22">
        <v>1</v>
      </c>
      <c r="CE22">
        <v>2.4109430000000001</v>
      </c>
      <c r="CF22">
        <v>-5.7000000000000003E-5</v>
      </c>
      <c r="CG22">
        <v>1</v>
      </c>
      <c r="CH22">
        <v>0.60051900000000002</v>
      </c>
      <c r="CI22">
        <v>0.60216099999999995</v>
      </c>
      <c r="CJ22">
        <v>0.107265</v>
      </c>
      <c r="CK22">
        <v>0</v>
      </c>
      <c r="CL22" t="s">
        <v>283</v>
      </c>
      <c r="CM22" t="s">
        <v>201</v>
      </c>
      <c r="CN22" t="s">
        <v>202</v>
      </c>
      <c r="CO22" t="s">
        <v>203</v>
      </c>
      <c r="CP22" t="s">
        <v>204</v>
      </c>
      <c r="CQ22" t="s">
        <v>205</v>
      </c>
      <c r="CR22" t="s">
        <v>206</v>
      </c>
    </row>
    <row r="23" spans="1:96">
      <c r="A23">
        <v>4</v>
      </c>
      <c r="B23" s="3">
        <v>0.36710648148148151</v>
      </c>
      <c r="C23" s="1">
        <v>45133</v>
      </c>
      <c r="D23" t="s">
        <v>196</v>
      </c>
      <c r="E23" t="s">
        <v>197</v>
      </c>
      <c r="G23">
        <v>4</v>
      </c>
      <c r="J23">
        <v>0.10431699999999999</v>
      </c>
      <c r="K23">
        <v>2.9194469999999999</v>
      </c>
      <c r="L23">
        <v>0.100718</v>
      </c>
      <c r="M23">
        <v>1.369381</v>
      </c>
      <c r="N23">
        <v>2.2000839999999999</v>
      </c>
      <c r="O23">
        <v>2.1641210000000002</v>
      </c>
      <c r="P23">
        <v>3.4558010000000001</v>
      </c>
      <c r="Q23">
        <v>1.255717</v>
      </c>
      <c r="R23">
        <v>22.735771</v>
      </c>
      <c r="S23">
        <v>23.113588</v>
      </c>
      <c r="T23">
        <v>36.305861999999998</v>
      </c>
      <c r="U23">
        <v>0.44178600000000001</v>
      </c>
      <c r="V23" t="s">
        <v>284</v>
      </c>
      <c r="W23">
        <v>0</v>
      </c>
      <c r="X23">
        <v>0</v>
      </c>
      <c r="Y23">
        <v>0</v>
      </c>
      <c r="Z23">
        <v>108.35552199999999</v>
      </c>
      <c r="AA23">
        <v>289.94683800000001</v>
      </c>
      <c r="AB23">
        <v>0.62629199999999996</v>
      </c>
      <c r="AC23">
        <v>0.5</v>
      </c>
      <c r="AD23">
        <v>0.8</v>
      </c>
      <c r="AE23">
        <v>27.942505000000001</v>
      </c>
      <c r="AF23">
        <v>64.180000000000007</v>
      </c>
      <c r="AG23">
        <v>63.13</v>
      </c>
      <c r="AH23">
        <v>26.27</v>
      </c>
      <c r="AI23">
        <v>26.4</v>
      </c>
      <c r="AJ23">
        <v>95.19</v>
      </c>
      <c r="AK23">
        <v>156.4</v>
      </c>
      <c r="AL23">
        <v>147.80000000000001</v>
      </c>
      <c r="AM23">
        <v>5.5</v>
      </c>
      <c r="AN23">
        <v>112</v>
      </c>
      <c r="AO23">
        <v>4.0540000000000003</v>
      </c>
      <c r="AP23" s="3">
        <v>0.36603009259259256</v>
      </c>
      <c r="AQ23" s="1">
        <v>45133</v>
      </c>
      <c r="AR23">
        <v>-0.59</v>
      </c>
      <c r="AS23">
        <v>-2E-3</v>
      </c>
      <c r="AT23">
        <v>1E-3</v>
      </c>
      <c r="AU23">
        <v>-7.0000000000000001E-3</v>
      </c>
      <c r="AV23">
        <v>-5.7190000000000003</v>
      </c>
      <c r="AW23">
        <v>0.89600000000000002</v>
      </c>
      <c r="AX23">
        <v>-10.092000000000001</v>
      </c>
      <c r="AY23">
        <v>1</v>
      </c>
      <c r="AZ23">
        <v>150</v>
      </c>
      <c r="BA23">
        <v>5.0000000000000001E-3</v>
      </c>
      <c r="BB23">
        <v>2</v>
      </c>
      <c r="BC23">
        <v>0</v>
      </c>
      <c r="BD23" t="s">
        <v>200</v>
      </c>
      <c r="BE23">
        <v>7000</v>
      </c>
      <c r="BF23">
        <v>500</v>
      </c>
      <c r="BG23">
        <v>5</v>
      </c>
      <c r="BH23">
        <v>2</v>
      </c>
      <c r="BI23">
        <v>300</v>
      </c>
      <c r="BJ23">
        <v>300</v>
      </c>
      <c r="BK23">
        <v>300</v>
      </c>
      <c r="BL23">
        <v>288.67364500000002</v>
      </c>
      <c r="BM23">
        <v>25</v>
      </c>
      <c r="BN23">
        <v>-0.67700899999999997</v>
      </c>
      <c r="BO23">
        <v>293.38897700000001</v>
      </c>
      <c r="BP23">
        <v>288.97579999999999</v>
      </c>
      <c r="BQ23">
        <v>4.4131770000000001</v>
      </c>
      <c r="BR23">
        <v>2.4382429999999999</v>
      </c>
      <c r="BS23">
        <v>2.5093130000000001</v>
      </c>
      <c r="BT23">
        <v>1.5885530000000001</v>
      </c>
      <c r="BU23">
        <v>0.97171799999999997</v>
      </c>
      <c r="BV23">
        <v>0.25930500000000001</v>
      </c>
      <c r="BW23">
        <v>1.591E-3</v>
      </c>
      <c r="BX23">
        <v>0.150639</v>
      </c>
      <c r="BY23">
        <v>0.20618700000000001</v>
      </c>
      <c r="BZ23">
        <v>108.35552199999999</v>
      </c>
      <c r="CA23">
        <v>3.4000000000000002E-4</v>
      </c>
      <c r="CB23">
        <v>2.3486280000000002</v>
      </c>
      <c r="CC23">
        <v>-5.1E-5</v>
      </c>
      <c r="CD23">
        <v>1</v>
      </c>
      <c r="CE23">
        <v>2.4109430000000001</v>
      </c>
      <c r="CF23">
        <v>-5.7000000000000003E-5</v>
      </c>
      <c r="CG23">
        <v>1</v>
      </c>
      <c r="CH23">
        <v>0.60051900000000002</v>
      </c>
      <c r="CI23">
        <v>0.60216099999999995</v>
      </c>
      <c r="CJ23">
        <v>0.107265</v>
      </c>
      <c r="CK23">
        <v>0</v>
      </c>
      <c r="CL23" t="s">
        <v>284</v>
      </c>
      <c r="CM23" t="s">
        <v>201</v>
      </c>
      <c r="CN23" t="s">
        <v>202</v>
      </c>
      <c r="CO23" t="s">
        <v>203</v>
      </c>
      <c r="CP23" t="s">
        <v>204</v>
      </c>
      <c r="CQ23" t="s">
        <v>205</v>
      </c>
      <c r="CR23" t="s">
        <v>206</v>
      </c>
    </row>
    <row r="24" spans="1:96">
      <c r="A24">
        <v>1</v>
      </c>
      <c r="B24" s="3">
        <v>0.37921296296296297</v>
      </c>
      <c r="C24" s="1">
        <v>45133</v>
      </c>
      <c r="D24" t="s">
        <v>196</v>
      </c>
      <c r="E24" t="s">
        <v>197</v>
      </c>
      <c r="G24">
        <v>1</v>
      </c>
      <c r="J24">
        <v>0.172406</v>
      </c>
      <c r="K24">
        <v>2.9190779999999998</v>
      </c>
      <c r="L24">
        <v>0.16279099999999999</v>
      </c>
      <c r="M24">
        <v>1.9654339999999999</v>
      </c>
      <c r="N24">
        <v>2.097569</v>
      </c>
      <c r="O24">
        <v>2.0458569999999998</v>
      </c>
      <c r="P24">
        <v>3.2152150000000002</v>
      </c>
      <c r="Q24">
        <v>1.1176459999999999</v>
      </c>
      <c r="R24">
        <v>21.483833000000001</v>
      </c>
      <c r="S24">
        <v>22.026865000000001</v>
      </c>
      <c r="T24">
        <v>33.763427999999998</v>
      </c>
      <c r="U24">
        <v>0.44178600000000001</v>
      </c>
      <c r="V24" t="s">
        <v>285</v>
      </c>
      <c r="W24">
        <v>0</v>
      </c>
      <c r="X24">
        <v>0</v>
      </c>
      <c r="Y24">
        <v>0</v>
      </c>
      <c r="Z24">
        <v>110.346436</v>
      </c>
      <c r="AA24">
        <v>383.49563599999999</v>
      </c>
      <c r="AB24">
        <v>0.71226199999999995</v>
      </c>
      <c r="AC24">
        <v>0.5</v>
      </c>
      <c r="AD24">
        <v>0.8</v>
      </c>
      <c r="AE24">
        <v>58.388866</v>
      </c>
      <c r="AF24">
        <v>61.58</v>
      </c>
      <c r="AG24">
        <v>60.07</v>
      </c>
      <c r="AH24">
        <v>26.16</v>
      </c>
      <c r="AI24">
        <v>25.19</v>
      </c>
      <c r="AJ24">
        <v>95.23</v>
      </c>
      <c r="AK24">
        <v>156.4</v>
      </c>
      <c r="AL24">
        <v>148.1</v>
      </c>
      <c r="AM24">
        <v>5.3</v>
      </c>
      <c r="AN24">
        <v>205</v>
      </c>
      <c r="AO24">
        <v>4.0549999999999997</v>
      </c>
      <c r="AP24" s="3">
        <v>0.37906250000000002</v>
      </c>
      <c r="AQ24" s="1">
        <v>45133</v>
      </c>
      <c r="AR24">
        <v>-0.37</v>
      </c>
      <c r="AS24">
        <v>-3.0000000000000001E-3</v>
      </c>
      <c r="AT24">
        <v>0</v>
      </c>
      <c r="AU24">
        <v>-4.0000000000000001E-3</v>
      </c>
      <c r="AV24">
        <v>-1.756</v>
      </c>
      <c r="AW24">
        <v>-1.6060000000000001</v>
      </c>
      <c r="AX24">
        <v>-9.8260000000000005</v>
      </c>
      <c r="AY24">
        <v>1</v>
      </c>
      <c r="AZ24">
        <v>150</v>
      </c>
      <c r="BA24">
        <v>5.0000000000000001E-3</v>
      </c>
      <c r="BB24">
        <v>2</v>
      </c>
      <c r="BC24">
        <v>0</v>
      </c>
      <c r="BD24" t="s">
        <v>200</v>
      </c>
      <c r="BE24">
        <v>7000</v>
      </c>
      <c r="BF24">
        <v>500</v>
      </c>
      <c r="BG24">
        <v>5</v>
      </c>
      <c r="BH24">
        <v>2</v>
      </c>
      <c r="BI24">
        <v>300</v>
      </c>
      <c r="BJ24">
        <v>300</v>
      </c>
      <c r="BK24">
        <v>300</v>
      </c>
      <c r="BL24">
        <v>372.53344700000002</v>
      </c>
      <c r="BM24">
        <v>25</v>
      </c>
      <c r="BN24">
        <v>-7.5050270000000001</v>
      </c>
      <c r="BO24">
        <v>374.90200800000002</v>
      </c>
      <c r="BP24">
        <v>372.73111</v>
      </c>
      <c r="BQ24">
        <v>2.1708980000000002</v>
      </c>
      <c r="BR24">
        <v>2.4344739999999998</v>
      </c>
      <c r="BS24">
        <v>2.505617</v>
      </c>
      <c r="BT24">
        <v>1.588195</v>
      </c>
      <c r="BU24">
        <v>0.97278500000000001</v>
      </c>
      <c r="BV24">
        <v>0.26042399999999999</v>
      </c>
      <c r="BW24">
        <v>-1.1759E-2</v>
      </c>
      <c r="BX24">
        <v>0.171933</v>
      </c>
      <c r="BY24">
        <v>0.289024</v>
      </c>
      <c r="BZ24">
        <v>110.346436</v>
      </c>
      <c r="CA24">
        <v>3.4200000000000002E-4</v>
      </c>
      <c r="CB24">
        <v>2.3486280000000002</v>
      </c>
      <c r="CC24">
        <v>-5.1E-5</v>
      </c>
      <c r="CD24">
        <v>1</v>
      </c>
      <c r="CE24">
        <v>2.4109430000000001</v>
      </c>
      <c r="CF24">
        <v>-5.7000000000000003E-5</v>
      </c>
      <c r="CG24">
        <v>1</v>
      </c>
      <c r="CH24">
        <v>0.60051900000000002</v>
      </c>
      <c r="CI24">
        <v>0.60216099999999995</v>
      </c>
      <c r="CJ24">
        <v>0.107265</v>
      </c>
      <c r="CK24">
        <v>0</v>
      </c>
      <c r="CL24" t="s">
        <v>285</v>
      </c>
      <c r="CM24" t="s">
        <v>201</v>
      </c>
      <c r="CN24" t="s">
        <v>202</v>
      </c>
      <c r="CO24" t="s">
        <v>203</v>
      </c>
      <c r="CP24" t="s">
        <v>204</v>
      </c>
      <c r="CQ24" t="s">
        <v>205</v>
      </c>
      <c r="CR24" t="s">
        <v>206</v>
      </c>
    </row>
    <row r="25" spans="1:96">
      <c r="A25">
        <v>2</v>
      </c>
      <c r="B25" s="3">
        <v>0.37945601851851851</v>
      </c>
      <c r="C25" s="1">
        <v>45133</v>
      </c>
      <c r="D25" t="s">
        <v>196</v>
      </c>
      <c r="E25" t="s">
        <v>197</v>
      </c>
      <c r="G25">
        <v>2</v>
      </c>
      <c r="J25">
        <v>0.24162700000000001</v>
      </c>
      <c r="K25">
        <v>2.9192629999999999</v>
      </c>
      <c r="L25">
        <v>0.22315599999999999</v>
      </c>
      <c r="M25">
        <v>3.0978180000000002</v>
      </c>
      <c r="N25">
        <v>2.134862</v>
      </c>
      <c r="O25">
        <v>2.053404</v>
      </c>
      <c r="P25">
        <v>3.418199</v>
      </c>
      <c r="Q25">
        <v>1.283337</v>
      </c>
      <c r="R25">
        <v>21.563993</v>
      </c>
      <c r="S25">
        <v>22.419423999999999</v>
      </c>
      <c r="T25">
        <v>35.896495999999999</v>
      </c>
      <c r="U25">
        <v>0.44178600000000001</v>
      </c>
      <c r="V25" t="s">
        <v>286</v>
      </c>
      <c r="W25">
        <v>0</v>
      </c>
      <c r="X25">
        <v>0</v>
      </c>
      <c r="Y25">
        <v>0</v>
      </c>
      <c r="Z25">
        <v>102.77724499999999</v>
      </c>
      <c r="AA25">
        <v>313.833099</v>
      </c>
      <c r="AB25">
        <v>0.67251000000000005</v>
      </c>
      <c r="AC25">
        <v>0.5</v>
      </c>
      <c r="AD25">
        <v>0.8</v>
      </c>
      <c r="AE25">
        <v>339.66290300000003</v>
      </c>
      <c r="AF25">
        <v>62.49</v>
      </c>
      <c r="AG25">
        <v>60.11</v>
      </c>
      <c r="AH25">
        <v>26.21</v>
      </c>
      <c r="AI25">
        <v>26.22</v>
      </c>
      <c r="AJ25">
        <v>95.22</v>
      </c>
      <c r="AK25">
        <v>156.4</v>
      </c>
      <c r="AL25">
        <v>148.30000000000001</v>
      </c>
      <c r="AM25">
        <v>5.2</v>
      </c>
      <c r="AN25">
        <v>1263</v>
      </c>
      <c r="AO25">
        <v>4.0529999999999999</v>
      </c>
      <c r="AP25" s="3">
        <v>0.37906250000000002</v>
      </c>
      <c r="AQ25" s="1">
        <v>45133</v>
      </c>
      <c r="AR25">
        <v>-0.37</v>
      </c>
      <c r="AS25">
        <v>-1E-3</v>
      </c>
      <c r="AT25">
        <v>-4.0000000000000001E-3</v>
      </c>
      <c r="AU25">
        <v>-1.2E-2</v>
      </c>
      <c r="AV25">
        <v>-0.307</v>
      </c>
      <c r="AW25">
        <v>-8.3000000000000004E-2</v>
      </c>
      <c r="AX25">
        <v>2.7429999999999999</v>
      </c>
      <c r="AY25">
        <v>1</v>
      </c>
      <c r="AZ25">
        <v>150</v>
      </c>
      <c r="BA25">
        <v>5.0000000000000001E-3</v>
      </c>
      <c r="BB25">
        <v>2</v>
      </c>
      <c r="BC25">
        <v>0</v>
      </c>
      <c r="BD25" t="s">
        <v>200</v>
      </c>
      <c r="BE25">
        <v>7000</v>
      </c>
      <c r="BF25">
        <v>500</v>
      </c>
      <c r="BG25">
        <v>5</v>
      </c>
      <c r="BH25">
        <v>2</v>
      </c>
      <c r="BI25">
        <v>300</v>
      </c>
      <c r="BJ25">
        <v>300</v>
      </c>
      <c r="BK25">
        <v>300</v>
      </c>
      <c r="BL25">
        <v>296.84509300000002</v>
      </c>
      <c r="BM25">
        <v>25</v>
      </c>
      <c r="BN25">
        <v>-11.782495000000001</v>
      </c>
      <c r="BO25">
        <v>296.475281</v>
      </c>
      <c r="BP25">
        <v>296.93338</v>
      </c>
      <c r="BQ25">
        <v>-0.45809899999999998</v>
      </c>
      <c r="BR25">
        <v>2.4345129999999999</v>
      </c>
      <c r="BS25">
        <v>2.5068060000000001</v>
      </c>
      <c r="BT25">
        <v>1.588374</v>
      </c>
      <c r="BU25">
        <v>0.97319</v>
      </c>
      <c r="BV25">
        <v>0.25990000000000002</v>
      </c>
      <c r="BW25">
        <v>4.6E-5</v>
      </c>
      <c r="BX25">
        <v>0.17503299999999999</v>
      </c>
      <c r="BY25">
        <v>1.227101</v>
      </c>
      <c r="BZ25">
        <v>102.77724499999999</v>
      </c>
      <c r="CA25">
        <v>3.4000000000000002E-4</v>
      </c>
      <c r="CB25">
        <v>2.3486280000000002</v>
      </c>
      <c r="CC25">
        <v>-5.1E-5</v>
      </c>
      <c r="CD25">
        <v>1</v>
      </c>
      <c r="CE25">
        <v>2.4109430000000001</v>
      </c>
      <c r="CF25">
        <v>-5.7000000000000003E-5</v>
      </c>
      <c r="CG25">
        <v>1</v>
      </c>
      <c r="CH25">
        <v>0.60051900000000002</v>
      </c>
      <c r="CI25">
        <v>0.60216099999999995</v>
      </c>
      <c r="CJ25">
        <v>0.107265</v>
      </c>
      <c r="CK25">
        <v>0</v>
      </c>
      <c r="CL25" t="s">
        <v>286</v>
      </c>
      <c r="CM25" t="s">
        <v>201</v>
      </c>
      <c r="CN25" t="s">
        <v>202</v>
      </c>
      <c r="CO25" t="s">
        <v>203</v>
      </c>
      <c r="CP25" t="s">
        <v>204</v>
      </c>
      <c r="CQ25" t="s">
        <v>205</v>
      </c>
      <c r="CR25" t="s">
        <v>206</v>
      </c>
    </row>
    <row r="26" spans="1:96">
      <c r="A26">
        <v>3</v>
      </c>
      <c r="B26" s="3">
        <v>0.37958333333333333</v>
      </c>
      <c r="C26" s="1">
        <v>45133</v>
      </c>
      <c r="D26" t="s">
        <v>196</v>
      </c>
      <c r="E26" t="s">
        <v>197</v>
      </c>
      <c r="G26">
        <v>3</v>
      </c>
      <c r="J26">
        <v>0.23361999999999999</v>
      </c>
      <c r="K26">
        <v>2.9194819999999999</v>
      </c>
      <c r="L26">
        <v>0.216311</v>
      </c>
      <c r="M26">
        <v>3.2018260000000001</v>
      </c>
      <c r="N26">
        <v>2.1515200000000001</v>
      </c>
      <c r="O26">
        <v>2.0673590000000002</v>
      </c>
      <c r="P26">
        <v>3.519021</v>
      </c>
      <c r="Q26">
        <v>1.367502</v>
      </c>
      <c r="R26">
        <v>21.710992999999998</v>
      </c>
      <c r="S26">
        <v>22.594833000000001</v>
      </c>
      <c r="T26">
        <v>36.956069999999997</v>
      </c>
      <c r="U26">
        <v>0.44178600000000001</v>
      </c>
      <c r="V26" t="s">
        <v>287</v>
      </c>
      <c r="W26">
        <v>0</v>
      </c>
      <c r="X26">
        <v>0</v>
      </c>
      <c r="Y26">
        <v>0</v>
      </c>
      <c r="Z26">
        <v>155.20048499999999</v>
      </c>
      <c r="AA26">
        <v>338.95022599999999</v>
      </c>
      <c r="AB26">
        <v>0.54211399999999998</v>
      </c>
      <c r="AC26">
        <v>0.5</v>
      </c>
      <c r="AD26">
        <v>0.8</v>
      </c>
      <c r="AE26">
        <v>244.90841699999999</v>
      </c>
      <c r="AF26">
        <v>62.87</v>
      </c>
      <c r="AG26">
        <v>60.41</v>
      </c>
      <c r="AH26">
        <v>26.24</v>
      </c>
      <c r="AI26">
        <v>26.71</v>
      </c>
      <c r="AJ26">
        <v>95.22</v>
      </c>
      <c r="AK26">
        <v>156.4</v>
      </c>
      <c r="AL26">
        <v>148.1</v>
      </c>
      <c r="AM26">
        <v>5.4</v>
      </c>
      <c r="AN26">
        <v>1129</v>
      </c>
      <c r="AO26">
        <v>4.0519999999999996</v>
      </c>
      <c r="AP26" s="3">
        <v>0.37906250000000002</v>
      </c>
      <c r="AQ26" s="1">
        <v>45133</v>
      </c>
      <c r="AR26">
        <v>-0.37</v>
      </c>
      <c r="AS26">
        <v>1E-3</v>
      </c>
      <c r="AT26">
        <v>3.0000000000000001E-3</v>
      </c>
      <c r="AU26">
        <v>-9999</v>
      </c>
      <c r="AV26">
        <v>3.9969999999999999</v>
      </c>
      <c r="AW26">
        <v>-0.73499999999999999</v>
      </c>
      <c r="AX26">
        <v>-9999</v>
      </c>
      <c r="AY26">
        <v>1</v>
      </c>
      <c r="AZ26">
        <v>150</v>
      </c>
      <c r="BA26">
        <v>5.0000000000000001E-3</v>
      </c>
      <c r="BB26">
        <v>2</v>
      </c>
      <c r="BC26">
        <v>0</v>
      </c>
      <c r="BD26" t="s">
        <v>200</v>
      </c>
      <c r="BE26">
        <v>7000</v>
      </c>
      <c r="BF26">
        <v>500</v>
      </c>
      <c r="BG26">
        <v>5</v>
      </c>
      <c r="BH26">
        <v>2</v>
      </c>
      <c r="BI26">
        <v>300</v>
      </c>
      <c r="BJ26">
        <v>300</v>
      </c>
      <c r="BK26">
        <v>300</v>
      </c>
      <c r="BL26">
        <v>321.88903800000003</v>
      </c>
      <c r="BM26">
        <v>25</v>
      </c>
      <c r="BN26">
        <v>-11.93817</v>
      </c>
      <c r="BO26">
        <v>321.02502399999997</v>
      </c>
      <c r="BP26">
        <v>321.82720899999998</v>
      </c>
      <c r="BQ26">
        <v>-0.80218500000000004</v>
      </c>
      <c r="BR26">
        <v>2.434885</v>
      </c>
      <c r="BS26">
        <v>2.5073029999999998</v>
      </c>
      <c r="BT26">
        <v>1.588587</v>
      </c>
      <c r="BU26">
        <v>0.97258500000000003</v>
      </c>
      <c r="BV26">
        <v>0.259602</v>
      </c>
      <c r="BW26">
        <v>5.6779999999999999E-3</v>
      </c>
      <c r="BX26">
        <v>0.176592</v>
      </c>
      <c r="BY26">
        <v>1.108919</v>
      </c>
      <c r="BZ26">
        <v>155.20048499999999</v>
      </c>
      <c r="CA26">
        <v>3.4299999999999999E-4</v>
      </c>
      <c r="CB26">
        <v>2.3486280000000002</v>
      </c>
      <c r="CC26">
        <v>-5.1E-5</v>
      </c>
      <c r="CD26">
        <v>1</v>
      </c>
      <c r="CE26">
        <v>2.4109430000000001</v>
      </c>
      <c r="CF26">
        <v>-5.7000000000000003E-5</v>
      </c>
      <c r="CG26">
        <v>1</v>
      </c>
      <c r="CH26">
        <v>0.60051900000000002</v>
      </c>
      <c r="CI26">
        <v>0.60216099999999995</v>
      </c>
      <c r="CJ26">
        <v>0.107265</v>
      </c>
      <c r="CK26">
        <v>0</v>
      </c>
      <c r="CL26" t="s">
        <v>287</v>
      </c>
      <c r="CM26" t="s">
        <v>201</v>
      </c>
      <c r="CN26" t="s">
        <v>202</v>
      </c>
      <c r="CO26" t="s">
        <v>203</v>
      </c>
      <c r="CP26" t="s">
        <v>204</v>
      </c>
      <c r="CQ26" t="s">
        <v>205</v>
      </c>
      <c r="CR26" t="s">
        <v>206</v>
      </c>
    </row>
    <row r="27" spans="1:96">
      <c r="A27">
        <v>4</v>
      </c>
      <c r="B27" s="3">
        <v>0.37972222222222224</v>
      </c>
      <c r="C27" s="1">
        <v>45133</v>
      </c>
      <c r="D27" t="s">
        <v>196</v>
      </c>
      <c r="E27" t="s">
        <v>197</v>
      </c>
      <c r="G27">
        <v>4</v>
      </c>
      <c r="J27">
        <v>0.20391300000000001</v>
      </c>
      <c r="K27">
        <v>2.9186619999999999</v>
      </c>
      <c r="L27">
        <v>0.19059699999999999</v>
      </c>
      <c r="M27">
        <v>3.2610790000000001</v>
      </c>
      <c r="N27">
        <v>2.1520589999999999</v>
      </c>
      <c r="O27">
        <v>2.0662970000000001</v>
      </c>
      <c r="P27">
        <v>3.7307510000000002</v>
      </c>
      <c r="Q27">
        <v>1.578692</v>
      </c>
      <c r="R27">
        <v>21.702632999999999</v>
      </c>
      <c r="S27">
        <v>22.603403</v>
      </c>
      <c r="T27">
        <v>39.184649999999998</v>
      </c>
      <c r="U27">
        <v>0.44178600000000001</v>
      </c>
      <c r="V27" t="s">
        <v>288</v>
      </c>
      <c r="W27">
        <v>0</v>
      </c>
      <c r="X27">
        <v>0</v>
      </c>
      <c r="Y27">
        <v>0</v>
      </c>
      <c r="Z27">
        <v>188.41159099999999</v>
      </c>
      <c r="AA27">
        <v>318.65441900000002</v>
      </c>
      <c r="AB27">
        <v>0.40872799999999998</v>
      </c>
      <c r="AC27">
        <v>0.5</v>
      </c>
      <c r="AD27">
        <v>0.8</v>
      </c>
      <c r="AE27">
        <v>220.266525</v>
      </c>
      <c r="AF27">
        <v>62.77</v>
      </c>
      <c r="AG27">
        <v>60.27</v>
      </c>
      <c r="AH27">
        <v>26.27</v>
      </c>
      <c r="AI27">
        <v>27.71</v>
      </c>
      <c r="AJ27">
        <v>95.21</v>
      </c>
      <c r="AK27">
        <v>156.30000000000001</v>
      </c>
      <c r="AL27">
        <v>148.1</v>
      </c>
      <c r="AM27">
        <v>5.3</v>
      </c>
      <c r="AN27">
        <v>1347</v>
      </c>
      <c r="AO27">
        <v>4.0519999999999996</v>
      </c>
      <c r="AP27" s="3">
        <v>0.37906250000000002</v>
      </c>
      <c r="AQ27" s="1">
        <v>45133</v>
      </c>
      <c r="AR27">
        <v>-0.37</v>
      </c>
      <c r="AS27">
        <v>3.0000000000000001E-3</v>
      </c>
      <c r="AT27">
        <v>1E-3</v>
      </c>
      <c r="AU27">
        <v>-5.0000000000000001E-3</v>
      </c>
      <c r="AV27">
        <v>-5.0000000000000001E-3</v>
      </c>
      <c r="AW27">
        <v>2.1549999999999998</v>
      </c>
      <c r="AX27">
        <v>10.802</v>
      </c>
      <c r="AY27">
        <v>1</v>
      </c>
      <c r="AZ27">
        <v>150</v>
      </c>
      <c r="BA27">
        <v>5.0000000000000001E-3</v>
      </c>
      <c r="BB27">
        <v>2</v>
      </c>
      <c r="BC27">
        <v>0</v>
      </c>
      <c r="BD27" t="s">
        <v>200</v>
      </c>
      <c r="BE27">
        <v>7000</v>
      </c>
      <c r="BF27">
        <v>500</v>
      </c>
      <c r="BG27">
        <v>5</v>
      </c>
      <c r="BH27">
        <v>2</v>
      </c>
      <c r="BI27">
        <v>300</v>
      </c>
      <c r="BJ27">
        <v>300</v>
      </c>
      <c r="BK27">
        <v>300</v>
      </c>
      <c r="BL27">
        <v>302.800659</v>
      </c>
      <c r="BM27">
        <v>25</v>
      </c>
      <c r="BN27">
        <v>-11.713708</v>
      </c>
      <c r="BO27">
        <v>300.53436299999998</v>
      </c>
      <c r="BP27">
        <v>301.853363</v>
      </c>
      <c r="BQ27">
        <v>-1.319</v>
      </c>
      <c r="BR27">
        <v>2.4346969999999999</v>
      </c>
      <c r="BS27">
        <v>2.507158</v>
      </c>
      <c r="BT27">
        <v>1.587793</v>
      </c>
      <c r="BU27">
        <v>0.97264899999999999</v>
      </c>
      <c r="BV27">
        <v>0.25927099999999997</v>
      </c>
      <c r="BW27">
        <v>1.7479000000000001E-2</v>
      </c>
      <c r="BX27">
        <v>0.178339</v>
      </c>
      <c r="BY27">
        <v>1.3021320000000001</v>
      </c>
      <c r="BZ27">
        <v>188.41159099999999</v>
      </c>
      <c r="CA27">
        <v>3.4000000000000002E-4</v>
      </c>
      <c r="CB27">
        <v>2.3486280000000002</v>
      </c>
      <c r="CC27">
        <v>-5.1E-5</v>
      </c>
      <c r="CD27">
        <v>1</v>
      </c>
      <c r="CE27">
        <v>2.4109430000000001</v>
      </c>
      <c r="CF27">
        <v>-5.7000000000000003E-5</v>
      </c>
      <c r="CG27">
        <v>1</v>
      </c>
      <c r="CH27">
        <v>0.60051900000000002</v>
      </c>
      <c r="CI27">
        <v>0.60216099999999995</v>
      </c>
      <c r="CJ27">
        <v>0.107265</v>
      </c>
      <c r="CK27">
        <v>0</v>
      </c>
      <c r="CL27" t="s">
        <v>288</v>
      </c>
      <c r="CM27" t="s">
        <v>201</v>
      </c>
      <c r="CN27" t="s">
        <v>202</v>
      </c>
      <c r="CO27" t="s">
        <v>203</v>
      </c>
      <c r="CP27" t="s">
        <v>204</v>
      </c>
      <c r="CQ27" t="s">
        <v>205</v>
      </c>
      <c r="CR27" t="s">
        <v>206</v>
      </c>
    </row>
    <row r="28" spans="1:96">
      <c r="A28">
        <v>1</v>
      </c>
      <c r="B28" s="3">
        <v>0.38592592592592595</v>
      </c>
      <c r="C28" s="1">
        <v>45133</v>
      </c>
      <c r="D28" t="s">
        <v>196</v>
      </c>
      <c r="E28" t="s">
        <v>197</v>
      </c>
      <c r="G28">
        <v>1</v>
      </c>
      <c r="J28">
        <v>0.32096799999999998</v>
      </c>
      <c r="K28">
        <v>2.91832</v>
      </c>
      <c r="L28">
        <v>0.28916399999999998</v>
      </c>
      <c r="M28">
        <v>3.7441110000000002</v>
      </c>
      <c r="N28">
        <v>2.2034799999999999</v>
      </c>
      <c r="O28">
        <v>2.1050019999999998</v>
      </c>
      <c r="P28">
        <v>3.4004789999999998</v>
      </c>
      <c r="Q28">
        <v>1.196998</v>
      </c>
      <c r="R28">
        <v>22.100163999999999</v>
      </c>
      <c r="S28">
        <v>23.134074999999999</v>
      </c>
      <c r="T28">
        <v>35.701217999999997</v>
      </c>
      <c r="U28">
        <v>0.44178600000000001</v>
      </c>
      <c r="V28" t="s">
        <v>289</v>
      </c>
      <c r="W28">
        <v>0</v>
      </c>
      <c r="X28">
        <v>0</v>
      </c>
      <c r="Y28">
        <v>0</v>
      </c>
      <c r="Z28">
        <v>157.01078799999999</v>
      </c>
      <c r="AA28">
        <v>329.57476800000001</v>
      </c>
      <c r="AB28">
        <v>0.52359599999999995</v>
      </c>
      <c r="AC28">
        <v>0.5</v>
      </c>
      <c r="AD28">
        <v>0.8</v>
      </c>
      <c r="AE28">
        <v>234.93985000000001</v>
      </c>
      <c r="AF28">
        <v>63.78</v>
      </c>
      <c r="AG28">
        <v>60.93</v>
      </c>
      <c r="AH28">
        <v>26.4</v>
      </c>
      <c r="AI28">
        <v>26.13</v>
      </c>
      <c r="AJ28">
        <v>95.25</v>
      </c>
      <c r="AK28">
        <v>156.30000000000001</v>
      </c>
      <c r="AL28">
        <v>148.1</v>
      </c>
      <c r="AM28">
        <v>5.2</v>
      </c>
      <c r="AN28">
        <v>1122</v>
      </c>
      <c r="AO28">
        <v>4.0529999999999999</v>
      </c>
      <c r="AP28" s="3">
        <v>0.38578703703703704</v>
      </c>
      <c r="AQ28" s="1">
        <v>45133</v>
      </c>
      <c r="AR28">
        <v>-0.4</v>
      </c>
      <c r="AS28">
        <v>-1E-3</v>
      </c>
      <c r="AT28">
        <v>1E-3</v>
      </c>
      <c r="AU28">
        <v>0.02</v>
      </c>
      <c r="AV28">
        <v>-1.083</v>
      </c>
      <c r="AW28">
        <v>-2.4039999999999999</v>
      </c>
      <c r="AX28">
        <v>-5.6000000000000001E-2</v>
      </c>
      <c r="AY28">
        <v>1</v>
      </c>
      <c r="AZ28">
        <v>150</v>
      </c>
      <c r="BA28">
        <v>5.0000000000000001E-3</v>
      </c>
      <c r="BB28">
        <v>2</v>
      </c>
      <c r="BC28">
        <v>0</v>
      </c>
      <c r="BD28" t="s">
        <v>200</v>
      </c>
      <c r="BE28">
        <v>7000</v>
      </c>
      <c r="BF28">
        <v>500</v>
      </c>
      <c r="BG28">
        <v>5</v>
      </c>
      <c r="BH28">
        <v>2</v>
      </c>
      <c r="BI28">
        <v>300</v>
      </c>
      <c r="BJ28">
        <v>300</v>
      </c>
      <c r="BK28">
        <v>300</v>
      </c>
      <c r="BL28">
        <v>322.13473499999998</v>
      </c>
      <c r="BM28">
        <v>25</v>
      </c>
      <c r="BN28">
        <v>-5.0685180000000001</v>
      </c>
      <c r="BO28">
        <v>323.94220000000001</v>
      </c>
      <c r="BP28">
        <v>322.30496199999999</v>
      </c>
      <c r="BQ28">
        <v>1.637238</v>
      </c>
      <c r="BR28">
        <v>2.4354870000000002</v>
      </c>
      <c r="BS28">
        <v>2.5085009999999999</v>
      </c>
      <c r="BT28">
        <v>1.5874630000000001</v>
      </c>
      <c r="BU28">
        <v>0.972804</v>
      </c>
      <c r="BV28">
        <v>0.25794299999999998</v>
      </c>
      <c r="BW28">
        <v>-3.3249999999999998E-3</v>
      </c>
      <c r="BX28">
        <v>0.18842200000000001</v>
      </c>
      <c r="BY28">
        <v>1.102133</v>
      </c>
      <c r="BZ28">
        <v>157.01078799999999</v>
      </c>
      <c r="CA28">
        <v>3.4000000000000002E-4</v>
      </c>
      <c r="CB28">
        <v>2.3486280000000002</v>
      </c>
      <c r="CC28">
        <v>-5.1E-5</v>
      </c>
      <c r="CD28">
        <v>1</v>
      </c>
      <c r="CE28">
        <v>2.4109430000000001</v>
      </c>
      <c r="CF28">
        <v>-5.7000000000000003E-5</v>
      </c>
      <c r="CG28">
        <v>1</v>
      </c>
      <c r="CH28">
        <v>0.60051900000000002</v>
      </c>
      <c r="CI28">
        <v>0.60216099999999995</v>
      </c>
      <c r="CJ28">
        <v>0.107265</v>
      </c>
      <c r="CK28">
        <v>0</v>
      </c>
      <c r="CL28" t="s">
        <v>289</v>
      </c>
      <c r="CM28" t="s">
        <v>201</v>
      </c>
      <c r="CN28" t="s">
        <v>202</v>
      </c>
      <c r="CO28" t="s">
        <v>203</v>
      </c>
      <c r="CP28" t="s">
        <v>204</v>
      </c>
      <c r="CQ28" t="s">
        <v>205</v>
      </c>
      <c r="CR28" t="s">
        <v>206</v>
      </c>
    </row>
    <row r="29" spans="1:96">
      <c r="A29">
        <v>2</v>
      </c>
      <c r="B29" s="3">
        <v>0.38615740740740739</v>
      </c>
      <c r="C29" s="1">
        <v>45133</v>
      </c>
      <c r="D29" t="s">
        <v>196</v>
      </c>
      <c r="E29" t="s">
        <v>197</v>
      </c>
      <c r="G29">
        <v>2</v>
      </c>
      <c r="J29">
        <v>0.29773500000000003</v>
      </c>
      <c r="K29">
        <v>2.91832</v>
      </c>
      <c r="L29">
        <v>0.27017099999999999</v>
      </c>
      <c r="M29">
        <v>4.7986209999999998</v>
      </c>
      <c r="N29">
        <v>2.2254890000000001</v>
      </c>
      <c r="O29">
        <v>2.099329</v>
      </c>
      <c r="P29">
        <v>3.862857</v>
      </c>
      <c r="Q29">
        <v>1.6373679999999999</v>
      </c>
      <c r="R29">
        <v>22.044592000000002</v>
      </c>
      <c r="S29">
        <v>23.369378999999999</v>
      </c>
      <c r="T29">
        <v>40.563026000000001</v>
      </c>
      <c r="U29">
        <v>0.44178600000000001</v>
      </c>
      <c r="V29" t="s">
        <v>290</v>
      </c>
      <c r="W29">
        <v>0</v>
      </c>
      <c r="X29">
        <v>0</v>
      </c>
      <c r="Y29">
        <v>0</v>
      </c>
      <c r="Z29">
        <v>139.921539</v>
      </c>
      <c r="AA29">
        <v>248.64259300000001</v>
      </c>
      <c r="AB29">
        <v>0.43725799999999998</v>
      </c>
      <c r="AC29">
        <v>0.5</v>
      </c>
      <c r="AD29">
        <v>0.8</v>
      </c>
      <c r="AE29">
        <v>156.00843800000001</v>
      </c>
      <c r="AF29">
        <v>64.099999999999994</v>
      </c>
      <c r="AG29">
        <v>60.47</v>
      </c>
      <c r="AH29">
        <v>26.48</v>
      </c>
      <c r="AI29">
        <v>28.31</v>
      </c>
      <c r="AJ29">
        <v>95.23</v>
      </c>
      <c r="AK29">
        <v>156.30000000000001</v>
      </c>
      <c r="AL29">
        <v>148.1</v>
      </c>
      <c r="AM29">
        <v>5.2</v>
      </c>
      <c r="AN29">
        <v>892</v>
      </c>
      <c r="AO29">
        <v>4.0519999999999996</v>
      </c>
      <c r="AP29" s="3">
        <v>0.38578703703703704</v>
      </c>
      <c r="AQ29" s="1">
        <v>45133</v>
      </c>
      <c r="AR29">
        <v>-0.4</v>
      </c>
      <c r="AS29">
        <v>-1E-3</v>
      </c>
      <c r="AT29">
        <v>1E-3</v>
      </c>
      <c r="AU29">
        <v>5.0000000000000001E-3</v>
      </c>
      <c r="AV29">
        <v>0.54500000000000004</v>
      </c>
      <c r="AW29">
        <v>2.766</v>
      </c>
      <c r="AX29">
        <v>6.55</v>
      </c>
      <c r="AY29">
        <v>1</v>
      </c>
      <c r="AZ29">
        <v>150</v>
      </c>
      <c r="BA29">
        <v>5.0000000000000001E-3</v>
      </c>
      <c r="BB29">
        <v>2</v>
      </c>
      <c r="BC29">
        <v>0</v>
      </c>
      <c r="BD29" t="s">
        <v>200</v>
      </c>
      <c r="BE29">
        <v>7000</v>
      </c>
      <c r="BF29">
        <v>500</v>
      </c>
      <c r="BG29">
        <v>5</v>
      </c>
      <c r="BH29">
        <v>2</v>
      </c>
      <c r="BI29">
        <v>300</v>
      </c>
      <c r="BJ29">
        <v>300</v>
      </c>
      <c r="BK29">
        <v>300</v>
      </c>
      <c r="BL29">
        <v>235.38887</v>
      </c>
      <c r="BM29">
        <v>25</v>
      </c>
      <c r="BN29">
        <v>-9.164968</v>
      </c>
      <c r="BO29">
        <v>235.70216400000001</v>
      </c>
      <c r="BP29">
        <v>235.497208</v>
      </c>
      <c r="BQ29">
        <v>0.204956</v>
      </c>
      <c r="BR29">
        <v>2.4348900000000002</v>
      </c>
      <c r="BS29">
        <v>2.5089000000000001</v>
      </c>
      <c r="BT29">
        <v>1.5874630000000001</v>
      </c>
      <c r="BU29">
        <v>0.97277599999999997</v>
      </c>
      <c r="BV29">
        <v>0.257081</v>
      </c>
      <c r="BW29">
        <v>2.2244E-2</v>
      </c>
      <c r="BX29">
        <v>0.191638</v>
      </c>
      <c r="BY29">
        <v>0.89833499999999999</v>
      </c>
      <c r="BZ29">
        <v>139.921539</v>
      </c>
      <c r="CA29">
        <v>3.3799999999999998E-4</v>
      </c>
      <c r="CB29">
        <v>2.3486280000000002</v>
      </c>
      <c r="CC29">
        <v>-5.1E-5</v>
      </c>
      <c r="CD29">
        <v>1</v>
      </c>
      <c r="CE29">
        <v>2.4109430000000001</v>
      </c>
      <c r="CF29">
        <v>-5.7000000000000003E-5</v>
      </c>
      <c r="CG29">
        <v>1</v>
      </c>
      <c r="CH29">
        <v>0.60051900000000002</v>
      </c>
      <c r="CI29">
        <v>0.60216099999999995</v>
      </c>
      <c r="CJ29">
        <v>0.107265</v>
      </c>
      <c r="CK29">
        <v>0</v>
      </c>
      <c r="CL29" t="s">
        <v>290</v>
      </c>
      <c r="CM29" t="s">
        <v>201</v>
      </c>
      <c r="CN29" t="s">
        <v>202</v>
      </c>
      <c r="CO29" t="s">
        <v>203</v>
      </c>
      <c r="CP29" t="s">
        <v>204</v>
      </c>
      <c r="CQ29" t="s">
        <v>205</v>
      </c>
      <c r="CR29" t="s">
        <v>206</v>
      </c>
    </row>
    <row r="30" spans="1:96">
      <c r="A30">
        <v>3</v>
      </c>
      <c r="B30" s="3">
        <v>0.38633101851851853</v>
      </c>
      <c r="C30" s="1">
        <v>45133</v>
      </c>
      <c r="D30" t="s">
        <v>196</v>
      </c>
      <c r="E30" t="s">
        <v>197</v>
      </c>
      <c r="G30">
        <v>3</v>
      </c>
      <c r="J30">
        <v>0.36694199999999999</v>
      </c>
      <c r="K30">
        <v>2.9182939999999999</v>
      </c>
      <c r="L30">
        <v>0.325957</v>
      </c>
      <c r="M30">
        <v>4.2242730000000002</v>
      </c>
      <c r="N30">
        <v>2.2635269999999998</v>
      </c>
      <c r="O30">
        <v>2.152498</v>
      </c>
      <c r="P30">
        <v>3.4607160000000001</v>
      </c>
      <c r="Q30">
        <v>1.1971890000000001</v>
      </c>
      <c r="R30">
        <v>22.600660000000001</v>
      </c>
      <c r="S30">
        <v>23.766434</v>
      </c>
      <c r="T30">
        <v>36.336596999999998</v>
      </c>
      <c r="U30">
        <v>0.44178600000000001</v>
      </c>
      <c r="V30" t="s">
        <v>291</v>
      </c>
      <c r="W30">
        <v>0</v>
      </c>
      <c r="X30">
        <v>0</v>
      </c>
      <c r="Y30">
        <v>0</v>
      </c>
      <c r="Z30">
        <v>100.73447400000001</v>
      </c>
      <c r="AA30">
        <v>306.49063100000001</v>
      </c>
      <c r="AB30">
        <v>0.67132899999999995</v>
      </c>
      <c r="AC30">
        <v>0.5</v>
      </c>
      <c r="AD30">
        <v>0.8</v>
      </c>
      <c r="AE30">
        <v>345.37777699999998</v>
      </c>
      <c r="AF30">
        <v>64.989999999999995</v>
      </c>
      <c r="AG30">
        <v>61.81</v>
      </c>
      <c r="AH30">
        <v>26.54</v>
      </c>
      <c r="AI30">
        <v>26.43</v>
      </c>
      <c r="AJ30">
        <v>95.24</v>
      </c>
      <c r="AK30">
        <v>156.30000000000001</v>
      </c>
      <c r="AL30">
        <v>148</v>
      </c>
      <c r="AM30">
        <v>5.3</v>
      </c>
      <c r="AN30">
        <v>1286</v>
      </c>
      <c r="AO30">
        <v>4.05</v>
      </c>
      <c r="AP30" s="3">
        <v>0.38578703703703704</v>
      </c>
      <c r="AQ30" s="1">
        <v>45133</v>
      </c>
      <c r="AR30">
        <v>-0.4</v>
      </c>
      <c r="AS30">
        <v>2E-3</v>
      </c>
      <c r="AT30">
        <v>1E-3</v>
      </c>
      <c r="AU30">
        <v>-4.0000000000000001E-3</v>
      </c>
      <c r="AV30">
        <v>-1.194</v>
      </c>
      <c r="AW30">
        <v>-2.3879999999999999</v>
      </c>
      <c r="AX30">
        <v>8.1419999999999995</v>
      </c>
      <c r="AY30">
        <v>1</v>
      </c>
      <c r="AZ30">
        <v>150</v>
      </c>
      <c r="BA30">
        <v>5.0000000000000001E-3</v>
      </c>
      <c r="BB30">
        <v>2</v>
      </c>
      <c r="BC30">
        <v>0</v>
      </c>
      <c r="BD30" t="s">
        <v>200</v>
      </c>
      <c r="BE30">
        <v>7000</v>
      </c>
      <c r="BF30">
        <v>500</v>
      </c>
      <c r="BG30">
        <v>5</v>
      </c>
      <c r="BH30">
        <v>2</v>
      </c>
      <c r="BI30">
        <v>300</v>
      </c>
      <c r="BJ30">
        <v>300</v>
      </c>
      <c r="BK30">
        <v>300</v>
      </c>
      <c r="BL30">
        <v>284.22045900000001</v>
      </c>
      <c r="BM30">
        <v>25</v>
      </c>
      <c r="BN30">
        <v>-15.500615</v>
      </c>
      <c r="BO30">
        <v>283.42794800000001</v>
      </c>
      <c r="BP30">
        <v>284.25796500000001</v>
      </c>
      <c r="BQ30">
        <v>-0.830017</v>
      </c>
      <c r="BR30">
        <v>2.4365380000000001</v>
      </c>
      <c r="BS30">
        <v>2.5100699999999998</v>
      </c>
      <c r="BT30">
        <v>1.5874379999999999</v>
      </c>
      <c r="BU30">
        <v>0.97252799999999995</v>
      </c>
      <c r="BV30">
        <v>0.25655</v>
      </c>
      <c r="BW30">
        <v>-1.3829999999999999E-3</v>
      </c>
      <c r="BX30">
        <v>0.19377800000000001</v>
      </c>
      <c r="BY30">
        <v>1.2479439999999999</v>
      </c>
      <c r="BZ30">
        <v>100.73447400000001</v>
      </c>
      <c r="CA30">
        <v>3.4699999999999998E-4</v>
      </c>
      <c r="CB30">
        <v>2.3486280000000002</v>
      </c>
      <c r="CC30">
        <v>-5.1E-5</v>
      </c>
      <c r="CD30">
        <v>1</v>
      </c>
      <c r="CE30">
        <v>2.4109430000000001</v>
      </c>
      <c r="CF30">
        <v>-5.7000000000000003E-5</v>
      </c>
      <c r="CG30">
        <v>1</v>
      </c>
      <c r="CH30">
        <v>0.60051900000000002</v>
      </c>
      <c r="CI30">
        <v>0.60216099999999995</v>
      </c>
      <c r="CJ30">
        <v>0.107265</v>
      </c>
      <c r="CK30">
        <v>0</v>
      </c>
      <c r="CL30" t="s">
        <v>291</v>
      </c>
      <c r="CM30" t="s">
        <v>201</v>
      </c>
      <c r="CN30" t="s">
        <v>202</v>
      </c>
      <c r="CO30" t="s">
        <v>203</v>
      </c>
      <c r="CP30" t="s">
        <v>204</v>
      </c>
      <c r="CQ30" t="s">
        <v>205</v>
      </c>
      <c r="CR30" t="s">
        <v>206</v>
      </c>
    </row>
    <row r="31" spans="1:96">
      <c r="A31">
        <v>4</v>
      </c>
      <c r="B31" s="3">
        <v>0.38648148148148148</v>
      </c>
      <c r="C31" s="1">
        <v>45133</v>
      </c>
      <c r="D31" t="s">
        <v>196</v>
      </c>
      <c r="E31" t="s">
        <v>197</v>
      </c>
      <c r="G31">
        <v>4</v>
      </c>
      <c r="J31">
        <v>0.249949</v>
      </c>
      <c r="K31">
        <v>2.9193880000000001</v>
      </c>
      <c r="L31">
        <v>0.230237</v>
      </c>
      <c r="M31">
        <v>2.911556</v>
      </c>
      <c r="N31">
        <v>2.261177</v>
      </c>
      <c r="O31">
        <v>2.1847159999999999</v>
      </c>
      <c r="P31">
        <v>3.4295849999999999</v>
      </c>
      <c r="Q31">
        <v>1.1684079999999999</v>
      </c>
      <c r="R31">
        <v>22.939177999999998</v>
      </c>
      <c r="S31">
        <v>23.742007999999998</v>
      </c>
      <c r="T31">
        <v>36.010112999999997</v>
      </c>
      <c r="U31">
        <v>0.44178600000000001</v>
      </c>
      <c r="V31" t="s">
        <v>292</v>
      </c>
      <c r="W31">
        <v>0</v>
      </c>
      <c r="X31">
        <v>0</v>
      </c>
      <c r="Y31">
        <v>0</v>
      </c>
      <c r="Z31">
        <v>88.673828</v>
      </c>
      <c r="AA31">
        <v>332.437927</v>
      </c>
      <c r="AB31">
        <v>0.73326199999999997</v>
      </c>
      <c r="AC31">
        <v>0.5</v>
      </c>
      <c r="AD31">
        <v>0.8</v>
      </c>
      <c r="AE31">
        <v>381.96588100000002</v>
      </c>
      <c r="AF31">
        <v>64.77</v>
      </c>
      <c r="AG31">
        <v>62.58</v>
      </c>
      <c r="AH31">
        <v>26.58</v>
      </c>
      <c r="AI31">
        <v>26.28</v>
      </c>
      <c r="AJ31">
        <v>95.24</v>
      </c>
      <c r="AK31">
        <v>156.4</v>
      </c>
      <c r="AL31">
        <v>148</v>
      </c>
      <c r="AM31">
        <v>5.4</v>
      </c>
      <c r="AN31">
        <v>1302</v>
      </c>
      <c r="AO31">
        <v>4.0510000000000002</v>
      </c>
      <c r="AP31" s="3">
        <v>0.38578703703703704</v>
      </c>
      <c r="AQ31" s="1">
        <v>45133</v>
      </c>
      <c r="AR31">
        <v>-0.4</v>
      </c>
      <c r="AS31">
        <v>2E-3</v>
      </c>
      <c r="AT31">
        <v>2E-3</v>
      </c>
      <c r="AU31">
        <v>-2.1000000000000001E-2</v>
      </c>
      <c r="AV31">
        <v>5.5E-2</v>
      </c>
      <c r="AW31">
        <v>-6.7000000000000004E-2</v>
      </c>
      <c r="AX31">
        <v>-0.36799999999999999</v>
      </c>
      <c r="AY31">
        <v>1</v>
      </c>
      <c r="AZ31">
        <v>150</v>
      </c>
      <c r="BA31">
        <v>5.0000000000000001E-3</v>
      </c>
      <c r="BB31">
        <v>2</v>
      </c>
      <c r="BC31">
        <v>0</v>
      </c>
      <c r="BD31" t="s">
        <v>200</v>
      </c>
      <c r="BE31">
        <v>7000</v>
      </c>
      <c r="BF31">
        <v>500</v>
      </c>
      <c r="BG31">
        <v>5</v>
      </c>
      <c r="BH31">
        <v>2</v>
      </c>
      <c r="BI31">
        <v>300</v>
      </c>
      <c r="BJ31">
        <v>300</v>
      </c>
      <c r="BK31">
        <v>300</v>
      </c>
      <c r="BL31">
        <v>301.75100700000002</v>
      </c>
      <c r="BM31">
        <v>25</v>
      </c>
      <c r="BN31">
        <v>-21.990129</v>
      </c>
      <c r="BO31">
        <v>299.06558200000001</v>
      </c>
      <c r="BP31">
        <v>300.89730800000001</v>
      </c>
      <c r="BQ31">
        <v>-1.831726</v>
      </c>
      <c r="BR31">
        <v>2.4374880000000001</v>
      </c>
      <c r="BS31">
        <v>2.5097670000000001</v>
      </c>
      <c r="BT31">
        <v>1.588495</v>
      </c>
      <c r="BU31">
        <v>0.97229399999999999</v>
      </c>
      <c r="BV31">
        <v>0.25613999999999998</v>
      </c>
      <c r="BW31">
        <v>-3.728E-3</v>
      </c>
      <c r="BX31">
        <v>0.19566700000000001</v>
      </c>
      <c r="BY31">
        <v>1.2622340000000001</v>
      </c>
      <c r="BZ31">
        <v>88.673828</v>
      </c>
      <c r="CA31">
        <v>3.4200000000000002E-4</v>
      </c>
      <c r="CB31">
        <v>2.3486280000000002</v>
      </c>
      <c r="CC31">
        <v>-5.1E-5</v>
      </c>
      <c r="CD31">
        <v>1</v>
      </c>
      <c r="CE31">
        <v>2.4109430000000001</v>
      </c>
      <c r="CF31">
        <v>-5.7000000000000003E-5</v>
      </c>
      <c r="CG31">
        <v>1</v>
      </c>
      <c r="CH31">
        <v>0.60051900000000002</v>
      </c>
      <c r="CI31">
        <v>0.60216099999999995</v>
      </c>
      <c r="CJ31">
        <v>0.107265</v>
      </c>
      <c r="CK31">
        <v>0</v>
      </c>
      <c r="CL31" t="s">
        <v>292</v>
      </c>
      <c r="CM31" t="s">
        <v>201</v>
      </c>
      <c r="CN31" t="s">
        <v>202</v>
      </c>
      <c r="CO31" t="s">
        <v>203</v>
      </c>
      <c r="CP31" t="s">
        <v>204</v>
      </c>
      <c r="CQ31" t="s">
        <v>205</v>
      </c>
      <c r="CR31" t="s">
        <v>206</v>
      </c>
    </row>
    <row r="32" spans="1:96">
      <c r="A32">
        <v>1</v>
      </c>
      <c r="B32" s="3">
        <v>0.39993055555555551</v>
      </c>
      <c r="C32" s="1">
        <v>45133</v>
      </c>
      <c r="D32" t="s">
        <v>196</v>
      </c>
      <c r="E32" t="s">
        <v>197</v>
      </c>
      <c r="G32">
        <v>1</v>
      </c>
      <c r="J32">
        <v>8.1420999999999993E-2</v>
      </c>
      <c r="K32">
        <v>2.917227</v>
      </c>
      <c r="L32">
        <v>7.9210000000000003E-2</v>
      </c>
      <c r="M32">
        <v>1.805876</v>
      </c>
      <c r="N32">
        <v>2.1342500000000002</v>
      </c>
      <c r="O32">
        <v>2.086732</v>
      </c>
      <c r="P32">
        <v>4.230683</v>
      </c>
      <c r="Q32">
        <v>2.0964330000000002</v>
      </c>
      <c r="R32">
        <v>21.933966000000002</v>
      </c>
      <c r="S32">
        <v>22.433433999999998</v>
      </c>
      <c r="T32">
        <v>44.469375999999997</v>
      </c>
      <c r="U32">
        <v>0.44178600000000001</v>
      </c>
      <c r="V32" t="s">
        <v>293</v>
      </c>
      <c r="W32">
        <v>0</v>
      </c>
      <c r="X32">
        <v>0</v>
      </c>
      <c r="Y32">
        <v>0</v>
      </c>
      <c r="Z32">
        <v>103.685974</v>
      </c>
      <c r="AA32">
        <v>209.81570400000001</v>
      </c>
      <c r="AB32">
        <v>0.50582400000000005</v>
      </c>
      <c r="AC32">
        <v>0.5</v>
      </c>
      <c r="AD32">
        <v>0.8</v>
      </c>
      <c r="AE32">
        <v>39.193534999999997</v>
      </c>
      <c r="AF32">
        <v>60.52</v>
      </c>
      <c r="AG32">
        <v>59.17</v>
      </c>
      <c r="AH32">
        <v>26.75</v>
      </c>
      <c r="AI32">
        <v>29.88</v>
      </c>
      <c r="AJ32">
        <v>95.14</v>
      </c>
      <c r="AK32">
        <v>156.1</v>
      </c>
      <c r="AL32">
        <v>148</v>
      </c>
      <c r="AM32">
        <v>5.2</v>
      </c>
      <c r="AN32">
        <v>194</v>
      </c>
      <c r="AO32">
        <v>4.0510000000000002</v>
      </c>
      <c r="AP32" s="3">
        <v>0.39983796296296298</v>
      </c>
      <c r="AQ32" s="1">
        <v>45133</v>
      </c>
      <c r="AR32">
        <v>-0.05</v>
      </c>
      <c r="AS32">
        <v>-1E-3</v>
      </c>
      <c r="AT32">
        <v>-2E-3</v>
      </c>
      <c r="AU32">
        <v>-9999</v>
      </c>
      <c r="AV32">
        <v>0.51600000000000001</v>
      </c>
      <c r="AW32">
        <v>1.0940000000000001</v>
      </c>
      <c r="AX32">
        <v>-9999</v>
      </c>
      <c r="AY32">
        <v>1</v>
      </c>
      <c r="AZ32">
        <v>150</v>
      </c>
      <c r="BA32">
        <v>5.0000000000000001E-3</v>
      </c>
      <c r="BB32">
        <v>2</v>
      </c>
      <c r="BC32">
        <v>0</v>
      </c>
      <c r="BD32" t="s">
        <v>200</v>
      </c>
      <c r="BE32">
        <v>7000</v>
      </c>
      <c r="BF32">
        <v>500</v>
      </c>
      <c r="BG32">
        <v>5</v>
      </c>
      <c r="BH32">
        <v>2</v>
      </c>
      <c r="BI32">
        <v>300</v>
      </c>
      <c r="BJ32">
        <v>300</v>
      </c>
      <c r="BK32">
        <v>300</v>
      </c>
      <c r="BL32">
        <v>193.26603700000001</v>
      </c>
      <c r="BM32">
        <v>25</v>
      </c>
      <c r="BN32">
        <v>-11.590615</v>
      </c>
      <c r="BO32">
        <v>191.13743600000001</v>
      </c>
      <c r="BP32">
        <v>193.191193</v>
      </c>
      <c r="BQ32">
        <v>-2.0537570000000001</v>
      </c>
      <c r="BR32">
        <v>2.4332220000000002</v>
      </c>
      <c r="BS32">
        <v>2.503628</v>
      </c>
      <c r="BT32">
        <v>1.586409</v>
      </c>
      <c r="BU32">
        <v>0.97238599999999997</v>
      </c>
      <c r="BV32">
        <v>0.25438899999999998</v>
      </c>
      <c r="BW32">
        <v>3.8653E-2</v>
      </c>
      <c r="BX32">
        <v>0.170936</v>
      </c>
      <c r="BY32">
        <v>0.27906399999999998</v>
      </c>
      <c r="BZ32">
        <v>103.685974</v>
      </c>
      <c r="CA32">
        <v>3.3700000000000001E-4</v>
      </c>
      <c r="CB32">
        <v>2.3486280000000002</v>
      </c>
      <c r="CC32">
        <v>-5.1E-5</v>
      </c>
      <c r="CD32">
        <v>1</v>
      </c>
      <c r="CE32">
        <v>2.4109430000000001</v>
      </c>
      <c r="CF32">
        <v>-5.7000000000000003E-5</v>
      </c>
      <c r="CG32">
        <v>1</v>
      </c>
      <c r="CH32">
        <v>0.60051900000000002</v>
      </c>
      <c r="CI32">
        <v>0.60216099999999995</v>
      </c>
      <c r="CJ32">
        <v>0.107265</v>
      </c>
      <c r="CK32">
        <v>0</v>
      </c>
      <c r="CL32" t="s">
        <v>293</v>
      </c>
      <c r="CM32" t="s">
        <v>201</v>
      </c>
      <c r="CN32" t="s">
        <v>202</v>
      </c>
      <c r="CO32" t="s">
        <v>203</v>
      </c>
      <c r="CP32" t="s">
        <v>204</v>
      </c>
      <c r="CQ32" t="s">
        <v>205</v>
      </c>
      <c r="CR32" t="s">
        <v>206</v>
      </c>
    </row>
    <row r="33" spans="1:96">
      <c r="A33">
        <v>2</v>
      </c>
      <c r="B33" s="3">
        <v>0.40012731481481478</v>
      </c>
      <c r="C33" s="1">
        <v>45133</v>
      </c>
      <c r="D33" t="s">
        <v>196</v>
      </c>
      <c r="E33" t="s">
        <v>197</v>
      </c>
      <c r="G33">
        <v>2</v>
      </c>
      <c r="J33">
        <v>0.16016</v>
      </c>
      <c r="K33">
        <v>2.9188179999999999</v>
      </c>
      <c r="L33">
        <v>0.15182899999999999</v>
      </c>
      <c r="M33">
        <v>3.628244</v>
      </c>
      <c r="N33">
        <v>2.1867329999999998</v>
      </c>
      <c r="O33">
        <v>2.0914359999999999</v>
      </c>
      <c r="P33">
        <v>4.3817490000000001</v>
      </c>
      <c r="Q33">
        <v>2.1950159999999999</v>
      </c>
      <c r="R33">
        <v>21.983297</v>
      </c>
      <c r="S33">
        <v>22.984971999999999</v>
      </c>
      <c r="T33">
        <v>46.057011000000003</v>
      </c>
      <c r="U33">
        <v>0.44178600000000001</v>
      </c>
      <c r="V33" t="s">
        <v>294</v>
      </c>
      <c r="W33">
        <v>0</v>
      </c>
      <c r="X33">
        <v>0</v>
      </c>
      <c r="Y33">
        <v>0</v>
      </c>
      <c r="Z33">
        <v>132.12239099999999</v>
      </c>
      <c r="AA33">
        <v>244.60348500000001</v>
      </c>
      <c r="AB33">
        <v>0.45985100000000001</v>
      </c>
      <c r="AC33">
        <v>0.5</v>
      </c>
      <c r="AD33">
        <v>0.8</v>
      </c>
      <c r="AE33">
        <v>68.116501</v>
      </c>
      <c r="AF33">
        <v>61.73</v>
      </c>
      <c r="AG33">
        <v>59.04</v>
      </c>
      <c r="AH33">
        <v>26.82</v>
      </c>
      <c r="AI33">
        <v>30.49</v>
      </c>
      <c r="AJ33">
        <v>95.14</v>
      </c>
      <c r="AK33">
        <v>156.30000000000001</v>
      </c>
      <c r="AL33">
        <v>147.9</v>
      </c>
      <c r="AM33">
        <v>5.4</v>
      </c>
      <c r="AN33">
        <v>370</v>
      </c>
      <c r="AO33">
        <v>4.05</v>
      </c>
      <c r="AP33" s="3">
        <v>0.39983796296296298</v>
      </c>
      <c r="AQ33" s="1">
        <v>45133</v>
      </c>
      <c r="AR33">
        <v>-0.05</v>
      </c>
      <c r="AS33">
        <v>-1E-3</v>
      </c>
      <c r="AT33">
        <v>-1E-3</v>
      </c>
      <c r="AU33">
        <v>-9999</v>
      </c>
      <c r="AV33">
        <v>2.0470000000000002</v>
      </c>
      <c r="AW33">
        <v>4.8449999999999998</v>
      </c>
      <c r="AX33">
        <v>-9999</v>
      </c>
      <c r="AY33">
        <v>1</v>
      </c>
      <c r="AZ33">
        <v>150</v>
      </c>
      <c r="BA33">
        <v>5.0000000000000001E-3</v>
      </c>
      <c r="BB33">
        <v>2</v>
      </c>
      <c r="BC33">
        <v>0</v>
      </c>
      <c r="BD33" t="s">
        <v>200</v>
      </c>
      <c r="BE33">
        <v>7000</v>
      </c>
      <c r="BF33">
        <v>500</v>
      </c>
      <c r="BG33">
        <v>5</v>
      </c>
      <c r="BH33">
        <v>2</v>
      </c>
      <c r="BI33">
        <v>300</v>
      </c>
      <c r="BJ33">
        <v>300</v>
      </c>
      <c r="BK33">
        <v>300</v>
      </c>
      <c r="BL33">
        <v>228.79743999999999</v>
      </c>
      <c r="BM33">
        <v>25</v>
      </c>
      <c r="BN33">
        <v>-10.926277000000001</v>
      </c>
      <c r="BO33">
        <v>228.42550700000001</v>
      </c>
      <c r="BP33">
        <v>228.931839</v>
      </c>
      <c r="BQ33">
        <v>-0.506332</v>
      </c>
      <c r="BR33">
        <v>2.4330379999999998</v>
      </c>
      <c r="BS33">
        <v>2.5052140000000001</v>
      </c>
      <c r="BT33">
        <v>1.587944</v>
      </c>
      <c r="BU33">
        <v>0.97198600000000002</v>
      </c>
      <c r="BV33">
        <v>0.25361699999999998</v>
      </c>
      <c r="BW33">
        <v>4.5450999999999998E-2</v>
      </c>
      <c r="BX33">
        <v>0.17352400000000001</v>
      </c>
      <c r="BY33">
        <v>0.435693</v>
      </c>
      <c r="BZ33">
        <v>132.12239099999999</v>
      </c>
      <c r="CA33">
        <v>3.3799999999999998E-4</v>
      </c>
      <c r="CB33">
        <v>2.3486280000000002</v>
      </c>
      <c r="CC33">
        <v>-5.1E-5</v>
      </c>
      <c r="CD33">
        <v>1</v>
      </c>
      <c r="CE33">
        <v>2.4109430000000001</v>
      </c>
      <c r="CF33">
        <v>-5.7000000000000003E-5</v>
      </c>
      <c r="CG33">
        <v>1</v>
      </c>
      <c r="CH33">
        <v>0.60051900000000002</v>
      </c>
      <c r="CI33">
        <v>0.60216099999999995</v>
      </c>
      <c r="CJ33">
        <v>0.107265</v>
      </c>
      <c r="CK33">
        <v>0</v>
      </c>
      <c r="CL33" t="s">
        <v>294</v>
      </c>
      <c r="CM33" t="s">
        <v>201</v>
      </c>
      <c r="CN33" t="s">
        <v>202</v>
      </c>
      <c r="CO33" t="s">
        <v>203</v>
      </c>
      <c r="CP33" t="s">
        <v>204</v>
      </c>
      <c r="CQ33" t="s">
        <v>205</v>
      </c>
      <c r="CR33" t="s">
        <v>206</v>
      </c>
    </row>
    <row r="34" spans="1:96">
      <c r="A34">
        <v>3</v>
      </c>
      <c r="B34" s="3">
        <v>0.40028935185185183</v>
      </c>
      <c r="C34" s="1">
        <v>45133</v>
      </c>
      <c r="D34" t="s">
        <v>196</v>
      </c>
      <c r="E34" t="s">
        <v>197</v>
      </c>
      <c r="G34">
        <v>3</v>
      </c>
      <c r="J34">
        <v>0.16034399999999999</v>
      </c>
      <c r="K34">
        <v>2.9177590000000002</v>
      </c>
      <c r="L34">
        <v>0.15199199999999999</v>
      </c>
      <c r="M34">
        <v>2.8133759999999999</v>
      </c>
      <c r="N34">
        <v>2.177826</v>
      </c>
      <c r="O34">
        <v>2.1038589999999999</v>
      </c>
      <c r="P34">
        <v>3.8828390000000002</v>
      </c>
      <c r="Q34">
        <v>1.7050129999999999</v>
      </c>
      <c r="R34">
        <v>22.112597999999998</v>
      </c>
      <c r="S34">
        <v>22.890032000000001</v>
      </c>
      <c r="T34">
        <v>40.810558</v>
      </c>
      <c r="U34">
        <v>0.44178600000000001</v>
      </c>
      <c r="V34" t="s">
        <v>295</v>
      </c>
      <c r="W34">
        <v>0</v>
      </c>
      <c r="X34">
        <v>0</v>
      </c>
      <c r="Y34">
        <v>0</v>
      </c>
      <c r="Z34">
        <v>162.56367499999999</v>
      </c>
      <c r="AA34">
        <v>322.74465900000001</v>
      </c>
      <c r="AB34">
        <v>0.496309</v>
      </c>
      <c r="AC34">
        <v>0.5</v>
      </c>
      <c r="AD34">
        <v>0.8</v>
      </c>
      <c r="AE34">
        <v>55.783149999999999</v>
      </c>
      <c r="AF34">
        <v>61.28</v>
      </c>
      <c r="AG34">
        <v>59.2</v>
      </c>
      <c r="AH34">
        <v>26.88</v>
      </c>
      <c r="AI34">
        <v>28.39</v>
      </c>
      <c r="AJ34">
        <v>95.14</v>
      </c>
      <c r="AK34">
        <v>156.19999999999999</v>
      </c>
      <c r="AL34">
        <v>148</v>
      </c>
      <c r="AM34">
        <v>5.2</v>
      </c>
      <c r="AN34">
        <v>281</v>
      </c>
      <c r="AO34">
        <v>4.0490000000000004</v>
      </c>
      <c r="AP34" s="3">
        <v>0.39983796296296298</v>
      </c>
      <c r="AQ34" s="1">
        <v>45133</v>
      </c>
      <c r="AR34">
        <v>-0.05</v>
      </c>
      <c r="AS34">
        <v>0</v>
      </c>
      <c r="AT34">
        <v>-2E-3</v>
      </c>
      <c r="AU34">
        <v>-9999</v>
      </c>
      <c r="AV34">
        <v>2.274</v>
      </c>
      <c r="AW34">
        <v>2.4449999999999998</v>
      </c>
      <c r="AX34">
        <v>-9999</v>
      </c>
      <c r="AY34">
        <v>1</v>
      </c>
      <c r="AZ34">
        <v>150</v>
      </c>
      <c r="BA34">
        <v>5.0000000000000001E-3</v>
      </c>
      <c r="BB34">
        <v>2</v>
      </c>
      <c r="BC34">
        <v>0</v>
      </c>
      <c r="BD34" t="s">
        <v>200</v>
      </c>
      <c r="BE34">
        <v>7000</v>
      </c>
      <c r="BF34">
        <v>500</v>
      </c>
      <c r="BG34">
        <v>5</v>
      </c>
      <c r="BH34">
        <v>2</v>
      </c>
      <c r="BI34">
        <v>300</v>
      </c>
      <c r="BJ34">
        <v>300</v>
      </c>
      <c r="BK34">
        <v>300</v>
      </c>
      <c r="BL34">
        <v>306.00787400000002</v>
      </c>
      <c r="BM34">
        <v>25</v>
      </c>
      <c r="BN34">
        <v>-11.764393</v>
      </c>
      <c r="BO34">
        <v>304.99078400000002</v>
      </c>
      <c r="BP34">
        <v>305.87091099999998</v>
      </c>
      <c r="BQ34">
        <v>-0.88012699999999999</v>
      </c>
      <c r="BR34">
        <v>2.4332250000000002</v>
      </c>
      <c r="BS34">
        <v>2.5046059999999999</v>
      </c>
      <c r="BT34">
        <v>1.5869219999999999</v>
      </c>
      <c r="BU34">
        <v>0.97250700000000001</v>
      </c>
      <c r="BV34">
        <v>0.25306899999999999</v>
      </c>
      <c r="BW34">
        <v>1.8498000000000001E-2</v>
      </c>
      <c r="BX34">
        <v>0.175571</v>
      </c>
      <c r="BY34">
        <v>0.35647000000000001</v>
      </c>
      <c r="BZ34">
        <v>162.56367499999999</v>
      </c>
      <c r="CA34">
        <v>3.3500000000000001E-4</v>
      </c>
      <c r="CB34">
        <v>2.3486280000000002</v>
      </c>
      <c r="CC34">
        <v>-5.1E-5</v>
      </c>
      <c r="CD34">
        <v>1</v>
      </c>
      <c r="CE34">
        <v>2.4109430000000001</v>
      </c>
      <c r="CF34">
        <v>-5.7000000000000003E-5</v>
      </c>
      <c r="CG34">
        <v>1</v>
      </c>
      <c r="CH34">
        <v>0.60051900000000002</v>
      </c>
      <c r="CI34">
        <v>0.60216099999999995</v>
      </c>
      <c r="CJ34">
        <v>0.107265</v>
      </c>
      <c r="CK34">
        <v>0</v>
      </c>
      <c r="CL34" t="s">
        <v>295</v>
      </c>
      <c r="CM34" t="s">
        <v>201</v>
      </c>
      <c r="CN34" t="s">
        <v>202</v>
      </c>
      <c r="CO34" t="s">
        <v>203</v>
      </c>
      <c r="CP34" t="s">
        <v>204</v>
      </c>
      <c r="CQ34" t="s">
        <v>205</v>
      </c>
      <c r="CR34" t="s">
        <v>206</v>
      </c>
    </row>
    <row r="35" spans="1:96">
      <c r="A35">
        <v>4</v>
      </c>
      <c r="B35" s="3">
        <v>0.40043981481481478</v>
      </c>
      <c r="C35" s="1">
        <v>45133</v>
      </c>
      <c r="D35" t="s">
        <v>196</v>
      </c>
      <c r="E35" t="s">
        <v>197</v>
      </c>
      <c r="G35">
        <v>4</v>
      </c>
      <c r="J35">
        <v>0.11415500000000001</v>
      </c>
      <c r="K35">
        <v>2.919654</v>
      </c>
      <c r="L35">
        <v>0.10986</v>
      </c>
      <c r="M35">
        <v>2.5478040000000002</v>
      </c>
      <c r="N35">
        <v>2.1825049999999999</v>
      </c>
      <c r="O35">
        <v>2.1156250000000001</v>
      </c>
      <c r="P35">
        <v>4.3136239999999999</v>
      </c>
      <c r="Q35">
        <v>2.131119</v>
      </c>
      <c r="R35">
        <v>22.236851000000001</v>
      </c>
      <c r="S35">
        <v>22.939807999999999</v>
      </c>
      <c r="T35">
        <v>45.339516000000003</v>
      </c>
      <c r="U35">
        <v>0.44178600000000001</v>
      </c>
      <c r="V35" t="s">
        <v>296</v>
      </c>
      <c r="W35">
        <v>0</v>
      </c>
      <c r="X35">
        <v>0</v>
      </c>
      <c r="Y35">
        <v>0</v>
      </c>
      <c r="Z35">
        <v>104.636551</v>
      </c>
      <c r="AA35">
        <v>196.03939800000001</v>
      </c>
      <c r="AB35">
        <v>0.46624700000000002</v>
      </c>
      <c r="AC35">
        <v>0.5</v>
      </c>
      <c r="AD35">
        <v>0.8</v>
      </c>
      <c r="AE35">
        <v>266.64267000000001</v>
      </c>
      <c r="AF35">
        <v>61.25</v>
      </c>
      <c r="AG35">
        <v>59.37</v>
      </c>
      <c r="AH35">
        <v>26.93</v>
      </c>
      <c r="AI35">
        <v>30.22</v>
      </c>
      <c r="AJ35">
        <v>95.14</v>
      </c>
      <c r="AK35">
        <v>156.4</v>
      </c>
      <c r="AL35">
        <v>147.69999999999999</v>
      </c>
      <c r="AM35">
        <v>5.6</v>
      </c>
      <c r="AN35">
        <v>1430</v>
      </c>
      <c r="AO35">
        <v>4.048</v>
      </c>
      <c r="AP35" s="3">
        <v>0.39983796296296298</v>
      </c>
      <c r="AQ35" s="1">
        <v>45133</v>
      </c>
      <c r="AR35">
        <v>-0.05</v>
      </c>
      <c r="AS35">
        <v>-1E-3</v>
      </c>
      <c r="AT35">
        <v>-3.0000000000000001E-3</v>
      </c>
      <c r="AU35">
        <v>-1.0999999999999999E-2</v>
      </c>
      <c r="AV35">
        <v>-1.589</v>
      </c>
      <c r="AW35">
        <v>-2.375</v>
      </c>
      <c r="AX35">
        <v>2.39</v>
      </c>
      <c r="AY35">
        <v>1</v>
      </c>
      <c r="AZ35">
        <v>150</v>
      </c>
      <c r="BA35">
        <v>5.0000000000000001E-3</v>
      </c>
      <c r="BB35">
        <v>2</v>
      </c>
      <c r="BC35">
        <v>0</v>
      </c>
      <c r="BD35" t="s">
        <v>200</v>
      </c>
      <c r="BE35">
        <v>7000</v>
      </c>
      <c r="BF35">
        <v>500</v>
      </c>
      <c r="BG35">
        <v>5</v>
      </c>
      <c r="BH35">
        <v>2</v>
      </c>
      <c r="BI35">
        <v>300</v>
      </c>
      <c r="BJ35">
        <v>300</v>
      </c>
      <c r="BK35">
        <v>300</v>
      </c>
      <c r="BL35">
        <v>181.075211</v>
      </c>
      <c r="BM35">
        <v>25</v>
      </c>
      <c r="BN35">
        <v>-10.375980999999999</v>
      </c>
      <c r="BO35">
        <v>179.97335799999999</v>
      </c>
      <c r="BP35">
        <v>181.15704299999999</v>
      </c>
      <c r="BQ35">
        <v>-1.1836850000000001</v>
      </c>
      <c r="BR35">
        <v>2.4334220000000002</v>
      </c>
      <c r="BS35">
        <v>2.5045459999999999</v>
      </c>
      <c r="BT35">
        <v>1.5887530000000001</v>
      </c>
      <c r="BU35">
        <v>0.971549</v>
      </c>
      <c r="BV35">
        <v>0.25260100000000002</v>
      </c>
      <c r="BW35">
        <v>4.0738000000000003E-2</v>
      </c>
      <c r="BX35">
        <v>0.17745</v>
      </c>
      <c r="BY35">
        <v>1.375262</v>
      </c>
      <c r="BZ35">
        <v>104.636551</v>
      </c>
      <c r="CA35">
        <v>3.4000000000000002E-4</v>
      </c>
      <c r="CB35">
        <v>2.3486280000000002</v>
      </c>
      <c r="CC35">
        <v>-5.1E-5</v>
      </c>
      <c r="CD35">
        <v>1</v>
      </c>
      <c r="CE35">
        <v>2.4109430000000001</v>
      </c>
      <c r="CF35">
        <v>-5.7000000000000003E-5</v>
      </c>
      <c r="CG35">
        <v>1</v>
      </c>
      <c r="CH35">
        <v>0.60051900000000002</v>
      </c>
      <c r="CI35">
        <v>0.60216099999999995</v>
      </c>
      <c r="CJ35">
        <v>0.107265</v>
      </c>
      <c r="CK35">
        <v>0</v>
      </c>
      <c r="CL35" t="s">
        <v>296</v>
      </c>
      <c r="CM35" t="s">
        <v>201</v>
      </c>
      <c r="CN35" t="s">
        <v>202</v>
      </c>
      <c r="CO35" t="s">
        <v>203</v>
      </c>
      <c r="CP35" t="s">
        <v>204</v>
      </c>
      <c r="CQ35" t="s">
        <v>205</v>
      </c>
      <c r="CR35" t="s">
        <v>206</v>
      </c>
    </row>
    <row r="36" spans="1:96">
      <c r="A36">
        <v>5</v>
      </c>
      <c r="B36" s="3">
        <v>0.40056712962962965</v>
      </c>
      <c r="C36" s="1">
        <v>45133</v>
      </c>
      <c r="D36" t="s">
        <v>196</v>
      </c>
      <c r="E36" t="s">
        <v>197</v>
      </c>
      <c r="G36">
        <v>5</v>
      </c>
      <c r="J36">
        <v>0.156666</v>
      </c>
      <c r="K36">
        <v>2.9185880000000002</v>
      </c>
      <c r="L36">
        <v>0.14868500000000001</v>
      </c>
      <c r="M36">
        <v>3.1280770000000002</v>
      </c>
      <c r="N36">
        <v>2.1545260000000002</v>
      </c>
      <c r="O36">
        <v>2.0723159999999998</v>
      </c>
      <c r="P36">
        <v>4.0905269999999998</v>
      </c>
      <c r="Q36">
        <v>1.9359999999999999</v>
      </c>
      <c r="R36">
        <v>21.780553999999999</v>
      </c>
      <c r="S36">
        <v>22.644601999999999</v>
      </c>
      <c r="T36">
        <v>42.992443000000002</v>
      </c>
      <c r="U36">
        <v>0.44178600000000001</v>
      </c>
      <c r="V36" t="s">
        <v>297</v>
      </c>
      <c r="W36">
        <v>0</v>
      </c>
      <c r="X36">
        <v>0</v>
      </c>
      <c r="Y36">
        <v>0</v>
      </c>
      <c r="Z36">
        <v>105.29780599999999</v>
      </c>
      <c r="AA36">
        <v>255.05903599999999</v>
      </c>
      <c r="AB36">
        <v>0.58716299999999999</v>
      </c>
      <c r="AC36">
        <v>0.5</v>
      </c>
      <c r="AD36">
        <v>0.8</v>
      </c>
      <c r="AE36">
        <v>336.00457799999998</v>
      </c>
      <c r="AF36">
        <v>60.32</v>
      </c>
      <c r="AG36">
        <v>58.01</v>
      </c>
      <c r="AH36">
        <v>26.97</v>
      </c>
      <c r="AI36">
        <v>29.29</v>
      </c>
      <c r="AJ36">
        <v>95.15</v>
      </c>
      <c r="AK36">
        <v>156.30000000000001</v>
      </c>
      <c r="AL36">
        <v>148</v>
      </c>
      <c r="AM36">
        <v>5.3</v>
      </c>
      <c r="AN36">
        <v>1431</v>
      </c>
      <c r="AO36">
        <v>4.048</v>
      </c>
      <c r="AP36" s="3">
        <v>0.39983796296296298</v>
      </c>
      <c r="AQ36" s="1">
        <v>45133</v>
      </c>
      <c r="AR36">
        <v>-0.05</v>
      </c>
      <c r="AS36">
        <v>0</v>
      </c>
      <c r="AT36">
        <v>-1E-3</v>
      </c>
      <c r="AU36">
        <v>-9999</v>
      </c>
      <c r="AV36">
        <v>-5.8259999999999996</v>
      </c>
      <c r="AW36">
        <v>-4.5250000000000004</v>
      </c>
      <c r="AX36">
        <v>-9999</v>
      </c>
      <c r="AY36">
        <v>1</v>
      </c>
      <c r="AZ36">
        <v>150</v>
      </c>
      <c r="BA36">
        <v>5.0000000000000001E-3</v>
      </c>
      <c r="BB36">
        <v>2</v>
      </c>
      <c r="BC36">
        <v>0</v>
      </c>
      <c r="BD36" t="s">
        <v>200</v>
      </c>
      <c r="BE36">
        <v>7000</v>
      </c>
      <c r="BF36">
        <v>500</v>
      </c>
      <c r="BG36">
        <v>5</v>
      </c>
      <c r="BH36">
        <v>2</v>
      </c>
      <c r="BI36">
        <v>300</v>
      </c>
      <c r="BJ36">
        <v>300</v>
      </c>
      <c r="BK36">
        <v>300</v>
      </c>
      <c r="BL36">
        <v>232.75351000000001</v>
      </c>
      <c r="BM36">
        <v>25</v>
      </c>
      <c r="BN36">
        <v>-15.811966999999999</v>
      </c>
      <c r="BO36">
        <v>230.85237100000001</v>
      </c>
      <c r="BP36">
        <v>232.379807</v>
      </c>
      <c r="BQ36">
        <v>-1.5274350000000001</v>
      </c>
      <c r="BR36">
        <v>2.4317299999999999</v>
      </c>
      <c r="BS36">
        <v>2.503301</v>
      </c>
      <c r="BT36">
        <v>1.5877220000000001</v>
      </c>
      <c r="BU36">
        <v>0.97256399999999998</v>
      </c>
      <c r="BV36">
        <v>0.252191</v>
      </c>
      <c r="BW36">
        <v>2.8621000000000001E-2</v>
      </c>
      <c r="BX36">
        <v>0.17894099999999999</v>
      </c>
      <c r="BY36">
        <v>1.3760589999999999</v>
      </c>
      <c r="BZ36">
        <v>105.29780599999999</v>
      </c>
      <c r="CA36">
        <v>3.4000000000000002E-4</v>
      </c>
      <c r="CB36">
        <v>2.3486280000000002</v>
      </c>
      <c r="CC36">
        <v>-5.1E-5</v>
      </c>
      <c r="CD36">
        <v>1</v>
      </c>
      <c r="CE36">
        <v>2.4109430000000001</v>
      </c>
      <c r="CF36">
        <v>-5.7000000000000003E-5</v>
      </c>
      <c r="CG36">
        <v>1</v>
      </c>
      <c r="CH36">
        <v>0.60051900000000002</v>
      </c>
      <c r="CI36">
        <v>0.60216099999999995</v>
      </c>
      <c r="CJ36">
        <v>0.107265</v>
      </c>
      <c r="CK36">
        <v>0</v>
      </c>
      <c r="CL36" t="s">
        <v>297</v>
      </c>
      <c r="CM36" t="s">
        <v>201</v>
      </c>
      <c r="CN36" t="s">
        <v>202</v>
      </c>
      <c r="CO36" t="s">
        <v>203</v>
      </c>
      <c r="CP36" t="s">
        <v>204</v>
      </c>
      <c r="CQ36" t="s">
        <v>205</v>
      </c>
      <c r="CR36" t="s">
        <v>206</v>
      </c>
    </row>
    <row r="37" spans="1:96">
      <c r="A37">
        <v>1</v>
      </c>
      <c r="B37" s="3">
        <v>0.46283564814814815</v>
      </c>
      <c r="C37" s="1">
        <v>45133</v>
      </c>
      <c r="D37" t="s">
        <v>196</v>
      </c>
      <c r="E37" t="s">
        <v>197</v>
      </c>
      <c r="G37">
        <v>1</v>
      </c>
      <c r="J37">
        <v>9.1060000000000002E-2</v>
      </c>
      <c r="K37">
        <v>2.9190520000000002</v>
      </c>
      <c r="L37">
        <v>8.8304999999999995E-2</v>
      </c>
      <c r="M37">
        <v>2.666207</v>
      </c>
      <c r="N37">
        <v>2.2543280000000001</v>
      </c>
      <c r="O37">
        <v>2.1842730000000001</v>
      </c>
      <c r="P37">
        <v>5.0206379999999999</v>
      </c>
      <c r="Q37">
        <v>2.7663090000000001</v>
      </c>
      <c r="R37">
        <v>22.930132</v>
      </c>
      <c r="S37">
        <v>23.665562000000001</v>
      </c>
      <c r="T37">
        <v>52.705818000000001</v>
      </c>
      <c r="U37">
        <v>0.44178600000000001</v>
      </c>
      <c r="V37" t="s">
        <v>298</v>
      </c>
      <c r="W37">
        <v>0</v>
      </c>
      <c r="X37">
        <v>0</v>
      </c>
      <c r="Y37">
        <v>0</v>
      </c>
      <c r="Z37">
        <v>93.504669000000007</v>
      </c>
      <c r="AA37">
        <v>151.392685</v>
      </c>
      <c r="AB37">
        <v>0.38236999999999999</v>
      </c>
      <c r="AC37">
        <v>0.5</v>
      </c>
      <c r="AD37">
        <v>0.8</v>
      </c>
      <c r="AE37">
        <v>260.37985200000003</v>
      </c>
      <c r="AF37">
        <v>60.45</v>
      </c>
      <c r="AG37">
        <v>58.57</v>
      </c>
      <c r="AH37">
        <v>27.7</v>
      </c>
      <c r="AI37">
        <v>32.89</v>
      </c>
      <c r="AJ37">
        <v>95.26</v>
      </c>
      <c r="AK37">
        <v>156.4</v>
      </c>
      <c r="AL37">
        <v>147.69999999999999</v>
      </c>
      <c r="AM37">
        <v>5.5</v>
      </c>
      <c r="AN37">
        <v>1702</v>
      </c>
      <c r="AO37">
        <v>4.048</v>
      </c>
      <c r="AP37" s="3">
        <v>0.4626851851851852</v>
      </c>
      <c r="AQ37" s="1">
        <v>45133</v>
      </c>
      <c r="AR37">
        <v>-0.21</v>
      </c>
      <c r="AS37">
        <v>-1E-3</v>
      </c>
      <c r="AT37">
        <v>0</v>
      </c>
      <c r="AU37">
        <v>0.01</v>
      </c>
      <c r="AV37">
        <v>0.47499999999999998</v>
      </c>
      <c r="AW37">
        <v>0.76800000000000002</v>
      </c>
      <c r="AX37">
        <v>0.57699999999999996</v>
      </c>
      <c r="AY37">
        <v>1</v>
      </c>
      <c r="AZ37">
        <v>150</v>
      </c>
      <c r="BA37">
        <v>5.0000000000000001E-3</v>
      </c>
      <c r="BB37">
        <v>2</v>
      </c>
      <c r="BC37">
        <v>0</v>
      </c>
      <c r="BD37" t="s">
        <v>200</v>
      </c>
      <c r="BE37">
        <v>7000</v>
      </c>
      <c r="BF37">
        <v>500</v>
      </c>
      <c r="BG37">
        <v>5</v>
      </c>
      <c r="BH37">
        <v>2</v>
      </c>
      <c r="BI37">
        <v>300</v>
      </c>
      <c r="BJ37">
        <v>300</v>
      </c>
      <c r="BK37">
        <v>300</v>
      </c>
      <c r="BL37">
        <v>140.89930699999999</v>
      </c>
      <c r="BM37">
        <v>25</v>
      </c>
      <c r="BN37">
        <v>-7.2624630000000003</v>
      </c>
      <c r="BO37">
        <v>140.18296799999999</v>
      </c>
      <c r="BP37">
        <v>140.97607400000001</v>
      </c>
      <c r="BQ37">
        <v>-0.79310599999999998</v>
      </c>
      <c r="BR37">
        <v>2.4322490000000001</v>
      </c>
      <c r="BS37">
        <v>2.5035099999999999</v>
      </c>
      <c r="BT37">
        <v>1.5881700000000001</v>
      </c>
      <c r="BU37">
        <v>0.97160800000000003</v>
      </c>
      <c r="BV37">
        <v>0.244952</v>
      </c>
      <c r="BW37">
        <v>6.5464999999999995E-2</v>
      </c>
      <c r="BX37">
        <v>0.12623999999999999</v>
      </c>
      <c r="BY37">
        <v>1.6170960000000001</v>
      </c>
      <c r="BZ37">
        <v>93.504669000000007</v>
      </c>
      <c r="CA37">
        <v>3.3500000000000001E-4</v>
      </c>
      <c r="CB37">
        <v>2.3486280000000002</v>
      </c>
      <c r="CC37">
        <v>-5.1E-5</v>
      </c>
      <c r="CD37">
        <v>1</v>
      </c>
      <c r="CE37">
        <v>2.4109430000000001</v>
      </c>
      <c r="CF37">
        <v>-5.7000000000000003E-5</v>
      </c>
      <c r="CG37">
        <v>1</v>
      </c>
      <c r="CH37">
        <v>0.60051900000000002</v>
      </c>
      <c r="CI37">
        <v>0.60216099999999995</v>
      </c>
      <c r="CJ37">
        <v>0.107265</v>
      </c>
      <c r="CK37">
        <v>0</v>
      </c>
      <c r="CL37" t="s">
        <v>298</v>
      </c>
      <c r="CM37" t="s">
        <v>201</v>
      </c>
      <c r="CN37" t="s">
        <v>202</v>
      </c>
      <c r="CO37" t="s">
        <v>203</v>
      </c>
      <c r="CP37" t="s">
        <v>204</v>
      </c>
      <c r="CQ37" t="s">
        <v>205</v>
      </c>
      <c r="CR37" t="s">
        <v>206</v>
      </c>
    </row>
    <row r="38" spans="1:96">
      <c r="A38">
        <v>2</v>
      </c>
      <c r="B38" s="3">
        <v>0.4629861111111111</v>
      </c>
      <c r="C38" s="1">
        <v>45133</v>
      </c>
      <c r="D38" t="s">
        <v>196</v>
      </c>
      <c r="E38" t="s">
        <v>197</v>
      </c>
      <c r="G38">
        <v>2</v>
      </c>
      <c r="J38">
        <v>7.9520999999999994E-2</v>
      </c>
      <c r="K38">
        <v>2.9174250000000002</v>
      </c>
      <c r="L38">
        <v>7.7410999999999994E-2</v>
      </c>
      <c r="M38">
        <v>2.3715959999999998</v>
      </c>
      <c r="N38">
        <v>2.2151519999999998</v>
      </c>
      <c r="O38">
        <v>2.1527289999999999</v>
      </c>
      <c r="P38">
        <v>5.0227310000000003</v>
      </c>
      <c r="Q38">
        <v>2.807579</v>
      </c>
      <c r="R38">
        <v>22.598161999999999</v>
      </c>
      <c r="S38">
        <v>23.253444999999999</v>
      </c>
      <c r="T38">
        <v>52.725853000000001</v>
      </c>
      <c r="U38">
        <v>0.44178600000000001</v>
      </c>
      <c r="V38" t="s">
        <v>299</v>
      </c>
      <c r="W38">
        <v>0</v>
      </c>
      <c r="X38">
        <v>0</v>
      </c>
      <c r="Y38">
        <v>0</v>
      </c>
      <c r="Z38">
        <v>90.320351000000002</v>
      </c>
      <c r="AA38">
        <v>127.299385</v>
      </c>
      <c r="AB38">
        <v>0.290489</v>
      </c>
      <c r="AC38">
        <v>0.5</v>
      </c>
      <c r="AD38">
        <v>0.8</v>
      </c>
      <c r="AE38">
        <v>194.497086</v>
      </c>
      <c r="AF38">
        <v>59.18</v>
      </c>
      <c r="AG38">
        <v>57.51</v>
      </c>
      <c r="AH38">
        <v>27.76</v>
      </c>
      <c r="AI38">
        <v>32.9</v>
      </c>
      <c r="AJ38">
        <v>95.26</v>
      </c>
      <c r="AK38">
        <v>156.19999999999999</v>
      </c>
      <c r="AL38">
        <v>147.6</v>
      </c>
      <c r="AM38">
        <v>5.5</v>
      </c>
      <c r="AN38">
        <v>1674</v>
      </c>
      <c r="AO38">
        <v>4.048</v>
      </c>
      <c r="AP38" s="3">
        <v>0.4626851851851852</v>
      </c>
      <c r="AQ38" s="1">
        <v>45133</v>
      </c>
      <c r="AR38">
        <v>-0.21</v>
      </c>
      <c r="AS38">
        <v>0</v>
      </c>
      <c r="AT38">
        <v>1E-3</v>
      </c>
      <c r="AU38">
        <v>-9999</v>
      </c>
      <c r="AV38">
        <v>0.26600000000000001</v>
      </c>
      <c r="AW38">
        <v>1.1220000000000001</v>
      </c>
      <c r="AX38">
        <v>-9999</v>
      </c>
      <c r="AY38">
        <v>1</v>
      </c>
      <c r="AZ38">
        <v>150</v>
      </c>
      <c r="BA38">
        <v>5.0000000000000001E-3</v>
      </c>
      <c r="BB38">
        <v>2</v>
      </c>
      <c r="BC38">
        <v>0</v>
      </c>
      <c r="BD38" t="s">
        <v>200</v>
      </c>
      <c r="BE38">
        <v>7000</v>
      </c>
      <c r="BF38">
        <v>500</v>
      </c>
      <c r="BG38">
        <v>5</v>
      </c>
      <c r="BH38">
        <v>2</v>
      </c>
      <c r="BI38">
        <v>300</v>
      </c>
      <c r="BJ38">
        <v>300</v>
      </c>
      <c r="BK38">
        <v>300</v>
      </c>
      <c r="BL38">
        <v>120.19014</v>
      </c>
      <c r="BM38">
        <v>25</v>
      </c>
      <c r="BN38">
        <v>-5.2178589999999998</v>
      </c>
      <c r="BO38">
        <v>118.91055299999999</v>
      </c>
      <c r="BP38">
        <v>119.815369</v>
      </c>
      <c r="BQ38">
        <v>-0.90481599999999995</v>
      </c>
      <c r="BR38">
        <v>2.4309120000000002</v>
      </c>
      <c r="BS38">
        <v>2.5017990000000001</v>
      </c>
      <c r="BT38">
        <v>1.5866</v>
      </c>
      <c r="BU38">
        <v>0.97120099999999998</v>
      </c>
      <c r="BV38">
        <v>0.24432400000000001</v>
      </c>
      <c r="BW38">
        <v>6.4752000000000004E-2</v>
      </c>
      <c r="BX38">
        <v>0.12847500000000001</v>
      </c>
      <c r="BY38">
        <v>1.5917939999999999</v>
      </c>
      <c r="BZ38">
        <v>90.320351000000002</v>
      </c>
      <c r="CA38">
        <v>3.3399999999999999E-4</v>
      </c>
      <c r="CB38">
        <v>2.3486280000000002</v>
      </c>
      <c r="CC38">
        <v>-5.1E-5</v>
      </c>
      <c r="CD38">
        <v>1</v>
      </c>
      <c r="CE38">
        <v>2.4109430000000001</v>
      </c>
      <c r="CF38">
        <v>-5.7000000000000003E-5</v>
      </c>
      <c r="CG38">
        <v>1</v>
      </c>
      <c r="CH38">
        <v>0.60051900000000002</v>
      </c>
      <c r="CI38">
        <v>0.60216099999999995</v>
      </c>
      <c r="CJ38">
        <v>0.107265</v>
      </c>
      <c r="CK38">
        <v>0</v>
      </c>
      <c r="CL38" t="s">
        <v>299</v>
      </c>
      <c r="CM38" t="s">
        <v>201</v>
      </c>
      <c r="CN38" t="s">
        <v>202</v>
      </c>
      <c r="CO38" t="s">
        <v>203</v>
      </c>
      <c r="CP38" t="s">
        <v>204</v>
      </c>
      <c r="CQ38" t="s">
        <v>205</v>
      </c>
      <c r="CR38" t="s">
        <v>206</v>
      </c>
    </row>
    <row r="39" spans="1:96">
      <c r="A39">
        <v>3</v>
      </c>
      <c r="B39" s="3">
        <v>0.46315972222222218</v>
      </c>
      <c r="C39" s="1">
        <v>45133</v>
      </c>
      <c r="D39" t="s">
        <v>196</v>
      </c>
      <c r="E39" t="s">
        <v>197</v>
      </c>
      <c r="G39">
        <v>3</v>
      </c>
      <c r="J39">
        <v>0.115522</v>
      </c>
      <c r="K39">
        <v>2.918739</v>
      </c>
      <c r="L39">
        <v>0.111124</v>
      </c>
      <c r="M39">
        <v>2.2518950000000002</v>
      </c>
      <c r="N39">
        <v>2.2404259999999998</v>
      </c>
      <c r="O39">
        <v>2.1812260000000001</v>
      </c>
      <c r="P39">
        <v>4.1067359999999997</v>
      </c>
      <c r="Q39">
        <v>1.8663099999999999</v>
      </c>
      <c r="R39">
        <v>22.895202999999999</v>
      </c>
      <c r="S39">
        <v>23.5166</v>
      </c>
      <c r="T39">
        <v>43.106293000000001</v>
      </c>
      <c r="U39">
        <v>0.44178600000000001</v>
      </c>
      <c r="V39" t="s">
        <v>300</v>
      </c>
      <c r="W39">
        <v>0</v>
      </c>
      <c r="X39">
        <v>0</v>
      </c>
      <c r="Y39">
        <v>0</v>
      </c>
      <c r="Z39">
        <v>84.543944999999994</v>
      </c>
      <c r="AA39">
        <v>211.55342099999999</v>
      </c>
      <c r="AB39">
        <v>0.60036599999999996</v>
      </c>
      <c r="AC39">
        <v>0.5</v>
      </c>
      <c r="AD39">
        <v>0.8</v>
      </c>
      <c r="AE39">
        <v>386.77496300000001</v>
      </c>
      <c r="AF39">
        <v>59.63</v>
      </c>
      <c r="AG39">
        <v>58.05</v>
      </c>
      <c r="AH39">
        <v>27.83</v>
      </c>
      <c r="AI39">
        <v>29.36</v>
      </c>
      <c r="AJ39">
        <v>95.27</v>
      </c>
      <c r="AK39">
        <v>156.30000000000001</v>
      </c>
      <c r="AL39">
        <v>136.80000000000001</v>
      </c>
      <c r="AM39">
        <v>12.5</v>
      </c>
      <c r="AN39">
        <v>1611</v>
      </c>
      <c r="AO39">
        <v>4.0469999999999997</v>
      </c>
      <c r="AP39" s="3">
        <v>0.4626851851851852</v>
      </c>
      <c r="AQ39" s="1">
        <v>45133</v>
      </c>
      <c r="AR39">
        <v>-0.21</v>
      </c>
      <c r="AS39">
        <v>1E-3</v>
      </c>
      <c r="AT39">
        <v>1E-3</v>
      </c>
      <c r="AU39">
        <v>-2E-3</v>
      </c>
      <c r="AV39">
        <v>-1.24</v>
      </c>
      <c r="AW39">
        <v>-1.9219999999999999</v>
      </c>
      <c r="AX39">
        <v>7.0000000000000001E-3</v>
      </c>
      <c r="AY39">
        <v>1</v>
      </c>
      <c r="AZ39">
        <v>150</v>
      </c>
      <c r="BA39">
        <v>5.0000000000000001E-3</v>
      </c>
      <c r="BB39">
        <v>2</v>
      </c>
      <c r="BC39">
        <v>0</v>
      </c>
      <c r="BD39" t="s">
        <v>200</v>
      </c>
      <c r="BE39">
        <v>7000</v>
      </c>
      <c r="BF39">
        <v>500</v>
      </c>
      <c r="BG39">
        <v>5</v>
      </c>
      <c r="BH39">
        <v>2</v>
      </c>
      <c r="BI39">
        <v>300</v>
      </c>
      <c r="BJ39">
        <v>300</v>
      </c>
      <c r="BK39">
        <v>300</v>
      </c>
      <c r="BL39">
        <v>202.79324299999999</v>
      </c>
      <c r="BM39">
        <v>25</v>
      </c>
      <c r="BN39">
        <v>-5.8668100000000001</v>
      </c>
      <c r="BO39">
        <v>205.02806100000001</v>
      </c>
      <c r="BP39">
        <v>203.138611</v>
      </c>
      <c r="BQ39">
        <v>1.8894500000000001</v>
      </c>
      <c r="BR39">
        <v>2.4315669999999998</v>
      </c>
      <c r="BS39">
        <v>2.5023770000000001</v>
      </c>
      <c r="BT39">
        <v>1.5878669999999999</v>
      </c>
      <c r="BU39">
        <v>0.93805300000000003</v>
      </c>
      <c r="BV39">
        <v>0.24369299999999999</v>
      </c>
      <c r="BW39">
        <v>1.8828999999999999E-2</v>
      </c>
      <c r="BX39">
        <v>0.13106200000000001</v>
      </c>
      <c r="BY39">
        <v>1.5356559999999999</v>
      </c>
      <c r="BZ39">
        <v>84.543944999999994</v>
      </c>
      <c r="CA39">
        <v>3.3100000000000002E-4</v>
      </c>
      <c r="CB39">
        <v>2.3486280000000002</v>
      </c>
      <c r="CC39">
        <v>-5.1E-5</v>
      </c>
      <c r="CD39">
        <v>1</v>
      </c>
      <c r="CE39">
        <v>2.4109430000000001</v>
      </c>
      <c r="CF39">
        <v>-5.7000000000000003E-5</v>
      </c>
      <c r="CG39">
        <v>1</v>
      </c>
      <c r="CH39">
        <v>0.60051900000000002</v>
      </c>
      <c r="CI39">
        <v>0.60216099999999995</v>
      </c>
      <c r="CJ39">
        <v>0.107265</v>
      </c>
      <c r="CK39">
        <v>0</v>
      </c>
      <c r="CL39" t="s">
        <v>300</v>
      </c>
      <c r="CM39" t="s">
        <v>201</v>
      </c>
      <c r="CN39" t="s">
        <v>202</v>
      </c>
      <c r="CO39" t="s">
        <v>203</v>
      </c>
      <c r="CP39" t="s">
        <v>204</v>
      </c>
      <c r="CQ39" t="s">
        <v>205</v>
      </c>
      <c r="CR39" t="s">
        <v>206</v>
      </c>
    </row>
    <row r="40" spans="1:96">
      <c r="A40">
        <v>4</v>
      </c>
      <c r="B40" s="3">
        <v>0.46333333333333332</v>
      </c>
      <c r="C40" s="1">
        <v>45133</v>
      </c>
      <c r="D40" t="s">
        <v>196</v>
      </c>
      <c r="E40" t="s">
        <v>197</v>
      </c>
      <c r="G40">
        <v>4</v>
      </c>
      <c r="J40">
        <v>0.12013799999999999</v>
      </c>
      <c r="K40">
        <v>2.9187280000000002</v>
      </c>
      <c r="L40">
        <v>0.115388</v>
      </c>
      <c r="M40">
        <v>3.0671539999999999</v>
      </c>
      <c r="N40">
        <v>2.2992940000000002</v>
      </c>
      <c r="O40">
        <v>2.2187109999999999</v>
      </c>
      <c r="P40">
        <v>4.738175</v>
      </c>
      <c r="Q40">
        <v>2.4388800000000002</v>
      </c>
      <c r="R40">
        <v>23.288418</v>
      </c>
      <c r="S40">
        <v>24.134253000000001</v>
      </c>
      <c r="T40">
        <v>49.733649999999997</v>
      </c>
      <c r="U40">
        <v>0.44178600000000001</v>
      </c>
      <c r="V40" t="s">
        <v>301</v>
      </c>
      <c r="W40">
        <v>0</v>
      </c>
      <c r="X40">
        <v>0</v>
      </c>
      <c r="Y40">
        <v>0</v>
      </c>
      <c r="Z40">
        <v>112.63453699999999</v>
      </c>
      <c r="AA40">
        <v>187.896545</v>
      </c>
      <c r="AB40">
        <v>0.40055000000000002</v>
      </c>
      <c r="AC40">
        <v>0.5</v>
      </c>
      <c r="AD40">
        <v>0.8</v>
      </c>
      <c r="AE40">
        <v>262.15475500000002</v>
      </c>
      <c r="AF40">
        <v>60.95</v>
      </c>
      <c r="AG40">
        <v>58.82</v>
      </c>
      <c r="AH40">
        <v>27.9</v>
      </c>
      <c r="AI40">
        <v>31.86</v>
      </c>
      <c r="AJ40">
        <v>95.27</v>
      </c>
      <c r="AK40">
        <v>156.30000000000001</v>
      </c>
      <c r="AL40">
        <v>147.6</v>
      </c>
      <c r="AM40">
        <v>5.6</v>
      </c>
      <c r="AN40">
        <v>1636</v>
      </c>
      <c r="AO40">
        <v>4.0460000000000003</v>
      </c>
      <c r="AP40" s="3">
        <v>0.4626851851851852</v>
      </c>
      <c r="AQ40" s="1">
        <v>45133</v>
      </c>
      <c r="AR40">
        <v>-0.21</v>
      </c>
      <c r="AS40">
        <v>-1E-3</v>
      </c>
      <c r="AT40">
        <v>-2E-3</v>
      </c>
      <c r="AU40">
        <v>-9999</v>
      </c>
      <c r="AV40">
        <v>-2.3E-2</v>
      </c>
      <c r="AW40">
        <v>2.4460000000000002</v>
      </c>
      <c r="AX40">
        <v>-9999</v>
      </c>
      <c r="AY40">
        <v>1</v>
      </c>
      <c r="AZ40">
        <v>150</v>
      </c>
      <c r="BA40">
        <v>5.0000000000000001E-3</v>
      </c>
      <c r="BB40">
        <v>2</v>
      </c>
      <c r="BC40">
        <v>0</v>
      </c>
      <c r="BD40" t="s">
        <v>200</v>
      </c>
      <c r="BE40">
        <v>7000</v>
      </c>
      <c r="BF40">
        <v>500</v>
      </c>
      <c r="BG40">
        <v>5</v>
      </c>
      <c r="BH40">
        <v>2</v>
      </c>
      <c r="BI40">
        <v>300</v>
      </c>
      <c r="BJ40">
        <v>300</v>
      </c>
      <c r="BK40">
        <v>300</v>
      </c>
      <c r="BL40">
        <v>173.02787799999999</v>
      </c>
      <c r="BM40">
        <v>25</v>
      </c>
      <c r="BN40">
        <v>-10.949809999999999</v>
      </c>
      <c r="BO40">
        <v>170.23873900000001</v>
      </c>
      <c r="BP40">
        <v>172.191147</v>
      </c>
      <c r="BQ40">
        <v>-1.9524079999999999</v>
      </c>
      <c r="BR40">
        <v>2.4325009999999998</v>
      </c>
      <c r="BS40">
        <v>2.5041220000000002</v>
      </c>
      <c r="BT40">
        <v>1.5878570000000001</v>
      </c>
      <c r="BU40">
        <v>0.97129500000000002</v>
      </c>
      <c r="BV40">
        <v>0.24304300000000001</v>
      </c>
      <c r="BW40">
        <v>4.9708000000000002E-2</v>
      </c>
      <c r="BX40">
        <v>0.133603</v>
      </c>
      <c r="BY40">
        <v>1.558392</v>
      </c>
      <c r="BZ40">
        <v>112.63453699999999</v>
      </c>
      <c r="CA40">
        <v>3.3E-4</v>
      </c>
      <c r="CB40">
        <v>2.3486280000000002</v>
      </c>
      <c r="CC40">
        <v>-5.1E-5</v>
      </c>
      <c r="CD40">
        <v>1</v>
      </c>
      <c r="CE40">
        <v>2.4109430000000001</v>
      </c>
      <c r="CF40">
        <v>-5.7000000000000003E-5</v>
      </c>
      <c r="CG40">
        <v>1</v>
      </c>
      <c r="CH40">
        <v>0.60051900000000002</v>
      </c>
      <c r="CI40">
        <v>0.60216099999999995</v>
      </c>
      <c r="CJ40">
        <v>0.107265</v>
      </c>
      <c r="CK40">
        <v>0</v>
      </c>
      <c r="CL40" t="s">
        <v>301</v>
      </c>
      <c r="CM40" t="s">
        <v>201</v>
      </c>
      <c r="CN40" t="s">
        <v>202</v>
      </c>
      <c r="CO40" t="s">
        <v>203</v>
      </c>
      <c r="CP40" t="s">
        <v>204</v>
      </c>
      <c r="CQ40" t="s">
        <v>205</v>
      </c>
      <c r="CR40" t="s">
        <v>206</v>
      </c>
    </row>
    <row r="41" spans="1:96">
      <c r="A41">
        <v>1</v>
      </c>
      <c r="B41" s="3">
        <v>0.4690509259259259</v>
      </c>
      <c r="C41" s="1">
        <v>45133</v>
      </c>
      <c r="D41" t="s">
        <v>196</v>
      </c>
      <c r="E41" t="s">
        <v>197</v>
      </c>
      <c r="G41">
        <v>1</v>
      </c>
      <c r="J41">
        <v>0.15687499999999999</v>
      </c>
      <c r="K41">
        <v>2.9180380000000001</v>
      </c>
      <c r="L41">
        <v>0.148871</v>
      </c>
      <c r="M41">
        <v>4.0061450000000001</v>
      </c>
      <c r="N41">
        <v>2.3198840000000001</v>
      </c>
      <c r="O41">
        <v>2.214607</v>
      </c>
      <c r="P41">
        <v>4.7877419999999997</v>
      </c>
      <c r="Q41">
        <v>2.4678580000000001</v>
      </c>
      <c r="R41">
        <v>23.247726</v>
      </c>
      <c r="S41">
        <v>24.352861000000001</v>
      </c>
      <c r="T41">
        <v>50.259070999999999</v>
      </c>
      <c r="U41">
        <v>0.44178600000000001</v>
      </c>
      <c r="V41" t="s">
        <v>302</v>
      </c>
      <c r="W41">
        <v>0</v>
      </c>
      <c r="X41">
        <v>0</v>
      </c>
      <c r="Y41">
        <v>0</v>
      </c>
      <c r="Z41">
        <v>131.98614499999999</v>
      </c>
      <c r="AA41">
        <v>203.45141599999999</v>
      </c>
      <c r="AB41">
        <v>0.35126499999999999</v>
      </c>
      <c r="AC41">
        <v>0.5</v>
      </c>
      <c r="AD41">
        <v>0.8</v>
      </c>
      <c r="AE41">
        <v>281.38317899999998</v>
      </c>
      <c r="AF41">
        <v>59.94</v>
      </c>
      <c r="AG41">
        <v>57.22</v>
      </c>
      <c r="AH41">
        <v>28.34</v>
      </c>
      <c r="AI41">
        <v>32.049999999999997</v>
      </c>
      <c r="AJ41">
        <v>95.26</v>
      </c>
      <c r="AK41">
        <v>156.19999999999999</v>
      </c>
      <c r="AL41">
        <v>147.9</v>
      </c>
      <c r="AM41">
        <v>5.4</v>
      </c>
      <c r="AN41">
        <v>2003</v>
      </c>
      <c r="AO41">
        <v>4.0469999999999997</v>
      </c>
      <c r="AP41" s="3">
        <v>0.46895833333333337</v>
      </c>
      <c r="AQ41" s="1">
        <v>45133</v>
      </c>
      <c r="AR41">
        <v>-0.27</v>
      </c>
      <c r="AS41">
        <v>1E-3</v>
      </c>
      <c r="AT41">
        <v>1E-3</v>
      </c>
      <c r="AU41">
        <v>-9999</v>
      </c>
      <c r="AV41">
        <v>-1.018</v>
      </c>
      <c r="AW41">
        <v>-0.121</v>
      </c>
      <c r="AX41">
        <v>-9999</v>
      </c>
      <c r="AY41">
        <v>1</v>
      </c>
      <c r="AZ41">
        <v>150</v>
      </c>
      <c r="BA41">
        <v>5.0000000000000001E-3</v>
      </c>
      <c r="BB41">
        <v>2</v>
      </c>
      <c r="BC41">
        <v>0</v>
      </c>
      <c r="BD41" t="s">
        <v>200</v>
      </c>
      <c r="BE41">
        <v>7000</v>
      </c>
      <c r="BF41">
        <v>500</v>
      </c>
      <c r="BG41">
        <v>5</v>
      </c>
      <c r="BH41">
        <v>2</v>
      </c>
      <c r="BI41">
        <v>300</v>
      </c>
      <c r="BJ41">
        <v>300</v>
      </c>
      <c r="BK41">
        <v>300</v>
      </c>
      <c r="BL41">
        <v>195.04737900000001</v>
      </c>
      <c r="BM41">
        <v>25</v>
      </c>
      <c r="BN41">
        <v>-5.7708700000000004</v>
      </c>
      <c r="BO41">
        <v>196.578384</v>
      </c>
      <c r="BP41">
        <v>195.17420999999999</v>
      </c>
      <c r="BQ41">
        <v>1.404175</v>
      </c>
      <c r="BR41">
        <v>2.4304130000000002</v>
      </c>
      <c r="BS41">
        <v>2.502739</v>
      </c>
      <c r="BT41">
        <v>1.587191</v>
      </c>
      <c r="BU41">
        <v>0.97205299999999994</v>
      </c>
      <c r="BV41">
        <v>0.23883699999999999</v>
      </c>
      <c r="BW41">
        <v>4.6577E-2</v>
      </c>
      <c r="BX41">
        <v>0.19087999999999999</v>
      </c>
      <c r="BY41">
        <v>1.88337</v>
      </c>
      <c r="BZ41">
        <v>131.98614499999999</v>
      </c>
      <c r="CA41">
        <v>3.3700000000000001E-4</v>
      </c>
      <c r="CB41">
        <v>2.3486280000000002</v>
      </c>
      <c r="CC41">
        <v>-5.1E-5</v>
      </c>
      <c r="CD41">
        <v>1</v>
      </c>
      <c r="CE41">
        <v>2.4109430000000001</v>
      </c>
      <c r="CF41">
        <v>-5.7000000000000003E-5</v>
      </c>
      <c r="CG41">
        <v>1</v>
      </c>
      <c r="CH41">
        <v>0.60051900000000002</v>
      </c>
      <c r="CI41">
        <v>0.60216099999999995</v>
      </c>
      <c r="CJ41">
        <v>0.107265</v>
      </c>
      <c r="CK41">
        <v>0</v>
      </c>
      <c r="CL41" t="s">
        <v>302</v>
      </c>
      <c r="CM41" t="s">
        <v>201</v>
      </c>
      <c r="CN41" t="s">
        <v>202</v>
      </c>
      <c r="CO41" t="s">
        <v>203</v>
      </c>
      <c r="CP41" t="s">
        <v>204</v>
      </c>
      <c r="CQ41" t="s">
        <v>205</v>
      </c>
      <c r="CR41" t="s">
        <v>206</v>
      </c>
    </row>
    <row r="42" spans="1:96">
      <c r="A42">
        <v>2</v>
      </c>
      <c r="B42" s="3">
        <v>0.46918981481481481</v>
      </c>
      <c r="C42" s="1">
        <v>45133</v>
      </c>
      <c r="D42" t="s">
        <v>196</v>
      </c>
      <c r="E42" t="s">
        <v>197</v>
      </c>
      <c r="G42">
        <v>2</v>
      </c>
      <c r="J42">
        <v>0.18581500000000001</v>
      </c>
      <c r="K42">
        <v>2.919521</v>
      </c>
      <c r="L42">
        <v>0.17469699999999999</v>
      </c>
      <c r="M42">
        <v>4.8604240000000001</v>
      </c>
      <c r="N42">
        <v>2.3474870000000001</v>
      </c>
      <c r="O42">
        <v>2.219948</v>
      </c>
      <c r="P42">
        <v>4.897087</v>
      </c>
      <c r="Q42">
        <v>2.5495999999999999</v>
      </c>
      <c r="R42">
        <v>23.303661000000002</v>
      </c>
      <c r="S42">
        <v>24.642493999999999</v>
      </c>
      <c r="T42">
        <v>51.406638999999998</v>
      </c>
      <c r="U42">
        <v>0.44178600000000001</v>
      </c>
      <c r="V42" t="s">
        <v>303</v>
      </c>
      <c r="W42">
        <v>0</v>
      </c>
      <c r="X42">
        <v>0</v>
      </c>
      <c r="Y42">
        <v>0</v>
      </c>
      <c r="Z42">
        <v>133.42988600000001</v>
      </c>
      <c r="AA42">
        <v>200.320572</v>
      </c>
      <c r="AB42">
        <v>0.33391799999999999</v>
      </c>
      <c r="AC42">
        <v>0.5</v>
      </c>
      <c r="AD42">
        <v>0.8</v>
      </c>
      <c r="AE42">
        <v>268.615295</v>
      </c>
      <c r="AF42">
        <v>60.45</v>
      </c>
      <c r="AG42">
        <v>57.16</v>
      </c>
      <c r="AH42">
        <v>28.4</v>
      </c>
      <c r="AI42">
        <v>32.450000000000003</v>
      </c>
      <c r="AJ42">
        <v>95.26</v>
      </c>
      <c r="AK42">
        <v>156.4</v>
      </c>
      <c r="AL42">
        <v>147.80000000000001</v>
      </c>
      <c r="AM42">
        <v>5.5</v>
      </c>
      <c r="AN42">
        <v>2011</v>
      </c>
      <c r="AO42">
        <v>4.0449999999999999</v>
      </c>
      <c r="AP42" s="3">
        <v>0.46895833333333337</v>
      </c>
      <c r="AQ42" s="1">
        <v>45133</v>
      </c>
      <c r="AR42">
        <v>-0.27</v>
      </c>
      <c r="AS42">
        <v>-3.0000000000000001E-3</v>
      </c>
      <c r="AT42">
        <v>1E-3</v>
      </c>
      <c r="AU42">
        <v>0.01</v>
      </c>
      <c r="AV42">
        <v>-0.52100000000000002</v>
      </c>
      <c r="AW42">
        <v>-1.175</v>
      </c>
      <c r="AX42">
        <v>-1.3440000000000001</v>
      </c>
      <c r="AY42">
        <v>1</v>
      </c>
      <c r="AZ42">
        <v>150</v>
      </c>
      <c r="BA42">
        <v>5.0000000000000001E-3</v>
      </c>
      <c r="BB42">
        <v>2</v>
      </c>
      <c r="BC42">
        <v>0</v>
      </c>
      <c r="BD42" t="s">
        <v>200</v>
      </c>
      <c r="BE42">
        <v>7000</v>
      </c>
      <c r="BF42">
        <v>500</v>
      </c>
      <c r="BG42">
        <v>5</v>
      </c>
      <c r="BH42">
        <v>2</v>
      </c>
      <c r="BI42">
        <v>300</v>
      </c>
      <c r="BJ42">
        <v>300</v>
      </c>
      <c r="BK42">
        <v>300</v>
      </c>
      <c r="BL42">
        <v>191.208237</v>
      </c>
      <c r="BM42">
        <v>25</v>
      </c>
      <c r="BN42">
        <v>-6.2741020000000001</v>
      </c>
      <c r="BO42">
        <v>191.85732999999999</v>
      </c>
      <c r="BP42">
        <v>191.32157900000001</v>
      </c>
      <c r="BQ42">
        <v>0.53575099999999998</v>
      </c>
      <c r="BR42">
        <v>2.430326</v>
      </c>
      <c r="BS42">
        <v>2.503396</v>
      </c>
      <c r="BT42">
        <v>1.588624</v>
      </c>
      <c r="BU42">
        <v>0.97191499999999997</v>
      </c>
      <c r="BV42">
        <v>0.23828099999999999</v>
      </c>
      <c r="BW42">
        <v>5.1000999999999998E-2</v>
      </c>
      <c r="BX42">
        <v>0.19276499999999999</v>
      </c>
      <c r="BY42">
        <v>1.890857</v>
      </c>
      <c r="BZ42">
        <v>133.42988600000001</v>
      </c>
      <c r="CA42">
        <v>3.3799999999999998E-4</v>
      </c>
      <c r="CB42">
        <v>2.3486280000000002</v>
      </c>
      <c r="CC42">
        <v>-5.1E-5</v>
      </c>
      <c r="CD42">
        <v>1</v>
      </c>
      <c r="CE42">
        <v>2.4109430000000001</v>
      </c>
      <c r="CF42">
        <v>-5.7000000000000003E-5</v>
      </c>
      <c r="CG42">
        <v>1</v>
      </c>
      <c r="CH42">
        <v>0.60051900000000002</v>
      </c>
      <c r="CI42">
        <v>0.60216099999999995</v>
      </c>
      <c r="CJ42">
        <v>0.107265</v>
      </c>
      <c r="CK42">
        <v>0</v>
      </c>
      <c r="CL42" t="s">
        <v>303</v>
      </c>
      <c r="CM42" t="s">
        <v>201</v>
      </c>
      <c r="CN42" t="s">
        <v>202</v>
      </c>
      <c r="CO42" t="s">
        <v>203</v>
      </c>
      <c r="CP42" t="s">
        <v>204</v>
      </c>
      <c r="CQ42" t="s">
        <v>205</v>
      </c>
      <c r="CR42" t="s">
        <v>206</v>
      </c>
    </row>
    <row r="43" spans="1:96">
      <c r="A43">
        <v>3</v>
      </c>
      <c r="B43" s="3">
        <v>0.46934027777777776</v>
      </c>
      <c r="C43" s="1">
        <v>45133</v>
      </c>
      <c r="D43" t="s">
        <v>196</v>
      </c>
      <c r="E43" t="s">
        <v>197</v>
      </c>
      <c r="G43">
        <v>3</v>
      </c>
      <c r="J43">
        <v>8.1886E-2</v>
      </c>
      <c r="K43">
        <v>2.9193220000000002</v>
      </c>
      <c r="L43">
        <v>7.9651E-2</v>
      </c>
      <c r="M43">
        <v>2.3414450000000002</v>
      </c>
      <c r="N43">
        <v>2.1976800000000001</v>
      </c>
      <c r="O43">
        <v>2.136126</v>
      </c>
      <c r="P43">
        <v>4.8939760000000003</v>
      </c>
      <c r="Q43">
        <v>2.6962959999999998</v>
      </c>
      <c r="R43">
        <v>22.422167000000002</v>
      </c>
      <c r="S43">
        <v>23.068273999999999</v>
      </c>
      <c r="T43">
        <v>51.370345999999998</v>
      </c>
      <c r="U43">
        <v>0.44178600000000001</v>
      </c>
      <c r="V43" t="s">
        <v>304</v>
      </c>
      <c r="W43">
        <v>0</v>
      </c>
      <c r="X43">
        <v>0</v>
      </c>
      <c r="Y43">
        <v>0</v>
      </c>
      <c r="Z43">
        <v>268.75054899999998</v>
      </c>
      <c r="AA43">
        <v>315.70693999999997</v>
      </c>
      <c r="AB43">
        <v>0.14873400000000001</v>
      </c>
      <c r="AC43">
        <v>0.5</v>
      </c>
      <c r="AD43">
        <v>0.8</v>
      </c>
      <c r="AE43">
        <v>120.142456</v>
      </c>
      <c r="AF43">
        <v>56.41</v>
      </c>
      <c r="AG43">
        <v>54.83</v>
      </c>
      <c r="AH43">
        <v>28.45</v>
      </c>
      <c r="AI43">
        <v>32.44</v>
      </c>
      <c r="AJ43">
        <v>95.27</v>
      </c>
      <c r="AK43">
        <v>156.4</v>
      </c>
      <c r="AL43">
        <v>147.80000000000001</v>
      </c>
      <c r="AM43">
        <v>5.5</v>
      </c>
      <c r="AN43">
        <v>2019</v>
      </c>
      <c r="AO43">
        <v>4.0449999999999999</v>
      </c>
      <c r="AP43" s="3">
        <v>0.46895833333333337</v>
      </c>
      <c r="AQ43" s="1">
        <v>45133</v>
      </c>
      <c r="AR43">
        <v>-0.27</v>
      </c>
      <c r="AS43">
        <v>-1E-3</v>
      </c>
      <c r="AT43">
        <v>-3.0000000000000001E-3</v>
      </c>
      <c r="AU43">
        <v>3.0000000000000001E-3</v>
      </c>
      <c r="AV43">
        <v>-2.5489999999999999</v>
      </c>
      <c r="AW43">
        <v>-4.8449999999999998</v>
      </c>
      <c r="AX43">
        <v>-10.86</v>
      </c>
      <c r="AY43">
        <v>1</v>
      </c>
      <c r="AZ43">
        <v>150</v>
      </c>
      <c r="BA43">
        <v>5.0000000000000001E-3</v>
      </c>
      <c r="BB43">
        <v>2</v>
      </c>
      <c r="BC43">
        <v>0</v>
      </c>
      <c r="BD43" t="s">
        <v>200</v>
      </c>
      <c r="BE43">
        <v>7000</v>
      </c>
      <c r="BF43">
        <v>500</v>
      </c>
      <c r="BG43">
        <v>5</v>
      </c>
      <c r="BH43">
        <v>2</v>
      </c>
      <c r="BI43">
        <v>300</v>
      </c>
      <c r="BJ43">
        <v>300</v>
      </c>
      <c r="BK43">
        <v>300</v>
      </c>
      <c r="BL43">
        <v>312.33108499999997</v>
      </c>
      <c r="BM43">
        <v>25</v>
      </c>
      <c r="BN43">
        <v>-2.4654720000000001</v>
      </c>
      <c r="BO43">
        <v>314.188965</v>
      </c>
      <c r="BP43">
        <v>312.17068499999999</v>
      </c>
      <c r="BQ43">
        <v>2.0182799999999999</v>
      </c>
      <c r="BR43">
        <v>2.4274110000000002</v>
      </c>
      <c r="BS43">
        <v>2.4980129999999998</v>
      </c>
      <c r="BT43">
        <v>1.5884320000000001</v>
      </c>
      <c r="BU43">
        <v>0.97174899999999997</v>
      </c>
      <c r="BV43">
        <v>0.23777400000000001</v>
      </c>
      <c r="BW43">
        <v>5.0181000000000003E-2</v>
      </c>
      <c r="BX43">
        <v>0.19461600000000001</v>
      </c>
      <c r="BY43">
        <v>1.898245</v>
      </c>
      <c r="BZ43">
        <v>268.75054899999998</v>
      </c>
      <c r="CA43">
        <v>3.3700000000000001E-4</v>
      </c>
      <c r="CB43">
        <v>2.3486280000000002</v>
      </c>
      <c r="CC43">
        <v>-5.1E-5</v>
      </c>
      <c r="CD43">
        <v>1</v>
      </c>
      <c r="CE43">
        <v>2.4109430000000001</v>
      </c>
      <c r="CF43">
        <v>-5.7000000000000003E-5</v>
      </c>
      <c r="CG43">
        <v>1</v>
      </c>
      <c r="CH43">
        <v>0.60051900000000002</v>
      </c>
      <c r="CI43">
        <v>0.60216099999999995</v>
      </c>
      <c r="CJ43">
        <v>0.107265</v>
      </c>
      <c r="CK43">
        <v>0</v>
      </c>
      <c r="CL43" t="s">
        <v>304</v>
      </c>
      <c r="CM43" t="s">
        <v>201</v>
      </c>
      <c r="CN43" t="s">
        <v>202</v>
      </c>
      <c r="CO43" t="s">
        <v>203</v>
      </c>
      <c r="CP43" t="s">
        <v>204</v>
      </c>
      <c r="CQ43" t="s">
        <v>205</v>
      </c>
      <c r="CR43" t="s">
        <v>206</v>
      </c>
    </row>
    <row r="44" spans="1:96">
      <c r="A44">
        <v>4</v>
      </c>
      <c r="B44" s="3">
        <v>0.46945601851851854</v>
      </c>
      <c r="C44" s="1">
        <v>45133</v>
      </c>
      <c r="D44" t="s">
        <v>196</v>
      </c>
      <c r="E44" t="s">
        <v>197</v>
      </c>
      <c r="G44">
        <v>4</v>
      </c>
      <c r="J44">
        <v>0.17080999999999999</v>
      </c>
      <c r="K44">
        <v>2.9198580000000001</v>
      </c>
      <c r="L44">
        <v>0.16137000000000001</v>
      </c>
      <c r="M44">
        <v>4.5913659999999998</v>
      </c>
      <c r="N44">
        <v>2.2885430000000002</v>
      </c>
      <c r="O44">
        <v>2.1680139999999999</v>
      </c>
      <c r="P44">
        <v>4.8968540000000003</v>
      </c>
      <c r="Q44">
        <v>2.608311</v>
      </c>
      <c r="R44">
        <v>22.757601000000001</v>
      </c>
      <c r="S44">
        <v>24.022784999999999</v>
      </c>
      <c r="T44">
        <v>51.402172</v>
      </c>
      <c r="U44">
        <v>0.44178600000000001</v>
      </c>
      <c r="V44" t="s">
        <v>305</v>
      </c>
      <c r="W44">
        <v>0</v>
      </c>
      <c r="X44">
        <v>0</v>
      </c>
      <c r="Y44">
        <v>0</v>
      </c>
      <c r="Z44">
        <v>100.333214</v>
      </c>
      <c r="AA44">
        <v>173.49650600000001</v>
      </c>
      <c r="AB44">
        <v>0.42169899999999999</v>
      </c>
      <c r="AC44">
        <v>0.5</v>
      </c>
      <c r="AD44">
        <v>0.8</v>
      </c>
      <c r="AE44">
        <v>333.051422</v>
      </c>
      <c r="AF44">
        <v>58.61</v>
      </c>
      <c r="AG44">
        <v>55.52</v>
      </c>
      <c r="AH44">
        <v>28.49</v>
      </c>
      <c r="AI44">
        <v>32.450000000000003</v>
      </c>
      <c r="AJ44">
        <v>95.27</v>
      </c>
      <c r="AK44">
        <v>156.5</v>
      </c>
      <c r="AL44">
        <v>147.80000000000001</v>
      </c>
      <c r="AM44">
        <v>5.5</v>
      </c>
      <c r="AN44">
        <v>1974</v>
      </c>
      <c r="AO44">
        <v>4.0449999999999999</v>
      </c>
      <c r="AP44" s="3">
        <v>0.46895833333333337</v>
      </c>
      <c r="AQ44" s="1">
        <v>45133</v>
      </c>
      <c r="AR44">
        <v>-0.27</v>
      </c>
      <c r="AS44">
        <v>2E-3</v>
      </c>
      <c r="AT44">
        <v>3.0000000000000001E-3</v>
      </c>
      <c r="AU44">
        <v>-9999</v>
      </c>
      <c r="AV44">
        <v>-3.1E-2</v>
      </c>
      <c r="AW44">
        <v>0.53300000000000003</v>
      </c>
      <c r="AX44">
        <v>-9999</v>
      </c>
      <c r="AY44">
        <v>1</v>
      </c>
      <c r="AZ44">
        <v>150</v>
      </c>
      <c r="BA44">
        <v>5.0000000000000001E-3</v>
      </c>
      <c r="BB44">
        <v>2</v>
      </c>
      <c r="BC44">
        <v>0</v>
      </c>
      <c r="BD44" t="s">
        <v>200</v>
      </c>
      <c r="BE44">
        <v>7000</v>
      </c>
      <c r="BF44">
        <v>500</v>
      </c>
      <c r="BG44">
        <v>5</v>
      </c>
      <c r="BH44">
        <v>2</v>
      </c>
      <c r="BI44">
        <v>300</v>
      </c>
      <c r="BJ44">
        <v>300</v>
      </c>
      <c r="BK44">
        <v>300</v>
      </c>
      <c r="BL44">
        <v>159.579285</v>
      </c>
      <c r="BM44">
        <v>25</v>
      </c>
      <c r="BN44">
        <v>-9.6202290000000001</v>
      </c>
      <c r="BO44">
        <v>159.000992</v>
      </c>
      <c r="BP44">
        <v>159.69813500000001</v>
      </c>
      <c r="BQ44">
        <v>-0.69714399999999999</v>
      </c>
      <c r="BR44">
        <v>2.4282590000000002</v>
      </c>
      <c r="BS44">
        <v>2.5009269999999999</v>
      </c>
      <c r="BT44">
        <v>1.588951</v>
      </c>
      <c r="BU44">
        <v>0.97187699999999999</v>
      </c>
      <c r="BV44">
        <v>0.23739199999999999</v>
      </c>
      <c r="BW44">
        <v>4.9807999999999998E-2</v>
      </c>
      <c r="BX44">
        <v>0.19602</v>
      </c>
      <c r="BY44">
        <v>1.858376</v>
      </c>
      <c r="BZ44">
        <v>100.333214</v>
      </c>
      <c r="CA44">
        <v>3.3300000000000002E-4</v>
      </c>
      <c r="CB44">
        <v>2.3486280000000002</v>
      </c>
      <c r="CC44">
        <v>-5.1E-5</v>
      </c>
      <c r="CD44">
        <v>1</v>
      </c>
      <c r="CE44">
        <v>2.4109430000000001</v>
      </c>
      <c r="CF44">
        <v>-5.7000000000000003E-5</v>
      </c>
      <c r="CG44">
        <v>1</v>
      </c>
      <c r="CH44">
        <v>0.60051900000000002</v>
      </c>
      <c r="CI44">
        <v>0.60216099999999995</v>
      </c>
      <c r="CJ44">
        <v>0.107265</v>
      </c>
      <c r="CK44">
        <v>0</v>
      </c>
      <c r="CL44" t="s">
        <v>305</v>
      </c>
      <c r="CM44" t="s">
        <v>201</v>
      </c>
      <c r="CN44" t="s">
        <v>202</v>
      </c>
      <c r="CO44" t="s">
        <v>203</v>
      </c>
      <c r="CP44" t="s">
        <v>204</v>
      </c>
      <c r="CQ44" t="s">
        <v>205</v>
      </c>
      <c r="CR44" t="s">
        <v>206</v>
      </c>
    </row>
    <row r="45" spans="1:96">
      <c r="A45">
        <v>1</v>
      </c>
      <c r="B45" s="3">
        <v>0.47770833333333335</v>
      </c>
      <c r="C45" s="1">
        <v>45133</v>
      </c>
      <c r="D45" t="s">
        <v>196</v>
      </c>
      <c r="E45" t="s">
        <v>197</v>
      </c>
      <c r="G45">
        <v>1</v>
      </c>
      <c r="J45">
        <v>0.22331799999999999</v>
      </c>
      <c r="K45">
        <v>2.9176289999999998</v>
      </c>
      <c r="L45">
        <v>0.20744000000000001</v>
      </c>
      <c r="M45">
        <v>5.0759889999999999</v>
      </c>
      <c r="N45">
        <v>2.3629959999999999</v>
      </c>
      <c r="O45">
        <v>2.2296299999999998</v>
      </c>
      <c r="P45">
        <v>4.6086049999999998</v>
      </c>
      <c r="Q45">
        <v>2.245609</v>
      </c>
      <c r="R45">
        <v>23.406466999999999</v>
      </c>
      <c r="S45">
        <v>24.806532000000001</v>
      </c>
      <c r="T45">
        <v>48.380749000000002</v>
      </c>
      <c r="U45">
        <v>0.44178600000000001</v>
      </c>
      <c r="V45" t="s">
        <v>306</v>
      </c>
      <c r="W45">
        <v>0</v>
      </c>
      <c r="X45">
        <v>0</v>
      </c>
      <c r="Y45">
        <v>0</v>
      </c>
      <c r="Z45">
        <v>162.62661700000001</v>
      </c>
      <c r="AA45">
        <v>278.92904700000003</v>
      </c>
      <c r="AB45">
        <v>0.41696100000000003</v>
      </c>
      <c r="AC45">
        <v>0.5</v>
      </c>
      <c r="AD45">
        <v>0.8</v>
      </c>
      <c r="AE45">
        <v>307.74285900000001</v>
      </c>
      <c r="AF45">
        <v>59.01</v>
      </c>
      <c r="AG45">
        <v>55.68</v>
      </c>
      <c r="AH45">
        <v>28.92</v>
      </c>
      <c r="AI45">
        <v>31.37</v>
      </c>
      <c r="AJ45">
        <v>95.26</v>
      </c>
      <c r="AK45">
        <v>156.19999999999999</v>
      </c>
      <c r="AL45">
        <v>147.69999999999999</v>
      </c>
      <c r="AM45">
        <v>5.4</v>
      </c>
      <c r="AN45">
        <v>1845</v>
      </c>
      <c r="AO45">
        <v>4.0439999999999996</v>
      </c>
      <c r="AP45" s="3">
        <v>0.47758101851851853</v>
      </c>
      <c r="AQ45" s="1">
        <v>45133</v>
      </c>
      <c r="AR45">
        <v>-0.26</v>
      </c>
      <c r="AS45">
        <v>-2E-3</v>
      </c>
      <c r="AT45">
        <v>0</v>
      </c>
      <c r="AU45">
        <v>-8.9999999999999993E-3</v>
      </c>
      <c r="AV45">
        <v>2.5569999999999999</v>
      </c>
      <c r="AW45">
        <v>3.42</v>
      </c>
      <c r="AX45">
        <v>12.391999999999999</v>
      </c>
      <c r="AY45">
        <v>1</v>
      </c>
      <c r="AZ45">
        <v>150</v>
      </c>
      <c r="BA45">
        <v>5.0000000000000001E-3</v>
      </c>
      <c r="BB45">
        <v>2</v>
      </c>
      <c r="BC45">
        <v>0</v>
      </c>
      <c r="BD45" t="s">
        <v>200</v>
      </c>
      <c r="BE45">
        <v>7000</v>
      </c>
      <c r="BF45">
        <v>500</v>
      </c>
      <c r="BG45">
        <v>5</v>
      </c>
      <c r="BH45">
        <v>2</v>
      </c>
      <c r="BI45">
        <v>300</v>
      </c>
      <c r="BJ45">
        <v>300</v>
      </c>
      <c r="BK45">
        <v>300</v>
      </c>
      <c r="BL45">
        <v>263.36325099999999</v>
      </c>
      <c r="BM45">
        <v>25</v>
      </c>
      <c r="BN45">
        <v>-10.785083</v>
      </c>
      <c r="BO45">
        <v>263.29852299999999</v>
      </c>
      <c r="BP45">
        <v>263.45992999999999</v>
      </c>
      <c r="BQ45">
        <v>-0.16140699999999999</v>
      </c>
      <c r="BR45">
        <v>2.4283600000000001</v>
      </c>
      <c r="BS45">
        <v>2.5013489999999998</v>
      </c>
      <c r="BT45">
        <v>1.586797</v>
      </c>
      <c r="BU45">
        <v>0.97159099999999998</v>
      </c>
      <c r="BV45">
        <v>0.23336499999999999</v>
      </c>
      <c r="BW45">
        <v>3.0637000000000001E-2</v>
      </c>
      <c r="BX45">
        <v>0.161801</v>
      </c>
      <c r="BY45">
        <v>1.7436959999999999</v>
      </c>
      <c r="BZ45">
        <v>162.62661700000001</v>
      </c>
      <c r="CA45">
        <v>3.4499999999999998E-4</v>
      </c>
      <c r="CB45">
        <v>2.3486280000000002</v>
      </c>
      <c r="CC45">
        <v>-5.1E-5</v>
      </c>
      <c r="CD45">
        <v>1</v>
      </c>
      <c r="CE45">
        <v>2.4109430000000001</v>
      </c>
      <c r="CF45">
        <v>-5.7000000000000003E-5</v>
      </c>
      <c r="CG45">
        <v>1</v>
      </c>
      <c r="CH45">
        <v>0.60051900000000002</v>
      </c>
      <c r="CI45">
        <v>0.60216099999999995</v>
      </c>
      <c r="CJ45">
        <v>0.107265</v>
      </c>
      <c r="CK45">
        <v>0</v>
      </c>
      <c r="CL45" t="s">
        <v>306</v>
      </c>
      <c r="CM45" t="s">
        <v>201</v>
      </c>
      <c r="CN45" t="s">
        <v>202</v>
      </c>
      <c r="CO45" t="s">
        <v>203</v>
      </c>
      <c r="CP45" t="s">
        <v>204</v>
      </c>
      <c r="CQ45" t="s">
        <v>205</v>
      </c>
      <c r="CR45" t="s">
        <v>206</v>
      </c>
    </row>
    <row r="46" spans="1:96">
      <c r="A46">
        <v>2</v>
      </c>
      <c r="B46" s="3">
        <v>0.47783564814814811</v>
      </c>
      <c r="C46" s="1">
        <v>45133</v>
      </c>
      <c r="D46" t="s">
        <v>196</v>
      </c>
      <c r="E46" t="s">
        <v>197</v>
      </c>
      <c r="G46">
        <v>2</v>
      </c>
      <c r="J46">
        <v>0.22749</v>
      </c>
      <c r="K46">
        <v>2.9189069999999999</v>
      </c>
      <c r="L46">
        <v>0.21104200000000001</v>
      </c>
      <c r="M46">
        <v>5.2924369999999996</v>
      </c>
      <c r="N46">
        <v>2.3059150000000002</v>
      </c>
      <c r="O46">
        <v>2.1669339999999999</v>
      </c>
      <c r="P46">
        <v>4.6077669999999999</v>
      </c>
      <c r="Q46">
        <v>2.3018519999999998</v>
      </c>
      <c r="R46">
        <v>22.750916</v>
      </c>
      <c r="S46">
        <v>24.210100000000001</v>
      </c>
      <c r="T46">
        <v>48.377541000000001</v>
      </c>
      <c r="U46">
        <v>0.44178600000000001</v>
      </c>
      <c r="V46" t="s">
        <v>307</v>
      </c>
      <c r="W46">
        <v>0</v>
      </c>
      <c r="X46">
        <v>0</v>
      </c>
      <c r="Y46">
        <v>0</v>
      </c>
      <c r="Z46">
        <v>147.566193</v>
      </c>
      <c r="AA46">
        <v>222.959518</v>
      </c>
      <c r="AB46">
        <v>0.338148</v>
      </c>
      <c r="AC46">
        <v>0.5</v>
      </c>
      <c r="AD46">
        <v>0.8</v>
      </c>
      <c r="AE46">
        <v>257.026794</v>
      </c>
      <c r="AF46">
        <v>57.44</v>
      </c>
      <c r="AG46">
        <v>53.98</v>
      </c>
      <c r="AH46">
        <v>28.97</v>
      </c>
      <c r="AI46">
        <v>31.37</v>
      </c>
      <c r="AJ46">
        <v>95.25</v>
      </c>
      <c r="AK46">
        <v>156.4</v>
      </c>
      <c r="AL46">
        <v>147.80000000000001</v>
      </c>
      <c r="AM46">
        <v>5.5</v>
      </c>
      <c r="AN46">
        <v>1900</v>
      </c>
      <c r="AO46">
        <v>4.0439999999999996</v>
      </c>
      <c r="AP46" s="3">
        <v>0.47758101851851853</v>
      </c>
      <c r="AQ46" s="1">
        <v>45133</v>
      </c>
      <c r="AR46">
        <v>-0.26</v>
      </c>
      <c r="AS46">
        <v>-1E-3</v>
      </c>
      <c r="AT46">
        <v>0</v>
      </c>
      <c r="AU46">
        <v>1.0999999999999999E-2</v>
      </c>
      <c r="AV46">
        <v>-0.74199999999999999</v>
      </c>
      <c r="AW46">
        <v>-0.77700000000000002</v>
      </c>
      <c r="AX46">
        <v>0.32200000000000001</v>
      </c>
      <c r="AY46">
        <v>1</v>
      </c>
      <c r="AZ46">
        <v>150</v>
      </c>
      <c r="BA46">
        <v>5.0000000000000001E-3</v>
      </c>
      <c r="BB46">
        <v>2</v>
      </c>
      <c r="BC46">
        <v>0</v>
      </c>
      <c r="BD46" t="s">
        <v>200</v>
      </c>
      <c r="BE46">
        <v>7000</v>
      </c>
      <c r="BF46">
        <v>500</v>
      </c>
      <c r="BG46">
        <v>5</v>
      </c>
      <c r="BH46">
        <v>2</v>
      </c>
      <c r="BI46">
        <v>300</v>
      </c>
      <c r="BJ46">
        <v>300</v>
      </c>
      <c r="BK46">
        <v>300</v>
      </c>
      <c r="BL46">
        <v>212.45706200000001</v>
      </c>
      <c r="BM46">
        <v>25</v>
      </c>
      <c r="BN46">
        <v>-7.253412</v>
      </c>
      <c r="BO46">
        <v>213.20915199999999</v>
      </c>
      <c r="BP46">
        <v>212.555893</v>
      </c>
      <c r="BQ46">
        <v>0.65325900000000003</v>
      </c>
      <c r="BR46">
        <v>2.4262239999999999</v>
      </c>
      <c r="BS46">
        <v>2.4992450000000002</v>
      </c>
      <c r="BT46">
        <v>1.5880300000000001</v>
      </c>
      <c r="BU46">
        <v>0.97187400000000002</v>
      </c>
      <c r="BV46">
        <v>0.232956</v>
      </c>
      <c r="BW46">
        <v>3.0041999999999999E-2</v>
      </c>
      <c r="BX46">
        <v>0.163744</v>
      </c>
      <c r="BY46">
        <v>1.7925610000000001</v>
      </c>
      <c r="BZ46">
        <v>147.566193</v>
      </c>
      <c r="CA46">
        <v>3.3199999999999999E-4</v>
      </c>
      <c r="CB46">
        <v>2.3486280000000002</v>
      </c>
      <c r="CC46">
        <v>-5.1E-5</v>
      </c>
      <c r="CD46">
        <v>1</v>
      </c>
      <c r="CE46">
        <v>2.4109430000000001</v>
      </c>
      <c r="CF46">
        <v>-5.7000000000000003E-5</v>
      </c>
      <c r="CG46">
        <v>1</v>
      </c>
      <c r="CH46">
        <v>0.60051900000000002</v>
      </c>
      <c r="CI46">
        <v>0.60216099999999995</v>
      </c>
      <c r="CJ46">
        <v>0.107265</v>
      </c>
      <c r="CK46">
        <v>0</v>
      </c>
      <c r="CL46" t="s">
        <v>307</v>
      </c>
      <c r="CM46" t="s">
        <v>201</v>
      </c>
      <c r="CN46" t="s">
        <v>202</v>
      </c>
      <c r="CO46" t="s">
        <v>203</v>
      </c>
      <c r="CP46" t="s">
        <v>204</v>
      </c>
      <c r="CQ46" t="s">
        <v>205</v>
      </c>
      <c r="CR46" t="s">
        <v>206</v>
      </c>
    </row>
    <row r="47" spans="1:96">
      <c r="A47">
        <v>3</v>
      </c>
      <c r="B47" s="3">
        <v>0.47800925925925924</v>
      </c>
      <c r="C47" s="1">
        <v>45133</v>
      </c>
      <c r="D47" t="s">
        <v>196</v>
      </c>
      <c r="E47" t="s">
        <v>197</v>
      </c>
      <c r="G47">
        <v>3</v>
      </c>
      <c r="J47">
        <v>0.35771799999999998</v>
      </c>
      <c r="K47">
        <v>2.9181370000000002</v>
      </c>
      <c r="L47">
        <v>0.31865599999999999</v>
      </c>
      <c r="M47">
        <v>7.4535470000000004</v>
      </c>
      <c r="N47">
        <v>2.4343340000000002</v>
      </c>
      <c r="O47">
        <v>2.2387410000000001</v>
      </c>
      <c r="P47">
        <v>4.5802860000000001</v>
      </c>
      <c r="Q47">
        <v>2.1459519999999999</v>
      </c>
      <c r="R47">
        <v>23.503471000000001</v>
      </c>
      <c r="S47">
        <v>25.556909999999998</v>
      </c>
      <c r="T47">
        <v>48.086230999999998</v>
      </c>
      <c r="U47">
        <v>0.44178600000000001</v>
      </c>
      <c r="V47" t="s">
        <v>308</v>
      </c>
      <c r="W47">
        <v>0</v>
      </c>
      <c r="X47">
        <v>0</v>
      </c>
      <c r="Y47">
        <v>0</v>
      </c>
      <c r="Z47">
        <v>113.424538</v>
      </c>
      <c r="AA47">
        <v>202.885513</v>
      </c>
      <c r="AB47">
        <v>0.44094299999999997</v>
      </c>
      <c r="AC47">
        <v>0.5</v>
      </c>
      <c r="AD47">
        <v>0.8</v>
      </c>
      <c r="AE47">
        <v>333.353973</v>
      </c>
      <c r="AF47">
        <v>60.44</v>
      </c>
      <c r="AG47">
        <v>55.58</v>
      </c>
      <c r="AH47">
        <v>29.03</v>
      </c>
      <c r="AI47">
        <v>31.27</v>
      </c>
      <c r="AJ47">
        <v>95.25</v>
      </c>
      <c r="AK47">
        <v>156.30000000000001</v>
      </c>
      <c r="AL47">
        <v>147.9</v>
      </c>
      <c r="AM47">
        <v>5.4</v>
      </c>
      <c r="AN47">
        <v>1890</v>
      </c>
      <c r="AO47">
        <v>4.0430000000000001</v>
      </c>
      <c r="AP47" s="3">
        <v>0.47758101851851853</v>
      </c>
      <c r="AQ47" s="1">
        <v>45133</v>
      </c>
      <c r="AR47">
        <v>-0.26</v>
      </c>
      <c r="AS47">
        <v>-3.0000000000000001E-3</v>
      </c>
      <c r="AT47">
        <v>-2E-3</v>
      </c>
      <c r="AU47">
        <v>8.0000000000000002E-3</v>
      </c>
      <c r="AV47">
        <v>0.625</v>
      </c>
      <c r="AW47">
        <v>0.75700000000000001</v>
      </c>
      <c r="AX47">
        <v>0.191</v>
      </c>
      <c r="AY47">
        <v>1</v>
      </c>
      <c r="AZ47">
        <v>150</v>
      </c>
      <c r="BA47">
        <v>5.0000000000000001E-3</v>
      </c>
      <c r="BB47">
        <v>2</v>
      </c>
      <c r="BC47">
        <v>0</v>
      </c>
      <c r="BD47" t="s">
        <v>200</v>
      </c>
      <c r="BE47">
        <v>7000</v>
      </c>
      <c r="BF47">
        <v>500</v>
      </c>
      <c r="BG47">
        <v>5</v>
      </c>
      <c r="BH47">
        <v>2</v>
      </c>
      <c r="BI47">
        <v>300</v>
      </c>
      <c r="BJ47">
        <v>300</v>
      </c>
      <c r="BK47">
        <v>300</v>
      </c>
      <c r="BL47">
        <v>188.22384600000001</v>
      </c>
      <c r="BM47">
        <v>25</v>
      </c>
      <c r="BN47">
        <v>-10.117125</v>
      </c>
      <c r="BO47">
        <v>188.23529099999999</v>
      </c>
      <c r="BP47">
        <v>188.37445099999999</v>
      </c>
      <c r="BQ47">
        <v>-0.13916000000000001</v>
      </c>
      <c r="BR47">
        <v>2.4282089999999998</v>
      </c>
      <c r="BS47">
        <v>2.5032139999999998</v>
      </c>
      <c r="BT47">
        <v>1.5872869999999999</v>
      </c>
      <c r="BU47">
        <v>0.972082</v>
      </c>
      <c r="BV47">
        <v>0.23242699999999999</v>
      </c>
      <c r="BW47">
        <v>2.7980999999999999E-2</v>
      </c>
      <c r="BX47">
        <v>0.166129</v>
      </c>
      <c r="BY47">
        <v>1.7834730000000001</v>
      </c>
      <c r="BZ47">
        <v>113.424538</v>
      </c>
      <c r="CA47">
        <v>3.3599999999999998E-4</v>
      </c>
      <c r="CB47">
        <v>2.3486280000000002</v>
      </c>
      <c r="CC47">
        <v>-5.1E-5</v>
      </c>
      <c r="CD47">
        <v>1</v>
      </c>
      <c r="CE47">
        <v>2.4109430000000001</v>
      </c>
      <c r="CF47">
        <v>-5.7000000000000003E-5</v>
      </c>
      <c r="CG47">
        <v>1</v>
      </c>
      <c r="CH47">
        <v>0.60051900000000002</v>
      </c>
      <c r="CI47">
        <v>0.60216099999999995</v>
      </c>
      <c r="CJ47">
        <v>0.107265</v>
      </c>
      <c r="CK47">
        <v>0</v>
      </c>
      <c r="CL47" t="s">
        <v>308</v>
      </c>
      <c r="CM47" t="s">
        <v>201</v>
      </c>
      <c r="CN47" t="s">
        <v>202</v>
      </c>
      <c r="CO47" t="s">
        <v>203</v>
      </c>
      <c r="CP47" t="s">
        <v>204</v>
      </c>
      <c r="CQ47" t="s">
        <v>205</v>
      </c>
      <c r="CR47" t="s">
        <v>206</v>
      </c>
    </row>
    <row r="48" spans="1:96">
      <c r="A48">
        <v>4</v>
      </c>
      <c r="B48" s="3">
        <v>0.47818287037037038</v>
      </c>
      <c r="C48" s="1">
        <v>45133</v>
      </c>
      <c r="D48" t="s">
        <v>196</v>
      </c>
      <c r="E48" t="s">
        <v>197</v>
      </c>
      <c r="G48">
        <v>4</v>
      </c>
      <c r="J48">
        <v>0.20310900000000001</v>
      </c>
      <c r="K48">
        <v>2.9184899999999998</v>
      </c>
      <c r="L48">
        <v>0.18989300000000001</v>
      </c>
      <c r="M48">
        <v>4.9303049999999997</v>
      </c>
      <c r="N48">
        <v>2.3160319999999999</v>
      </c>
      <c r="O48">
        <v>2.1865269999999999</v>
      </c>
      <c r="P48">
        <v>4.6979870000000004</v>
      </c>
      <c r="Q48">
        <v>2.381955</v>
      </c>
      <c r="R48">
        <v>22.955843000000002</v>
      </c>
      <c r="S48">
        <v>24.315483</v>
      </c>
      <c r="T48">
        <v>49.323081999999999</v>
      </c>
      <c r="U48">
        <v>0.44178600000000001</v>
      </c>
      <c r="V48" t="s">
        <v>309</v>
      </c>
      <c r="W48">
        <v>0</v>
      </c>
      <c r="X48">
        <v>0</v>
      </c>
      <c r="Y48">
        <v>0</v>
      </c>
      <c r="Z48">
        <v>210.270172</v>
      </c>
      <c r="AA48">
        <v>281.48965500000003</v>
      </c>
      <c r="AB48">
        <v>0.25300899999999998</v>
      </c>
      <c r="AC48">
        <v>0.5</v>
      </c>
      <c r="AD48">
        <v>0.8</v>
      </c>
      <c r="AE48">
        <v>194.58575400000001</v>
      </c>
      <c r="AF48">
        <v>57.31</v>
      </c>
      <c r="AG48">
        <v>54.11</v>
      </c>
      <c r="AH48">
        <v>29.08</v>
      </c>
      <c r="AI48">
        <v>31.71</v>
      </c>
      <c r="AJ48">
        <v>95.25</v>
      </c>
      <c r="AK48">
        <v>156.30000000000001</v>
      </c>
      <c r="AL48">
        <v>147.80000000000001</v>
      </c>
      <c r="AM48">
        <v>5.4</v>
      </c>
      <c r="AN48">
        <v>1923</v>
      </c>
      <c r="AO48">
        <v>4.0119999999999996</v>
      </c>
      <c r="AP48" s="3">
        <v>0.47758101851851853</v>
      </c>
      <c r="AQ48" s="1">
        <v>45133</v>
      </c>
      <c r="AR48">
        <v>-0.26</v>
      </c>
      <c r="AS48">
        <v>-2E-3</v>
      </c>
      <c r="AT48">
        <v>0</v>
      </c>
      <c r="AU48">
        <v>-9999</v>
      </c>
      <c r="AV48">
        <v>-2.6819999999999999</v>
      </c>
      <c r="AW48">
        <v>-4.0739999999999998</v>
      </c>
      <c r="AX48">
        <v>-9999</v>
      </c>
      <c r="AY48">
        <v>1</v>
      </c>
      <c r="AZ48">
        <v>150</v>
      </c>
      <c r="BA48">
        <v>5.0000000000000001E-3</v>
      </c>
      <c r="BB48">
        <v>2</v>
      </c>
      <c r="BC48">
        <v>0</v>
      </c>
      <c r="BD48" t="s">
        <v>200</v>
      </c>
      <c r="BE48">
        <v>7000</v>
      </c>
      <c r="BF48">
        <v>500</v>
      </c>
      <c r="BG48">
        <v>5</v>
      </c>
      <c r="BH48">
        <v>2</v>
      </c>
      <c r="BI48">
        <v>300</v>
      </c>
      <c r="BJ48">
        <v>300</v>
      </c>
      <c r="BK48">
        <v>300</v>
      </c>
      <c r="BL48">
        <v>273.89288299999998</v>
      </c>
      <c r="BM48">
        <v>25</v>
      </c>
      <c r="BN48">
        <v>-5.3201340000000004</v>
      </c>
      <c r="BO48">
        <v>275.05444299999999</v>
      </c>
      <c r="BP48">
        <v>273.858948</v>
      </c>
      <c r="BQ48">
        <v>1.1954959999999999</v>
      </c>
      <c r="BR48">
        <v>2.4263590000000002</v>
      </c>
      <c r="BS48">
        <v>2.499047</v>
      </c>
      <c r="BT48">
        <v>1.5876269999999999</v>
      </c>
      <c r="BU48">
        <v>0.97176399999999996</v>
      </c>
      <c r="BV48">
        <v>0.231909</v>
      </c>
      <c r="BW48">
        <v>3.2976999999999999E-2</v>
      </c>
      <c r="BX48">
        <v>0.16847200000000001</v>
      </c>
      <c r="BY48">
        <v>1.812481</v>
      </c>
      <c r="BZ48">
        <v>210.270172</v>
      </c>
      <c r="CA48">
        <v>3.3300000000000002E-4</v>
      </c>
      <c r="CB48">
        <v>2.3486280000000002</v>
      </c>
      <c r="CC48">
        <v>-5.1E-5</v>
      </c>
      <c r="CD48">
        <v>1</v>
      </c>
      <c r="CE48">
        <v>2.4109430000000001</v>
      </c>
      <c r="CF48">
        <v>-5.7000000000000003E-5</v>
      </c>
      <c r="CG48">
        <v>1</v>
      </c>
      <c r="CH48">
        <v>0.60051900000000002</v>
      </c>
      <c r="CI48">
        <v>0.60216099999999995</v>
      </c>
      <c r="CJ48">
        <v>0.107265</v>
      </c>
      <c r="CK48">
        <v>0</v>
      </c>
      <c r="CL48" t="s">
        <v>309</v>
      </c>
      <c r="CM48" t="s">
        <v>201</v>
      </c>
      <c r="CN48" t="s">
        <v>202</v>
      </c>
      <c r="CO48" t="s">
        <v>203</v>
      </c>
      <c r="CP48" t="s">
        <v>204</v>
      </c>
      <c r="CQ48" t="s">
        <v>205</v>
      </c>
      <c r="CR48" t="s">
        <v>206</v>
      </c>
    </row>
    <row r="49" spans="1:96">
      <c r="A49">
        <v>1</v>
      </c>
      <c r="B49" s="3">
        <v>0.48291666666666666</v>
      </c>
      <c r="C49" s="1">
        <v>45133</v>
      </c>
      <c r="D49" t="s">
        <v>196</v>
      </c>
      <c r="E49" t="s">
        <v>197</v>
      </c>
      <c r="G49">
        <v>1</v>
      </c>
      <c r="J49">
        <v>0.118452</v>
      </c>
      <c r="K49">
        <v>2.9200759999999999</v>
      </c>
      <c r="L49">
        <v>0.113834</v>
      </c>
      <c r="M49">
        <v>3.855181</v>
      </c>
      <c r="N49">
        <v>2.3167680000000002</v>
      </c>
      <c r="O49">
        <v>2.2156159999999998</v>
      </c>
      <c r="P49">
        <v>5.4121430000000004</v>
      </c>
      <c r="Q49">
        <v>3.0953750000000002</v>
      </c>
      <c r="R49">
        <v>23.257819999999999</v>
      </c>
      <c r="S49">
        <v>24.319637</v>
      </c>
      <c r="T49">
        <v>56.812491999999999</v>
      </c>
      <c r="U49">
        <v>0.44178600000000001</v>
      </c>
      <c r="V49" t="s">
        <v>310</v>
      </c>
      <c r="W49">
        <v>0</v>
      </c>
      <c r="X49">
        <v>0</v>
      </c>
      <c r="Y49">
        <v>0</v>
      </c>
      <c r="Z49">
        <v>135.42723100000001</v>
      </c>
      <c r="AA49">
        <v>229.42569</v>
      </c>
      <c r="AB49">
        <v>0.40971200000000002</v>
      </c>
      <c r="AC49">
        <v>0.5</v>
      </c>
      <c r="AD49">
        <v>0.8</v>
      </c>
      <c r="AE49">
        <v>321.31167599999998</v>
      </c>
      <c r="AF49">
        <v>56.35</v>
      </c>
      <c r="AG49">
        <v>53.89</v>
      </c>
      <c r="AH49">
        <v>29.38</v>
      </c>
      <c r="AI49">
        <v>34.229999999999997</v>
      </c>
      <c r="AJ49">
        <v>95.26</v>
      </c>
      <c r="AK49">
        <v>156.5</v>
      </c>
      <c r="AL49">
        <v>147.5</v>
      </c>
      <c r="AM49">
        <v>5.8</v>
      </c>
      <c r="AN49">
        <v>1961</v>
      </c>
      <c r="AO49">
        <v>4.0419999999999998</v>
      </c>
      <c r="AP49" s="3">
        <v>0.48284722222222221</v>
      </c>
      <c r="AQ49" s="1">
        <v>45133</v>
      </c>
      <c r="AR49">
        <v>-0.25</v>
      </c>
      <c r="AS49">
        <v>4.0000000000000001E-3</v>
      </c>
      <c r="AT49">
        <v>4.0000000000000001E-3</v>
      </c>
      <c r="AU49">
        <v>-9999</v>
      </c>
      <c r="AV49">
        <v>1.522</v>
      </c>
      <c r="AW49">
        <v>2.649</v>
      </c>
      <c r="AX49">
        <v>-9999</v>
      </c>
      <c r="AY49">
        <v>1</v>
      </c>
      <c r="AZ49">
        <v>150</v>
      </c>
      <c r="BA49">
        <v>5.0000000000000001E-3</v>
      </c>
      <c r="BB49">
        <v>2</v>
      </c>
      <c r="BC49">
        <v>0</v>
      </c>
      <c r="BD49" t="s">
        <v>200</v>
      </c>
      <c r="BE49">
        <v>7000</v>
      </c>
      <c r="BF49">
        <v>500</v>
      </c>
      <c r="BG49">
        <v>5</v>
      </c>
      <c r="BH49">
        <v>2</v>
      </c>
      <c r="BI49">
        <v>300</v>
      </c>
      <c r="BJ49">
        <v>300</v>
      </c>
      <c r="BK49">
        <v>300</v>
      </c>
      <c r="BL49">
        <v>216.29834</v>
      </c>
      <c r="BM49">
        <v>25</v>
      </c>
      <c r="BN49">
        <v>-9.0346340000000005</v>
      </c>
      <c r="BO49">
        <v>217.258926</v>
      </c>
      <c r="BP49">
        <v>216.46723900000001</v>
      </c>
      <c r="BQ49">
        <v>0.79168700000000003</v>
      </c>
      <c r="BR49">
        <v>2.4260169999999999</v>
      </c>
      <c r="BS49">
        <v>2.4976660000000002</v>
      </c>
      <c r="BT49">
        <v>1.589162</v>
      </c>
      <c r="BU49">
        <v>0.97076600000000002</v>
      </c>
      <c r="BV49">
        <v>0.229188</v>
      </c>
      <c r="BW49">
        <v>6.1928999999999998E-2</v>
      </c>
      <c r="BX49">
        <v>0.18240899999999999</v>
      </c>
      <c r="BY49">
        <v>1.846077</v>
      </c>
      <c r="BZ49">
        <v>135.42723100000001</v>
      </c>
      <c r="CA49">
        <v>3.3199999999999999E-4</v>
      </c>
      <c r="CB49">
        <v>2.3486280000000002</v>
      </c>
      <c r="CC49">
        <v>-5.1E-5</v>
      </c>
      <c r="CD49">
        <v>1</v>
      </c>
      <c r="CE49">
        <v>2.4109430000000001</v>
      </c>
      <c r="CF49">
        <v>-5.7000000000000003E-5</v>
      </c>
      <c r="CG49">
        <v>1</v>
      </c>
      <c r="CH49">
        <v>0.60051900000000002</v>
      </c>
      <c r="CI49">
        <v>0.60216099999999995</v>
      </c>
      <c r="CJ49">
        <v>0.107265</v>
      </c>
      <c r="CK49">
        <v>0</v>
      </c>
      <c r="CL49" t="s">
        <v>310</v>
      </c>
      <c r="CM49" t="s">
        <v>201</v>
      </c>
      <c r="CN49" t="s">
        <v>202</v>
      </c>
      <c r="CO49" t="s">
        <v>203</v>
      </c>
      <c r="CP49" t="s">
        <v>204</v>
      </c>
      <c r="CQ49" t="s">
        <v>205</v>
      </c>
      <c r="CR49" t="s">
        <v>206</v>
      </c>
    </row>
    <row r="50" spans="1:96">
      <c r="A50">
        <v>2</v>
      </c>
      <c r="B50" s="3">
        <v>0.48306712962962961</v>
      </c>
      <c r="C50" s="1">
        <v>45133</v>
      </c>
      <c r="D50" t="s">
        <v>196</v>
      </c>
      <c r="E50" t="s">
        <v>197</v>
      </c>
      <c r="G50">
        <v>2</v>
      </c>
      <c r="J50">
        <v>0.12131699999999999</v>
      </c>
      <c r="K50">
        <v>2.9192740000000001</v>
      </c>
      <c r="L50">
        <v>0.116476</v>
      </c>
      <c r="M50">
        <v>3.69156</v>
      </c>
      <c r="N50">
        <v>2.4874139999999998</v>
      </c>
      <c r="O50">
        <v>2.390676</v>
      </c>
      <c r="P50">
        <v>5.3818140000000003</v>
      </c>
      <c r="Q50">
        <v>2.8944000000000001</v>
      </c>
      <c r="R50">
        <v>25.096592000000001</v>
      </c>
      <c r="S50">
        <v>26.112120000000001</v>
      </c>
      <c r="T50">
        <v>56.496651</v>
      </c>
      <c r="U50">
        <v>0.44178600000000001</v>
      </c>
      <c r="V50" t="s">
        <v>311</v>
      </c>
      <c r="W50">
        <v>0</v>
      </c>
      <c r="X50">
        <v>0</v>
      </c>
      <c r="Y50">
        <v>0</v>
      </c>
      <c r="Z50">
        <v>106.756927</v>
      </c>
      <c r="AA50">
        <v>200.25917100000001</v>
      </c>
      <c r="AB50">
        <v>0.46690599999999999</v>
      </c>
      <c r="AC50">
        <v>0.5</v>
      </c>
      <c r="AD50">
        <v>0.8</v>
      </c>
      <c r="AE50">
        <v>351.81811499999998</v>
      </c>
      <c r="AF50">
        <v>60.25</v>
      </c>
      <c r="AG50">
        <v>57.9</v>
      </c>
      <c r="AH50">
        <v>29.45</v>
      </c>
      <c r="AI50">
        <v>34.130000000000003</v>
      </c>
      <c r="AJ50">
        <v>95.26</v>
      </c>
      <c r="AK50">
        <v>156.4</v>
      </c>
      <c r="AL50">
        <v>147.69999999999999</v>
      </c>
      <c r="AM50">
        <v>5.6</v>
      </c>
      <c r="AN50">
        <v>1884</v>
      </c>
      <c r="AO50">
        <v>4.0419999999999998</v>
      </c>
      <c r="AP50" s="3">
        <v>0.48284722222222221</v>
      </c>
      <c r="AQ50" s="1">
        <v>45133</v>
      </c>
      <c r="AR50">
        <v>-0.25</v>
      </c>
      <c r="AS50">
        <v>1E-3</v>
      </c>
      <c r="AT50">
        <v>0</v>
      </c>
      <c r="AU50">
        <v>-9999</v>
      </c>
      <c r="AV50">
        <v>-0.96199999999999997</v>
      </c>
      <c r="AW50">
        <v>-1.8180000000000001</v>
      </c>
      <c r="AX50">
        <v>-9999</v>
      </c>
      <c r="AY50">
        <v>1</v>
      </c>
      <c r="AZ50">
        <v>150</v>
      </c>
      <c r="BA50">
        <v>5.0000000000000001E-3</v>
      </c>
      <c r="BB50">
        <v>2</v>
      </c>
      <c r="BC50">
        <v>0</v>
      </c>
      <c r="BD50" t="s">
        <v>200</v>
      </c>
      <c r="BE50">
        <v>7000</v>
      </c>
      <c r="BF50">
        <v>500</v>
      </c>
      <c r="BG50">
        <v>5</v>
      </c>
      <c r="BH50">
        <v>2</v>
      </c>
      <c r="BI50">
        <v>300</v>
      </c>
      <c r="BJ50">
        <v>300</v>
      </c>
      <c r="BK50">
        <v>300</v>
      </c>
      <c r="BL50">
        <v>186.348083</v>
      </c>
      <c r="BM50">
        <v>25</v>
      </c>
      <c r="BN50">
        <v>-9.5722590000000007</v>
      </c>
      <c r="BO50">
        <v>188.86935399999999</v>
      </c>
      <c r="BP50">
        <v>186.52960200000001</v>
      </c>
      <c r="BQ50">
        <v>2.3397519999999998</v>
      </c>
      <c r="BR50">
        <v>2.4309889999999998</v>
      </c>
      <c r="BS50">
        <v>2.5028260000000002</v>
      </c>
      <c r="BT50">
        <v>1.5883849999999999</v>
      </c>
      <c r="BU50">
        <v>0.97133400000000003</v>
      </c>
      <c r="BV50">
        <v>0.228521</v>
      </c>
      <c r="BW50">
        <v>5.9665000000000003E-2</v>
      </c>
      <c r="BX50">
        <v>0.18451799999999999</v>
      </c>
      <c r="BY50">
        <v>1.777946</v>
      </c>
      <c r="BZ50">
        <v>106.756927</v>
      </c>
      <c r="CA50">
        <v>3.3700000000000001E-4</v>
      </c>
      <c r="CB50">
        <v>2.3486280000000002</v>
      </c>
      <c r="CC50">
        <v>-5.1E-5</v>
      </c>
      <c r="CD50">
        <v>1</v>
      </c>
      <c r="CE50">
        <v>2.4109430000000001</v>
      </c>
      <c r="CF50">
        <v>-5.7000000000000003E-5</v>
      </c>
      <c r="CG50">
        <v>1</v>
      </c>
      <c r="CH50">
        <v>0.60051900000000002</v>
      </c>
      <c r="CI50">
        <v>0.60216099999999995</v>
      </c>
      <c r="CJ50">
        <v>0.107265</v>
      </c>
      <c r="CK50">
        <v>0</v>
      </c>
      <c r="CL50" t="s">
        <v>311</v>
      </c>
      <c r="CM50" t="s">
        <v>201</v>
      </c>
      <c r="CN50" t="s">
        <v>202</v>
      </c>
      <c r="CO50" t="s">
        <v>203</v>
      </c>
      <c r="CP50" t="s">
        <v>204</v>
      </c>
      <c r="CQ50" t="s">
        <v>205</v>
      </c>
      <c r="CR50" t="s">
        <v>206</v>
      </c>
    </row>
    <row r="51" spans="1:96">
      <c r="A51">
        <v>3</v>
      </c>
      <c r="B51" s="3">
        <v>0.48318287037037039</v>
      </c>
      <c r="C51" s="1">
        <v>45133</v>
      </c>
      <c r="D51" t="s">
        <v>196</v>
      </c>
      <c r="E51" t="s">
        <v>197</v>
      </c>
      <c r="G51">
        <v>3</v>
      </c>
      <c r="J51">
        <v>0.20258499999999999</v>
      </c>
      <c r="K51">
        <v>2.9178829999999998</v>
      </c>
      <c r="L51">
        <v>0.18943299999999999</v>
      </c>
      <c r="M51">
        <v>5.2739120000000002</v>
      </c>
      <c r="N51">
        <v>2.539701</v>
      </c>
      <c r="O51">
        <v>2.4014129999999998</v>
      </c>
      <c r="P51">
        <v>5.0858049999999997</v>
      </c>
      <c r="Q51">
        <v>2.5461040000000001</v>
      </c>
      <c r="R51">
        <v>25.207453000000001</v>
      </c>
      <c r="S51">
        <v>26.659051999999999</v>
      </c>
      <c r="T51">
        <v>53.385311000000002</v>
      </c>
      <c r="U51">
        <v>0.44178600000000001</v>
      </c>
      <c r="V51" t="s">
        <v>312</v>
      </c>
      <c r="W51">
        <v>0</v>
      </c>
      <c r="X51">
        <v>0</v>
      </c>
      <c r="Y51">
        <v>0</v>
      </c>
      <c r="Z51">
        <v>165.827393</v>
      </c>
      <c r="AA51">
        <v>272.44708300000002</v>
      </c>
      <c r="AB51">
        <v>0.39134099999999999</v>
      </c>
      <c r="AC51">
        <v>0.5</v>
      </c>
      <c r="AD51">
        <v>0.8</v>
      </c>
      <c r="AE51">
        <v>298.42626999999999</v>
      </c>
      <c r="AF51">
        <v>61.34</v>
      </c>
      <c r="AG51">
        <v>58</v>
      </c>
      <c r="AH51">
        <v>29.5</v>
      </c>
      <c r="AI51">
        <v>33.119999999999997</v>
      </c>
      <c r="AJ51">
        <v>95.27</v>
      </c>
      <c r="AK51">
        <v>156.19999999999999</v>
      </c>
      <c r="AL51">
        <v>147.5</v>
      </c>
      <c r="AM51">
        <v>5.6</v>
      </c>
      <c r="AN51">
        <v>1906</v>
      </c>
      <c r="AO51">
        <v>4.0410000000000004</v>
      </c>
      <c r="AP51" s="3">
        <v>0.48284722222222221</v>
      </c>
      <c r="AQ51" s="1">
        <v>45133</v>
      </c>
      <c r="AR51">
        <v>-0.25</v>
      </c>
      <c r="AS51">
        <v>4.0000000000000001E-3</v>
      </c>
      <c r="AT51">
        <v>4.0000000000000001E-3</v>
      </c>
      <c r="AU51">
        <v>-9999</v>
      </c>
      <c r="AV51">
        <v>-0.14499999999999999</v>
      </c>
      <c r="AW51">
        <v>1.4910000000000001</v>
      </c>
      <c r="AX51">
        <v>-9999</v>
      </c>
      <c r="AY51">
        <v>1</v>
      </c>
      <c r="AZ51">
        <v>150</v>
      </c>
      <c r="BA51">
        <v>5.0000000000000001E-3</v>
      </c>
      <c r="BB51">
        <v>2</v>
      </c>
      <c r="BC51">
        <v>0</v>
      </c>
      <c r="BD51" t="s">
        <v>200</v>
      </c>
      <c r="BE51">
        <v>7000</v>
      </c>
      <c r="BF51">
        <v>500</v>
      </c>
      <c r="BG51">
        <v>5</v>
      </c>
      <c r="BH51">
        <v>2</v>
      </c>
      <c r="BI51">
        <v>300</v>
      </c>
      <c r="BJ51">
        <v>300</v>
      </c>
      <c r="BK51">
        <v>300</v>
      </c>
      <c r="BL51">
        <v>254.07171600000001</v>
      </c>
      <c r="BM51">
        <v>25</v>
      </c>
      <c r="BN51">
        <v>-13.065916</v>
      </c>
      <c r="BO51">
        <v>252.18022199999999</v>
      </c>
      <c r="BP51">
        <v>253.70654300000001</v>
      </c>
      <c r="BQ51">
        <v>-1.526321</v>
      </c>
      <c r="BR51">
        <v>2.4310930000000002</v>
      </c>
      <c r="BS51">
        <v>2.5042580000000001</v>
      </c>
      <c r="BT51">
        <v>1.5870420000000001</v>
      </c>
      <c r="BU51">
        <v>0.97082100000000005</v>
      </c>
      <c r="BV51">
        <v>0.228073</v>
      </c>
      <c r="BW51">
        <v>4.5802000000000002E-2</v>
      </c>
      <c r="BX51">
        <v>0.18610399999999999</v>
      </c>
      <c r="BY51">
        <v>1.7980430000000001</v>
      </c>
      <c r="BZ51">
        <v>165.827393</v>
      </c>
      <c r="CA51">
        <v>3.3799999999999998E-4</v>
      </c>
      <c r="CB51">
        <v>2.3486280000000002</v>
      </c>
      <c r="CC51">
        <v>-5.1E-5</v>
      </c>
      <c r="CD51">
        <v>1</v>
      </c>
      <c r="CE51">
        <v>2.4109430000000001</v>
      </c>
      <c r="CF51">
        <v>-5.7000000000000003E-5</v>
      </c>
      <c r="CG51">
        <v>1</v>
      </c>
      <c r="CH51">
        <v>0.60051900000000002</v>
      </c>
      <c r="CI51">
        <v>0.60216099999999995</v>
      </c>
      <c r="CJ51">
        <v>0.107265</v>
      </c>
      <c r="CK51">
        <v>0</v>
      </c>
      <c r="CL51" t="s">
        <v>312</v>
      </c>
      <c r="CM51" t="s">
        <v>201</v>
      </c>
      <c r="CN51" t="s">
        <v>202</v>
      </c>
      <c r="CO51" t="s">
        <v>203</v>
      </c>
      <c r="CP51" t="s">
        <v>204</v>
      </c>
      <c r="CQ51" t="s">
        <v>205</v>
      </c>
      <c r="CR51" t="s">
        <v>206</v>
      </c>
    </row>
    <row r="52" spans="1:96">
      <c r="A52">
        <v>4</v>
      </c>
      <c r="B52" s="3">
        <v>0.48331018518518515</v>
      </c>
      <c r="C52" s="1">
        <v>45133</v>
      </c>
      <c r="D52" t="s">
        <v>196</v>
      </c>
      <c r="E52" t="s">
        <v>197</v>
      </c>
      <c r="G52">
        <v>4</v>
      </c>
      <c r="J52">
        <v>0.27198099999999997</v>
      </c>
      <c r="K52">
        <v>2.918663</v>
      </c>
      <c r="L52">
        <v>0.24879599999999999</v>
      </c>
      <c r="M52">
        <v>6.2526060000000001</v>
      </c>
      <c r="N52">
        <v>2.591971</v>
      </c>
      <c r="O52">
        <v>2.4282159999999999</v>
      </c>
      <c r="P52">
        <v>4.8920669999999999</v>
      </c>
      <c r="Q52">
        <v>2.3000959999999999</v>
      </c>
      <c r="R52">
        <v>25.489135999999998</v>
      </c>
      <c r="S52">
        <v>27.208086000000002</v>
      </c>
      <c r="T52">
        <v>51.352336999999999</v>
      </c>
      <c r="U52">
        <v>0.44178600000000001</v>
      </c>
      <c r="V52" t="s">
        <v>313</v>
      </c>
      <c r="W52">
        <v>0</v>
      </c>
      <c r="X52">
        <v>0</v>
      </c>
      <c r="Y52">
        <v>0</v>
      </c>
      <c r="Z52">
        <v>102.190376</v>
      </c>
      <c r="AA52">
        <v>235.38163800000001</v>
      </c>
      <c r="AB52">
        <v>0.56585200000000002</v>
      </c>
      <c r="AC52">
        <v>0.5</v>
      </c>
      <c r="AD52">
        <v>0.8</v>
      </c>
      <c r="AE52">
        <v>345.13537600000001</v>
      </c>
      <c r="AF52">
        <v>62.39</v>
      </c>
      <c r="AG52">
        <v>58.45</v>
      </c>
      <c r="AH52">
        <v>29.56</v>
      </c>
      <c r="AI52">
        <v>32.43</v>
      </c>
      <c r="AJ52">
        <v>95.26</v>
      </c>
      <c r="AK52">
        <v>156.30000000000001</v>
      </c>
      <c r="AL52">
        <v>147.69999999999999</v>
      </c>
      <c r="AM52">
        <v>5.5</v>
      </c>
      <c r="AN52">
        <v>1525</v>
      </c>
      <c r="AO52">
        <v>4.04</v>
      </c>
      <c r="AP52" s="3">
        <v>0.48284722222222221</v>
      </c>
      <c r="AQ52" s="1">
        <v>45133</v>
      </c>
      <c r="AR52">
        <v>-0.25</v>
      </c>
      <c r="AS52">
        <v>2E-3</v>
      </c>
      <c r="AT52">
        <v>-1E-3</v>
      </c>
      <c r="AU52">
        <v>-9999</v>
      </c>
      <c r="AV52">
        <v>1.016</v>
      </c>
      <c r="AW52">
        <v>1.78</v>
      </c>
      <c r="AX52">
        <v>-9999</v>
      </c>
      <c r="AY52">
        <v>1</v>
      </c>
      <c r="AZ52">
        <v>150</v>
      </c>
      <c r="BA52">
        <v>5.0000000000000001E-3</v>
      </c>
      <c r="BB52">
        <v>2</v>
      </c>
      <c r="BC52">
        <v>0</v>
      </c>
      <c r="BD52" t="s">
        <v>200</v>
      </c>
      <c r="BE52">
        <v>7000</v>
      </c>
      <c r="BF52">
        <v>500</v>
      </c>
      <c r="BG52">
        <v>5</v>
      </c>
      <c r="BH52">
        <v>2</v>
      </c>
      <c r="BI52">
        <v>300</v>
      </c>
      <c r="BJ52">
        <v>300</v>
      </c>
      <c r="BK52">
        <v>300</v>
      </c>
      <c r="BL52">
        <v>212.01539600000001</v>
      </c>
      <c r="BM52">
        <v>25</v>
      </c>
      <c r="BN52">
        <v>-16.143229999999999</v>
      </c>
      <c r="BO52">
        <v>211.492538</v>
      </c>
      <c r="BP52">
        <v>212.22728000000001</v>
      </c>
      <c r="BQ52">
        <v>-0.73474099999999998</v>
      </c>
      <c r="BR52">
        <v>2.4316450000000001</v>
      </c>
      <c r="BS52">
        <v>2.505646</v>
      </c>
      <c r="BT52">
        <v>1.5877939999999999</v>
      </c>
      <c r="BU52">
        <v>0.97154499999999999</v>
      </c>
      <c r="BV52">
        <v>0.22756399999999999</v>
      </c>
      <c r="BW52">
        <v>3.6155E-2</v>
      </c>
      <c r="BX52">
        <v>0.187803</v>
      </c>
      <c r="BY52">
        <v>1.4596210000000001</v>
      </c>
      <c r="BZ52">
        <v>102.190376</v>
      </c>
      <c r="CA52">
        <v>3.3799999999999998E-4</v>
      </c>
      <c r="CB52">
        <v>2.3486280000000002</v>
      </c>
      <c r="CC52">
        <v>-5.1E-5</v>
      </c>
      <c r="CD52">
        <v>1</v>
      </c>
      <c r="CE52">
        <v>2.4109430000000001</v>
      </c>
      <c r="CF52">
        <v>-5.7000000000000003E-5</v>
      </c>
      <c r="CG52">
        <v>1</v>
      </c>
      <c r="CH52">
        <v>0.60051900000000002</v>
      </c>
      <c r="CI52">
        <v>0.60216099999999995</v>
      </c>
      <c r="CJ52">
        <v>0.107265</v>
      </c>
      <c r="CK52">
        <v>0</v>
      </c>
      <c r="CL52" t="s">
        <v>313</v>
      </c>
      <c r="CM52" t="s">
        <v>201</v>
      </c>
      <c r="CN52" t="s">
        <v>202</v>
      </c>
      <c r="CO52" t="s">
        <v>203</v>
      </c>
      <c r="CP52" t="s">
        <v>204</v>
      </c>
      <c r="CQ52" t="s">
        <v>205</v>
      </c>
      <c r="CR52" t="s">
        <v>206</v>
      </c>
    </row>
    <row r="53" spans="1:96">
      <c r="A53">
        <v>1</v>
      </c>
      <c r="B53" s="3">
        <v>0.48755787037037041</v>
      </c>
      <c r="C53" s="1">
        <v>45133</v>
      </c>
      <c r="D53" t="s">
        <v>196</v>
      </c>
      <c r="E53" t="s">
        <v>197</v>
      </c>
      <c r="G53">
        <v>1</v>
      </c>
      <c r="J53">
        <v>0.21901200000000001</v>
      </c>
      <c r="K53">
        <v>2.9200159999999999</v>
      </c>
      <c r="L53">
        <v>0.203731</v>
      </c>
      <c r="M53">
        <v>5.7450780000000004</v>
      </c>
      <c r="N53">
        <v>2.4538139999999999</v>
      </c>
      <c r="O53">
        <v>2.3032460000000001</v>
      </c>
      <c r="P53">
        <v>5.0353349999999999</v>
      </c>
      <c r="Q53">
        <v>2.5815220000000001</v>
      </c>
      <c r="R53">
        <v>24.170839000000001</v>
      </c>
      <c r="S53">
        <v>25.750938000000001</v>
      </c>
      <c r="T53">
        <v>52.842078999999998</v>
      </c>
      <c r="U53">
        <v>0.44178600000000001</v>
      </c>
      <c r="V53" t="s">
        <v>314</v>
      </c>
      <c r="W53">
        <v>0</v>
      </c>
      <c r="X53">
        <v>0</v>
      </c>
      <c r="Y53">
        <v>0</v>
      </c>
      <c r="Z53">
        <v>210.79551699999999</v>
      </c>
      <c r="AA53">
        <v>320.81778000000003</v>
      </c>
      <c r="AB53">
        <v>0.342943</v>
      </c>
      <c r="AC53">
        <v>0.5</v>
      </c>
      <c r="AD53">
        <v>0.8</v>
      </c>
      <c r="AE53">
        <v>267.87619000000001</v>
      </c>
      <c r="AF53">
        <v>57.89</v>
      </c>
      <c r="AG53">
        <v>54.33</v>
      </c>
      <c r="AH53">
        <v>29.91</v>
      </c>
      <c r="AI53">
        <v>32.94</v>
      </c>
      <c r="AJ53">
        <v>95.29</v>
      </c>
      <c r="AK53">
        <v>156.5</v>
      </c>
      <c r="AL53">
        <v>147.19999999999999</v>
      </c>
      <c r="AM53">
        <v>5.9</v>
      </c>
      <c r="AN53">
        <v>1953</v>
      </c>
      <c r="AO53">
        <v>4.0049999999999999</v>
      </c>
      <c r="AP53" s="3">
        <v>0.48744212962962963</v>
      </c>
      <c r="AQ53" s="1">
        <v>45133</v>
      </c>
      <c r="AR53">
        <v>-0.23</v>
      </c>
      <c r="AS53">
        <v>3.0000000000000001E-3</v>
      </c>
      <c r="AT53">
        <v>2E-3</v>
      </c>
      <c r="AU53">
        <v>8.0000000000000002E-3</v>
      </c>
      <c r="AV53">
        <v>1.8169999999999999</v>
      </c>
      <c r="AW53">
        <v>3.8879999999999999</v>
      </c>
      <c r="AX53">
        <v>13.374000000000001</v>
      </c>
      <c r="AY53">
        <v>1</v>
      </c>
      <c r="AZ53">
        <v>150</v>
      </c>
      <c r="BA53">
        <v>5.0000000000000001E-3</v>
      </c>
      <c r="BB53">
        <v>2</v>
      </c>
      <c r="BC53">
        <v>0</v>
      </c>
      <c r="BD53" t="s">
        <v>200</v>
      </c>
      <c r="BE53">
        <v>7000</v>
      </c>
      <c r="BF53">
        <v>500</v>
      </c>
      <c r="BG53">
        <v>5</v>
      </c>
      <c r="BH53">
        <v>2</v>
      </c>
      <c r="BI53">
        <v>300</v>
      </c>
      <c r="BJ53">
        <v>300</v>
      </c>
      <c r="BK53">
        <v>300</v>
      </c>
      <c r="BL53">
        <v>304.452179</v>
      </c>
      <c r="BM53">
        <v>25</v>
      </c>
      <c r="BN53">
        <v>-11.547171000000001</v>
      </c>
      <c r="BO53">
        <v>303.47406000000001</v>
      </c>
      <c r="BP53">
        <v>304.255585</v>
      </c>
      <c r="BQ53">
        <v>-0.78152500000000003</v>
      </c>
      <c r="BR53">
        <v>2.4264420000000002</v>
      </c>
      <c r="BS53">
        <v>2.4995479999999999</v>
      </c>
      <c r="BT53">
        <v>1.5891029999999999</v>
      </c>
      <c r="BU53">
        <v>0.970024</v>
      </c>
      <c r="BV53">
        <v>0.22442799999999999</v>
      </c>
      <c r="BW53">
        <v>3.8344000000000003E-2</v>
      </c>
      <c r="BX53">
        <v>0.18987299999999999</v>
      </c>
      <c r="BY53">
        <v>1.8391409999999999</v>
      </c>
      <c r="BZ53">
        <v>210.79551699999999</v>
      </c>
      <c r="CA53">
        <v>3.4299999999999999E-4</v>
      </c>
      <c r="CB53">
        <v>2.3486280000000002</v>
      </c>
      <c r="CC53">
        <v>-5.1E-5</v>
      </c>
      <c r="CD53">
        <v>1</v>
      </c>
      <c r="CE53">
        <v>2.4109430000000001</v>
      </c>
      <c r="CF53">
        <v>-5.7000000000000003E-5</v>
      </c>
      <c r="CG53">
        <v>1</v>
      </c>
      <c r="CH53">
        <v>0.60051900000000002</v>
      </c>
      <c r="CI53">
        <v>0.60216099999999995</v>
      </c>
      <c r="CJ53">
        <v>0.107265</v>
      </c>
      <c r="CK53">
        <v>0</v>
      </c>
      <c r="CL53" t="s">
        <v>314</v>
      </c>
      <c r="CM53" t="s">
        <v>201</v>
      </c>
      <c r="CN53" t="s">
        <v>202</v>
      </c>
      <c r="CO53" t="s">
        <v>203</v>
      </c>
      <c r="CP53" t="s">
        <v>204</v>
      </c>
      <c r="CQ53" t="s">
        <v>205</v>
      </c>
      <c r="CR53" t="s">
        <v>206</v>
      </c>
    </row>
    <row r="54" spans="1:96">
      <c r="A54">
        <v>2</v>
      </c>
      <c r="B54" s="3">
        <v>0.48768518518518517</v>
      </c>
      <c r="C54" s="1">
        <v>45133</v>
      </c>
      <c r="D54" t="s">
        <v>196</v>
      </c>
      <c r="E54" t="s">
        <v>197</v>
      </c>
      <c r="G54">
        <v>2</v>
      </c>
      <c r="J54">
        <v>0.29925499999999999</v>
      </c>
      <c r="K54">
        <v>2.919511</v>
      </c>
      <c r="L54">
        <v>0.27143299999999998</v>
      </c>
      <c r="M54">
        <v>7.3245019999999998</v>
      </c>
      <c r="N54">
        <v>2.452315</v>
      </c>
      <c r="O54">
        <v>2.2602720000000001</v>
      </c>
      <c r="P54">
        <v>4.9241830000000002</v>
      </c>
      <c r="Q54">
        <v>2.4718680000000002</v>
      </c>
      <c r="R54">
        <v>23.719612000000001</v>
      </c>
      <c r="S54">
        <v>25.734943000000001</v>
      </c>
      <c r="T54">
        <v>51.675078999999997</v>
      </c>
      <c r="U54">
        <v>0.44178600000000001</v>
      </c>
      <c r="V54" t="s">
        <v>315</v>
      </c>
      <c r="W54">
        <v>0</v>
      </c>
      <c r="X54">
        <v>0</v>
      </c>
      <c r="Y54">
        <v>0</v>
      </c>
      <c r="Z54">
        <v>128.159164</v>
      </c>
      <c r="AA54">
        <v>223.85798600000001</v>
      </c>
      <c r="AB54">
        <v>0.42749799999999999</v>
      </c>
      <c r="AC54">
        <v>0.5</v>
      </c>
      <c r="AD54">
        <v>0.8</v>
      </c>
      <c r="AE54">
        <v>333.39764400000001</v>
      </c>
      <c r="AF54">
        <v>57.68</v>
      </c>
      <c r="AG54">
        <v>53.17</v>
      </c>
      <c r="AH54">
        <v>29.96</v>
      </c>
      <c r="AI54">
        <v>32.54</v>
      </c>
      <c r="AJ54">
        <v>95.29</v>
      </c>
      <c r="AK54">
        <v>156.4</v>
      </c>
      <c r="AL54">
        <v>147.6</v>
      </c>
      <c r="AM54">
        <v>5.6</v>
      </c>
      <c r="AN54">
        <v>1950</v>
      </c>
      <c r="AO54">
        <v>4.0369999999999999</v>
      </c>
      <c r="AP54" s="3">
        <v>0.48744212962962963</v>
      </c>
      <c r="AQ54" s="1">
        <v>45133</v>
      </c>
      <c r="AR54">
        <v>-0.23</v>
      </c>
      <c r="AS54">
        <v>-1E-3</v>
      </c>
      <c r="AT54">
        <v>-3.0000000000000001E-3</v>
      </c>
      <c r="AU54">
        <v>2.7E-2</v>
      </c>
      <c r="AV54">
        <v>-0.88500000000000001</v>
      </c>
      <c r="AW54">
        <v>-0.54800000000000004</v>
      </c>
      <c r="AX54">
        <v>2.0249999999999999</v>
      </c>
      <c r="AY54">
        <v>1</v>
      </c>
      <c r="AZ54">
        <v>150</v>
      </c>
      <c r="BA54">
        <v>5.0000000000000001E-3</v>
      </c>
      <c r="BB54">
        <v>2</v>
      </c>
      <c r="BC54">
        <v>0</v>
      </c>
      <c r="BD54" t="s">
        <v>200</v>
      </c>
      <c r="BE54">
        <v>7000</v>
      </c>
      <c r="BF54">
        <v>500</v>
      </c>
      <c r="BG54">
        <v>5</v>
      </c>
      <c r="BH54">
        <v>2</v>
      </c>
      <c r="BI54">
        <v>300</v>
      </c>
      <c r="BJ54">
        <v>300</v>
      </c>
      <c r="BK54">
        <v>300</v>
      </c>
      <c r="BL54">
        <v>208.003525</v>
      </c>
      <c r="BM54">
        <v>25</v>
      </c>
      <c r="BN54">
        <v>-10.957050000000001</v>
      </c>
      <c r="BO54">
        <v>207.76570100000001</v>
      </c>
      <c r="BP54">
        <v>208.142212</v>
      </c>
      <c r="BQ54">
        <v>-0.37651099999999998</v>
      </c>
      <c r="BR54">
        <v>2.4249749999999999</v>
      </c>
      <c r="BS54">
        <v>2.4992679999999998</v>
      </c>
      <c r="BT54">
        <v>1.5886150000000001</v>
      </c>
      <c r="BU54">
        <v>0.97118400000000005</v>
      </c>
      <c r="BV54">
        <v>0.22398699999999999</v>
      </c>
      <c r="BW54">
        <v>3.2587999999999999E-2</v>
      </c>
      <c r="BX54">
        <v>0.19145799999999999</v>
      </c>
      <c r="BY54">
        <v>1.8364180000000001</v>
      </c>
      <c r="BZ54">
        <v>128.159164</v>
      </c>
      <c r="CA54">
        <v>3.4200000000000002E-4</v>
      </c>
      <c r="CB54">
        <v>2.3486280000000002</v>
      </c>
      <c r="CC54">
        <v>-5.1E-5</v>
      </c>
      <c r="CD54">
        <v>1</v>
      </c>
      <c r="CE54">
        <v>2.4109430000000001</v>
      </c>
      <c r="CF54">
        <v>-5.7000000000000003E-5</v>
      </c>
      <c r="CG54">
        <v>1</v>
      </c>
      <c r="CH54">
        <v>0.60051900000000002</v>
      </c>
      <c r="CI54">
        <v>0.60216099999999995</v>
      </c>
      <c r="CJ54">
        <v>0.107265</v>
      </c>
      <c r="CK54">
        <v>0</v>
      </c>
      <c r="CL54" t="s">
        <v>315</v>
      </c>
      <c r="CM54" t="s">
        <v>201</v>
      </c>
      <c r="CN54" t="s">
        <v>202</v>
      </c>
      <c r="CO54" t="s">
        <v>203</v>
      </c>
      <c r="CP54" t="s">
        <v>204</v>
      </c>
      <c r="CQ54" t="s">
        <v>205</v>
      </c>
      <c r="CR54" t="s">
        <v>206</v>
      </c>
    </row>
    <row r="55" spans="1:96">
      <c r="A55">
        <v>3</v>
      </c>
      <c r="B55" s="3">
        <v>0.48782407407407408</v>
      </c>
      <c r="C55" s="1">
        <v>45133</v>
      </c>
      <c r="D55" t="s">
        <v>196</v>
      </c>
      <c r="E55" t="s">
        <v>197</v>
      </c>
      <c r="G55">
        <v>3</v>
      </c>
      <c r="J55">
        <v>0.242871</v>
      </c>
      <c r="K55">
        <v>2.918418</v>
      </c>
      <c r="L55">
        <v>0.22421199999999999</v>
      </c>
      <c r="M55">
        <v>4.8029900000000003</v>
      </c>
      <c r="N55">
        <v>2.4373140000000002</v>
      </c>
      <c r="O55">
        <v>2.3112539999999999</v>
      </c>
      <c r="P55">
        <v>4.4053170000000001</v>
      </c>
      <c r="Q55">
        <v>1.9680029999999999</v>
      </c>
      <c r="R55">
        <v>24.254631</v>
      </c>
      <c r="S55">
        <v>25.577524</v>
      </c>
      <c r="T55">
        <v>46.230029999999999</v>
      </c>
      <c r="U55">
        <v>0.44178600000000001</v>
      </c>
      <c r="V55" t="s">
        <v>316</v>
      </c>
      <c r="W55">
        <v>0</v>
      </c>
      <c r="X55">
        <v>0</v>
      </c>
      <c r="Y55">
        <v>0</v>
      </c>
      <c r="Z55">
        <v>78.851226999999994</v>
      </c>
      <c r="AA55">
        <v>242.66625999999999</v>
      </c>
      <c r="AB55">
        <v>0.67506299999999997</v>
      </c>
      <c r="AC55">
        <v>0.5</v>
      </c>
      <c r="AD55">
        <v>0.8</v>
      </c>
      <c r="AE55">
        <v>482.38998400000003</v>
      </c>
      <c r="AF55">
        <v>57.15</v>
      </c>
      <c r="AG55">
        <v>54.19</v>
      </c>
      <c r="AH55">
        <v>30.02</v>
      </c>
      <c r="AI55">
        <v>30.58</v>
      </c>
      <c r="AJ55">
        <v>95.29</v>
      </c>
      <c r="AK55">
        <v>156.30000000000001</v>
      </c>
      <c r="AL55">
        <v>147.6</v>
      </c>
      <c r="AM55">
        <v>5.6</v>
      </c>
      <c r="AN55">
        <v>1786</v>
      </c>
      <c r="AO55">
        <v>4.0389999999999997</v>
      </c>
      <c r="AP55" s="3">
        <v>0.48744212962962963</v>
      </c>
      <c r="AQ55" s="1">
        <v>45133</v>
      </c>
      <c r="AR55">
        <v>-0.23</v>
      </c>
      <c r="AS55">
        <v>-1E-3</v>
      </c>
      <c r="AT55">
        <v>-1E-3</v>
      </c>
      <c r="AU55">
        <v>-9999</v>
      </c>
      <c r="AV55">
        <v>0.32800000000000001</v>
      </c>
      <c r="AW55">
        <v>0.73899999999999999</v>
      </c>
      <c r="AX55">
        <v>-9999</v>
      </c>
      <c r="AY55">
        <v>1</v>
      </c>
      <c r="AZ55">
        <v>150</v>
      </c>
      <c r="BA55">
        <v>5.0000000000000001E-3</v>
      </c>
      <c r="BB55">
        <v>2</v>
      </c>
      <c r="BC55">
        <v>0</v>
      </c>
      <c r="BD55" t="s">
        <v>200</v>
      </c>
      <c r="BE55">
        <v>7000</v>
      </c>
      <c r="BF55">
        <v>500</v>
      </c>
      <c r="BG55">
        <v>5</v>
      </c>
      <c r="BH55">
        <v>2</v>
      </c>
      <c r="BI55">
        <v>300</v>
      </c>
      <c r="BJ55">
        <v>300</v>
      </c>
      <c r="BK55">
        <v>300</v>
      </c>
      <c r="BL55">
        <v>220.305206</v>
      </c>
      <c r="BM55">
        <v>25</v>
      </c>
      <c r="BN55">
        <v>-15.442689</v>
      </c>
      <c r="BO55">
        <v>222.99778699999999</v>
      </c>
      <c r="BP55">
        <v>220.516693</v>
      </c>
      <c r="BQ55">
        <v>2.4810940000000001</v>
      </c>
      <c r="BR55">
        <v>2.4262410000000001</v>
      </c>
      <c r="BS55">
        <v>2.4985390000000001</v>
      </c>
      <c r="BT55">
        <v>1.587558</v>
      </c>
      <c r="BU55">
        <v>0.97102500000000003</v>
      </c>
      <c r="BV55">
        <v>0.223493</v>
      </c>
      <c r="BW55">
        <v>6.8859999999999998E-3</v>
      </c>
      <c r="BX55">
        <v>0.19332199999999999</v>
      </c>
      <c r="BY55">
        <v>1.691643</v>
      </c>
      <c r="BZ55">
        <v>78.851226999999994</v>
      </c>
      <c r="CA55">
        <v>3.4699999999999998E-4</v>
      </c>
      <c r="CB55">
        <v>2.3486280000000002</v>
      </c>
      <c r="CC55">
        <v>-5.1E-5</v>
      </c>
      <c r="CD55">
        <v>1</v>
      </c>
      <c r="CE55">
        <v>2.4109430000000001</v>
      </c>
      <c r="CF55">
        <v>-5.7000000000000003E-5</v>
      </c>
      <c r="CG55">
        <v>1</v>
      </c>
      <c r="CH55">
        <v>0.60051900000000002</v>
      </c>
      <c r="CI55">
        <v>0.60216099999999995</v>
      </c>
      <c r="CJ55">
        <v>0.107265</v>
      </c>
      <c r="CK55">
        <v>0</v>
      </c>
      <c r="CL55" t="s">
        <v>316</v>
      </c>
      <c r="CM55" t="s">
        <v>201</v>
      </c>
      <c r="CN55" t="s">
        <v>202</v>
      </c>
      <c r="CO55" t="s">
        <v>203</v>
      </c>
      <c r="CP55" t="s">
        <v>204</v>
      </c>
      <c r="CQ55" t="s">
        <v>205</v>
      </c>
      <c r="CR55" t="s">
        <v>206</v>
      </c>
    </row>
    <row r="56" spans="1:96">
      <c r="A56">
        <v>4</v>
      </c>
      <c r="B56" s="3">
        <v>0.48803240740740739</v>
      </c>
      <c r="C56" s="1">
        <v>45133</v>
      </c>
      <c r="D56" t="s">
        <v>196</v>
      </c>
      <c r="E56" t="s">
        <v>197</v>
      </c>
      <c r="G56">
        <v>4</v>
      </c>
      <c r="J56">
        <v>0.19428200000000001</v>
      </c>
      <c r="K56">
        <v>2.919997</v>
      </c>
      <c r="L56">
        <v>0.18216199999999999</v>
      </c>
      <c r="M56">
        <v>5.103936</v>
      </c>
      <c r="N56">
        <v>2.4414090000000002</v>
      </c>
      <c r="O56">
        <v>2.307617</v>
      </c>
      <c r="P56">
        <v>5.0071050000000001</v>
      </c>
      <c r="Q56">
        <v>2.565696</v>
      </c>
      <c r="R56">
        <v>24.215513000000001</v>
      </c>
      <c r="S56">
        <v>25.619485999999998</v>
      </c>
      <c r="T56">
        <v>52.543208999999997</v>
      </c>
      <c r="U56">
        <v>0.44178600000000001</v>
      </c>
      <c r="V56" t="s">
        <v>317</v>
      </c>
      <c r="W56">
        <v>0</v>
      </c>
      <c r="X56">
        <v>0</v>
      </c>
      <c r="Y56">
        <v>0</v>
      </c>
      <c r="Z56">
        <v>187.644485</v>
      </c>
      <c r="AA56">
        <v>297.26580799999999</v>
      </c>
      <c r="AB56">
        <v>0.36876500000000001</v>
      </c>
      <c r="AC56">
        <v>0.5</v>
      </c>
      <c r="AD56">
        <v>0.8</v>
      </c>
      <c r="AE56">
        <v>297.31176799999997</v>
      </c>
      <c r="AF56">
        <v>57.01</v>
      </c>
      <c r="AG56">
        <v>53.89</v>
      </c>
      <c r="AH56">
        <v>30.09</v>
      </c>
      <c r="AI56">
        <v>32.840000000000003</v>
      </c>
      <c r="AJ56">
        <v>95.29</v>
      </c>
      <c r="AK56">
        <v>156.5</v>
      </c>
      <c r="AL56">
        <v>147.6</v>
      </c>
      <c r="AM56">
        <v>5.7</v>
      </c>
      <c r="AN56">
        <v>2016</v>
      </c>
      <c r="AO56">
        <v>4</v>
      </c>
      <c r="AP56" s="3">
        <v>0.48744212962962963</v>
      </c>
      <c r="AQ56" s="1">
        <v>45133</v>
      </c>
      <c r="AR56">
        <v>-0.23</v>
      </c>
      <c r="AS56">
        <v>0</v>
      </c>
      <c r="AT56">
        <v>0</v>
      </c>
      <c r="AU56">
        <v>-9999</v>
      </c>
      <c r="AV56">
        <v>-0.65500000000000003</v>
      </c>
      <c r="AW56">
        <v>0.13300000000000001</v>
      </c>
      <c r="AX56">
        <v>-9999</v>
      </c>
      <c r="AY56">
        <v>1</v>
      </c>
      <c r="AZ56">
        <v>150</v>
      </c>
      <c r="BA56">
        <v>5.0000000000000001E-3</v>
      </c>
      <c r="BB56">
        <v>2</v>
      </c>
      <c r="BC56">
        <v>0</v>
      </c>
      <c r="BD56" t="s">
        <v>200</v>
      </c>
      <c r="BE56">
        <v>7000</v>
      </c>
      <c r="BF56">
        <v>500</v>
      </c>
      <c r="BG56">
        <v>5</v>
      </c>
      <c r="BH56">
        <v>2</v>
      </c>
      <c r="BI56">
        <v>300</v>
      </c>
      <c r="BJ56">
        <v>300</v>
      </c>
      <c r="BK56">
        <v>300</v>
      </c>
      <c r="BL56">
        <v>279.97933999999998</v>
      </c>
      <c r="BM56">
        <v>25</v>
      </c>
      <c r="BN56">
        <v>-12.173495000000001</v>
      </c>
      <c r="BO56">
        <v>278.998718</v>
      </c>
      <c r="BP56">
        <v>279.80526700000001</v>
      </c>
      <c r="BQ56">
        <v>-0.80654899999999996</v>
      </c>
      <c r="BR56">
        <v>2.4258419999999998</v>
      </c>
      <c r="BS56">
        <v>2.4983379999999999</v>
      </c>
      <c r="BT56">
        <v>1.5890850000000001</v>
      </c>
      <c r="BU56">
        <v>0.97125799999999995</v>
      </c>
      <c r="BV56">
        <v>0.22286600000000001</v>
      </c>
      <c r="BW56">
        <v>3.4811000000000002E-2</v>
      </c>
      <c r="BX56">
        <v>0.195797</v>
      </c>
      <c r="BY56">
        <v>1.8948499999999999</v>
      </c>
      <c r="BZ56">
        <v>187.644485</v>
      </c>
      <c r="CA56">
        <v>3.4299999999999999E-4</v>
      </c>
      <c r="CB56">
        <v>2.3486280000000002</v>
      </c>
      <c r="CC56">
        <v>-5.1E-5</v>
      </c>
      <c r="CD56">
        <v>1</v>
      </c>
      <c r="CE56">
        <v>2.4109430000000001</v>
      </c>
      <c r="CF56">
        <v>-5.7000000000000003E-5</v>
      </c>
      <c r="CG56">
        <v>1</v>
      </c>
      <c r="CH56">
        <v>0.60051900000000002</v>
      </c>
      <c r="CI56">
        <v>0.60216099999999995</v>
      </c>
      <c r="CJ56">
        <v>0.107265</v>
      </c>
      <c r="CK56">
        <v>0</v>
      </c>
      <c r="CL56" t="s">
        <v>317</v>
      </c>
      <c r="CM56" t="s">
        <v>201</v>
      </c>
      <c r="CN56" t="s">
        <v>202</v>
      </c>
      <c r="CO56" t="s">
        <v>203</v>
      </c>
      <c r="CP56" t="s">
        <v>204</v>
      </c>
      <c r="CQ56" t="s">
        <v>205</v>
      </c>
      <c r="CR56" t="s">
        <v>206</v>
      </c>
    </row>
    <row r="57" spans="1:96">
      <c r="A57">
        <v>1</v>
      </c>
      <c r="B57" s="3">
        <v>0.49465277777777777</v>
      </c>
      <c r="C57" s="1">
        <v>45133</v>
      </c>
      <c r="D57" t="s">
        <v>196</v>
      </c>
      <c r="E57" t="s">
        <v>197</v>
      </c>
      <c r="G57">
        <v>1</v>
      </c>
      <c r="J57">
        <v>0.13397600000000001</v>
      </c>
      <c r="K57">
        <v>2.9190960000000001</v>
      </c>
      <c r="L57">
        <v>0.12809699999999999</v>
      </c>
      <c r="M57">
        <v>2.8734220000000001</v>
      </c>
      <c r="N57">
        <v>2.3786649999999998</v>
      </c>
      <c r="O57">
        <v>2.3032569999999999</v>
      </c>
      <c r="P57">
        <v>4.4393099999999999</v>
      </c>
      <c r="Q57">
        <v>2.0606450000000001</v>
      </c>
      <c r="R57">
        <v>24.175459</v>
      </c>
      <c r="S57">
        <v>24.966963</v>
      </c>
      <c r="T57">
        <v>46.595923999999997</v>
      </c>
      <c r="U57">
        <v>0.44178600000000001</v>
      </c>
      <c r="V57" t="s">
        <v>318</v>
      </c>
      <c r="W57">
        <v>0</v>
      </c>
      <c r="X57">
        <v>0</v>
      </c>
      <c r="Y57">
        <v>0</v>
      </c>
      <c r="Z57">
        <v>97.198607999999993</v>
      </c>
      <c r="AA57">
        <v>329.096161</v>
      </c>
      <c r="AB57">
        <v>0.70465</v>
      </c>
      <c r="AC57">
        <v>0.5</v>
      </c>
      <c r="AD57">
        <v>0.8</v>
      </c>
      <c r="AE57">
        <v>185.52108799999999</v>
      </c>
      <c r="AF57">
        <v>54.41</v>
      </c>
      <c r="AG57">
        <v>52.69</v>
      </c>
      <c r="AH57">
        <v>30.45</v>
      </c>
      <c r="AI57">
        <v>30.72</v>
      </c>
      <c r="AJ57">
        <v>95.27</v>
      </c>
      <c r="AK57">
        <v>156.4</v>
      </c>
      <c r="AL57">
        <v>147.6</v>
      </c>
      <c r="AM57">
        <v>5.6</v>
      </c>
      <c r="AN57">
        <v>658</v>
      </c>
      <c r="AO57">
        <v>4.0380000000000003</v>
      </c>
      <c r="AP57" s="3">
        <v>0.49437500000000001</v>
      </c>
      <c r="AQ57" s="1">
        <v>45133</v>
      </c>
      <c r="AR57">
        <v>-7.0000000000000007E-2</v>
      </c>
      <c r="AS57">
        <v>3.0000000000000001E-3</v>
      </c>
      <c r="AT57">
        <v>0</v>
      </c>
      <c r="AU57">
        <v>6.0000000000000001E-3</v>
      </c>
      <c r="AV57">
        <v>-0.66900000000000004</v>
      </c>
      <c r="AW57">
        <v>-3.5030000000000001</v>
      </c>
      <c r="AX57">
        <v>-11.827</v>
      </c>
      <c r="AY57">
        <v>1</v>
      </c>
      <c r="AZ57">
        <v>150</v>
      </c>
      <c r="BA57">
        <v>5.0000000000000001E-3</v>
      </c>
      <c r="BB57">
        <v>2</v>
      </c>
      <c r="BC57">
        <v>0</v>
      </c>
      <c r="BD57" t="s">
        <v>200</v>
      </c>
      <c r="BE57">
        <v>7000</v>
      </c>
      <c r="BF57">
        <v>500</v>
      </c>
      <c r="BG57">
        <v>5</v>
      </c>
      <c r="BH57">
        <v>2</v>
      </c>
      <c r="BI57">
        <v>300</v>
      </c>
      <c r="BJ57">
        <v>300</v>
      </c>
      <c r="BK57">
        <v>300</v>
      </c>
      <c r="BL57">
        <v>305.06585699999999</v>
      </c>
      <c r="BM57">
        <v>25</v>
      </c>
      <c r="BN57">
        <v>-16.637411</v>
      </c>
      <c r="BO57">
        <v>305.08197000000001</v>
      </c>
      <c r="BP57">
        <v>305.233002</v>
      </c>
      <c r="BQ57">
        <v>-0.151031</v>
      </c>
      <c r="BR57">
        <v>2.424261</v>
      </c>
      <c r="BS57">
        <v>2.4945710000000001</v>
      </c>
      <c r="BT57">
        <v>1.588212</v>
      </c>
      <c r="BU57">
        <v>0.97108799999999995</v>
      </c>
      <c r="BV57">
        <v>0.21972900000000001</v>
      </c>
      <c r="BW57">
        <v>3.1549999999999998E-3</v>
      </c>
      <c r="BX57">
        <v>0.17743200000000001</v>
      </c>
      <c r="BY57">
        <v>0.69101199999999996</v>
      </c>
      <c r="BZ57">
        <v>97.198607999999993</v>
      </c>
      <c r="CA57">
        <v>3.4200000000000002E-4</v>
      </c>
      <c r="CB57">
        <v>2.3486280000000002</v>
      </c>
      <c r="CC57">
        <v>-5.1E-5</v>
      </c>
      <c r="CD57">
        <v>1</v>
      </c>
      <c r="CE57">
        <v>2.4109430000000001</v>
      </c>
      <c r="CF57">
        <v>-5.7000000000000003E-5</v>
      </c>
      <c r="CG57">
        <v>1</v>
      </c>
      <c r="CH57">
        <v>0.60051900000000002</v>
      </c>
      <c r="CI57">
        <v>0.60216099999999995</v>
      </c>
      <c r="CJ57">
        <v>0.107265</v>
      </c>
      <c r="CK57">
        <v>0</v>
      </c>
      <c r="CL57" t="s">
        <v>318</v>
      </c>
      <c r="CM57" t="s">
        <v>201</v>
      </c>
      <c r="CN57" t="s">
        <v>202</v>
      </c>
      <c r="CO57" t="s">
        <v>203</v>
      </c>
      <c r="CP57" t="s">
        <v>204</v>
      </c>
      <c r="CQ57" t="s">
        <v>205</v>
      </c>
      <c r="CR57" t="s">
        <v>206</v>
      </c>
    </row>
    <row r="58" spans="1:96">
      <c r="A58">
        <v>2</v>
      </c>
      <c r="B58" s="3">
        <v>0.49481481481481482</v>
      </c>
      <c r="C58" s="1">
        <v>45133</v>
      </c>
      <c r="D58" t="s">
        <v>196</v>
      </c>
      <c r="E58" t="s">
        <v>197</v>
      </c>
      <c r="G58">
        <v>2</v>
      </c>
      <c r="J58">
        <v>0.22348299999999999</v>
      </c>
      <c r="K58">
        <v>2.9182130000000002</v>
      </c>
      <c r="L58">
        <v>0.20758499999999999</v>
      </c>
      <c r="M58">
        <v>3.8379159999999999</v>
      </c>
      <c r="N58">
        <v>2.393767</v>
      </c>
      <c r="O58">
        <v>2.2930030000000001</v>
      </c>
      <c r="P58">
        <v>4.0950360000000003</v>
      </c>
      <c r="Q58">
        <v>1.7012689999999999</v>
      </c>
      <c r="R58">
        <v>24.070302999999999</v>
      </c>
      <c r="S58">
        <v>25.128043999999999</v>
      </c>
      <c r="T58">
        <v>42.986752000000003</v>
      </c>
      <c r="U58">
        <v>0.44178600000000001</v>
      </c>
      <c r="V58" t="s">
        <v>319</v>
      </c>
      <c r="W58">
        <v>0</v>
      </c>
      <c r="X58">
        <v>0</v>
      </c>
      <c r="Y58">
        <v>0</v>
      </c>
      <c r="Z58">
        <v>99.701285999999996</v>
      </c>
      <c r="AA58">
        <v>314.30175800000001</v>
      </c>
      <c r="AB58">
        <v>0.68278499999999998</v>
      </c>
      <c r="AC58">
        <v>0.5</v>
      </c>
      <c r="AD58">
        <v>0.8</v>
      </c>
      <c r="AE58">
        <v>117.857162</v>
      </c>
      <c r="AF58">
        <v>54.65</v>
      </c>
      <c r="AG58">
        <v>52.35</v>
      </c>
      <c r="AH58">
        <v>30.48</v>
      </c>
      <c r="AI58">
        <v>29.31</v>
      </c>
      <c r="AJ58">
        <v>95.26</v>
      </c>
      <c r="AK58">
        <v>156.30000000000001</v>
      </c>
      <c r="AL58">
        <v>147.5</v>
      </c>
      <c r="AM58">
        <v>5.6</v>
      </c>
      <c r="AN58">
        <v>432</v>
      </c>
      <c r="AO58">
        <v>4.0359999999999996</v>
      </c>
      <c r="AP58" s="3">
        <v>0.49437500000000001</v>
      </c>
      <c r="AQ58" s="1">
        <v>45133</v>
      </c>
      <c r="AR58">
        <v>-7.0000000000000007E-2</v>
      </c>
      <c r="AS58">
        <v>2E-3</v>
      </c>
      <c r="AT58">
        <v>0</v>
      </c>
      <c r="AU58">
        <v>-9999</v>
      </c>
      <c r="AV58">
        <v>-8.5000000000000006E-2</v>
      </c>
      <c r="AW58">
        <v>0.74199999999999999</v>
      </c>
      <c r="AX58">
        <v>-9999</v>
      </c>
      <c r="AY58">
        <v>1</v>
      </c>
      <c r="AZ58">
        <v>150</v>
      </c>
      <c r="BA58">
        <v>5.0000000000000001E-3</v>
      </c>
      <c r="BB58">
        <v>2</v>
      </c>
      <c r="BC58">
        <v>0</v>
      </c>
      <c r="BD58" t="s">
        <v>200</v>
      </c>
      <c r="BE58">
        <v>7000</v>
      </c>
      <c r="BF58">
        <v>500</v>
      </c>
      <c r="BG58">
        <v>5</v>
      </c>
      <c r="BH58">
        <v>2</v>
      </c>
      <c r="BI58">
        <v>300</v>
      </c>
      <c r="BJ58">
        <v>300</v>
      </c>
      <c r="BK58">
        <v>300</v>
      </c>
      <c r="BL58">
        <v>292.83248900000001</v>
      </c>
      <c r="BM58">
        <v>25</v>
      </c>
      <c r="BN58">
        <v>-14.892393</v>
      </c>
      <c r="BO58">
        <v>292.47521999999998</v>
      </c>
      <c r="BP58">
        <v>292.94149800000002</v>
      </c>
      <c r="BQ58">
        <v>-0.46627800000000003</v>
      </c>
      <c r="BR58">
        <v>2.4238339999999998</v>
      </c>
      <c r="BS58">
        <v>2.4948839999999999</v>
      </c>
      <c r="BT58">
        <v>1.5873600000000001</v>
      </c>
      <c r="BU58">
        <v>0.97074700000000003</v>
      </c>
      <c r="BV58">
        <v>0.21943799999999999</v>
      </c>
      <c r="BW58">
        <v>-1.4855999999999999E-2</v>
      </c>
      <c r="BX58">
        <v>0.17941099999999999</v>
      </c>
      <c r="BY58">
        <v>0.489981</v>
      </c>
      <c r="BZ58">
        <v>99.701285999999996</v>
      </c>
      <c r="CA58">
        <v>3.5E-4</v>
      </c>
      <c r="CB58">
        <v>2.3486280000000002</v>
      </c>
      <c r="CC58">
        <v>-5.1E-5</v>
      </c>
      <c r="CD58">
        <v>1</v>
      </c>
      <c r="CE58">
        <v>2.4109430000000001</v>
      </c>
      <c r="CF58">
        <v>-5.7000000000000003E-5</v>
      </c>
      <c r="CG58">
        <v>1</v>
      </c>
      <c r="CH58">
        <v>0.60051900000000002</v>
      </c>
      <c r="CI58">
        <v>0.60216099999999995</v>
      </c>
      <c r="CJ58">
        <v>0.107265</v>
      </c>
      <c r="CK58">
        <v>0</v>
      </c>
      <c r="CL58" t="s">
        <v>319</v>
      </c>
      <c r="CM58" t="s">
        <v>201</v>
      </c>
      <c r="CN58" t="s">
        <v>202</v>
      </c>
      <c r="CO58" t="s">
        <v>203</v>
      </c>
      <c r="CP58" t="s">
        <v>204</v>
      </c>
      <c r="CQ58" t="s">
        <v>205</v>
      </c>
      <c r="CR58" t="s">
        <v>206</v>
      </c>
    </row>
    <row r="59" spans="1:96">
      <c r="A59">
        <v>3</v>
      </c>
      <c r="B59" s="3">
        <v>0.49494212962962963</v>
      </c>
      <c r="C59" s="1">
        <v>45133</v>
      </c>
      <c r="D59" t="s">
        <v>196</v>
      </c>
      <c r="E59" t="s">
        <v>197</v>
      </c>
      <c r="G59">
        <v>3</v>
      </c>
      <c r="J59">
        <v>0.15703400000000001</v>
      </c>
      <c r="K59">
        <v>2.9203830000000002</v>
      </c>
      <c r="L59">
        <v>0.14902099999999999</v>
      </c>
      <c r="M59">
        <v>2.8718849999999998</v>
      </c>
      <c r="N59">
        <v>2.396652</v>
      </c>
      <c r="O59">
        <v>2.3213819999999998</v>
      </c>
      <c r="P59">
        <v>4.1692790000000004</v>
      </c>
      <c r="Q59">
        <v>1.772626</v>
      </c>
      <c r="R59">
        <v>24.367884</v>
      </c>
      <c r="S59">
        <v>25.158004999999999</v>
      </c>
      <c r="T59">
        <v>43.765521999999997</v>
      </c>
      <c r="U59">
        <v>0.44178600000000001</v>
      </c>
      <c r="V59" t="s">
        <v>320</v>
      </c>
      <c r="W59">
        <v>0</v>
      </c>
      <c r="X59">
        <v>0</v>
      </c>
      <c r="Y59">
        <v>0</v>
      </c>
      <c r="Z59">
        <v>95.143676999999997</v>
      </c>
      <c r="AA59">
        <v>316.95620700000001</v>
      </c>
      <c r="AB59">
        <v>0.69982100000000003</v>
      </c>
      <c r="AC59">
        <v>0.5</v>
      </c>
      <c r="AD59">
        <v>0.8</v>
      </c>
      <c r="AE59">
        <v>120.789772</v>
      </c>
      <c r="AF59">
        <v>54.66</v>
      </c>
      <c r="AG59">
        <v>52.95</v>
      </c>
      <c r="AH59">
        <v>30.5</v>
      </c>
      <c r="AI59">
        <v>29.62</v>
      </c>
      <c r="AJ59">
        <v>95.26</v>
      </c>
      <c r="AK59">
        <v>156.5</v>
      </c>
      <c r="AL59">
        <v>147.5</v>
      </c>
      <c r="AM59">
        <v>5.8</v>
      </c>
      <c r="AN59">
        <v>432</v>
      </c>
      <c r="AO59">
        <v>4.0369999999999999</v>
      </c>
      <c r="AP59" s="3">
        <v>0.49437500000000001</v>
      </c>
      <c r="AQ59" s="1">
        <v>45133</v>
      </c>
      <c r="AR59">
        <v>-7.0000000000000007E-2</v>
      </c>
      <c r="AS59">
        <v>6.0000000000000001E-3</v>
      </c>
      <c r="AT59">
        <v>3.0000000000000001E-3</v>
      </c>
      <c r="AU59">
        <v>-9999</v>
      </c>
      <c r="AV59">
        <v>-0.13100000000000001</v>
      </c>
      <c r="AW59">
        <v>-2.7E-2</v>
      </c>
      <c r="AX59">
        <v>-9999</v>
      </c>
      <c r="AY59">
        <v>1</v>
      </c>
      <c r="AZ59">
        <v>150</v>
      </c>
      <c r="BA59">
        <v>5.0000000000000001E-3</v>
      </c>
      <c r="BB59">
        <v>2</v>
      </c>
      <c r="BC59">
        <v>0</v>
      </c>
      <c r="BD59" t="s">
        <v>200</v>
      </c>
      <c r="BE59">
        <v>7000</v>
      </c>
      <c r="BF59">
        <v>500</v>
      </c>
      <c r="BG59">
        <v>5</v>
      </c>
      <c r="BH59">
        <v>2</v>
      </c>
      <c r="BI59">
        <v>300</v>
      </c>
      <c r="BJ59">
        <v>300</v>
      </c>
      <c r="BK59">
        <v>300</v>
      </c>
      <c r="BL59">
        <v>291.97131300000001</v>
      </c>
      <c r="BM59">
        <v>25</v>
      </c>
      <c r="BN59">
        <v>-17.394069999999999</v>
      </c>
      <c r="BO59">
        <v>291.422729</v>
      </c>
      <c r="BP59">
        <v>292.00775099999998</v>
      </c>
      <c r="BQ59">
        <v>-0.58502200000000004</v>
      </c>
      <c r="BR59">
        <v>2.4245730000000001</v>
      </c>
      <c r="BS59">
        <v>2.4948939999999999</v>
      </c>
      <c r="BT59">
        <v>1.589459</v>
      </c>
      <c r="BU59">
        <v>0.97092999999999996</v>
      </c>
      <c r="BV59">
        <v>0.21928800000000001</v>
      </c>
      <c r="BW59">
        <v>-1.1200999999999999E-2</v>
      </c>
      <c r="BX59">
        <v>0.18082000000000001</v>
      </c>
      <c r="BY59">
        <v>0.489956</v>
      </c>
      <c r="BZ59">
        <v>95.143676999999997</v>
      </c>
      <c r="CA59">
        <v>3.4299999999999999E-4</v>
      </c>
      <c r="CB59">
        <v>2.3486280000000002</v>
      </c>
      <c r="CC59">
        <v>-5.1E-5</v>
      </c>
      <c r="CD59">
        <v>1</v>
      </c>
      <c r="CE59">
        <v>2.4109430000000001</v>
      </c>
      <c r="CF59">
        <v>-5.7000000000000003E-5</v>
      </c>
      <c r="CG59">
        <v>1</v>
      </c>
      <c r="CH59">
        <v>0.60051900000000002</v>
      </c>
      <c r="CI59">
        <v>0.60216099999999995</v>
      </c>
      <c r="CJ59">
        <v>0.107265</v>
      </c>
      <c r="CK59">
        <v>0</v>
      </c>
      <c r="CL59" t="s">
        <v>320</v>
      </c>
      <c r="CM59" t="s">
        <v>201</v>
      </c>
      <c r="CN59" t="s">
        <v>202</v>
      </c>
      <c r="CO59" t="s">
        <v>203</v>
      </c>
      <c r="CP59" t="s">
        <v>204</v>
      </c>
      <c r="CQ59" t="s">
        <v>205</v>
      </c>
      <c r="CR59" t="s">
        <v>206</v>
      </c>
    </row>
    <row r="60" spans="1:96">
      <c r="A60">
        <v>4</v>
      </c>
      <c r="B60" s="3">
        <v>0.49511574074074072</v>
      </c>
      <c r="C60" s="1">
        <v>45133</v>
      </c>
      <c r="D60" t="s">
        <v>196</v>
      </c>
      <c r="E60" t="s">
        <v>197</v>
      </c>
      <c r="G60">
        <v>4</v>
      </c>
      <c r="J60">
        <v>0.14074800000000001</v>
      </c>
      <c r="K60">
        <v>2.917611</v>
      </c>
      <c r="L60">
        <v>0.134271</v>
      </c>
      <c r="M60">
        <v>2.611262</v>
      </c>
      <c r="N60">
        <v>2.3993329999999999</v>
      </c>
      <c r="O60">
        <v>2.3307509999999998</v>
      </c>
      <c r="P60">
        <v>4.1877950000000004</v>
      </c>
      <c r="Q60">
        <v>1.788462</v>
      </c>
      <c r="R60">
        <v>24.468292000000002</v>
      </c>
      <c r="S60">
        <v>25.188258999999999</v>
      </c>
      <c r="T60">
        <v>43.963585000000002</v>
      </c>
      <c r="U60">
        <v>0.44178600000000001</v>
      </c>
      <c r="V60" t="s">
        <v>321</v>
      </c>
      <c r="W60">
        <v>0</v>
      </c>
      <c r="X60">
        <v>0</v>
      </c>
      <c r="Y60">
        <v>0</v>
      </c>
      <c r="Z60">
        <v>97.590569000000002</v>
      </c>
      <c r="AA60">
        <v>345.51806599999998</v>
      </c>
      <c r="AB60">
        <v>0.717553</v>
      </c>
      <c r="AC60">
        <v>0.5</v>
      </c>
      <c r="AD60">
        <v>0.8</v>
      </c>
      <c r="AE60">
        <v>120.538712</v>
      </c>
      <c r="AF60">
        <v>54.65</v>
      </c>
      <c r="AG60">
        <v>53.08</v>
      </c>
      <c r="AH60">
        <v>30.53</v>
      </c>
      <c r="AI60">
        <v>29.7</v>
      </c>
      <c r="AJ60">
        <v>95.26</v>
      </c>
      <c r="AK60">
        <v>156.19999999999999</v>
      </c>
      <c r="AL60">
        <v>147.6</v>
      </c>
      <c r="AM60">
        <v>5.5</v>
      </c>
      <c r="AN60">
        <v>420</v>
      </c>
      <c r="AO60">
        <v>4.0359999999999996</v>
      </c>
      <c r="AP60" s="3">
        <v>0.49437500000000001</v>
      </c>
      <c r="AQ60" s="1">
        <v>45133</v>
      </c>
      <c r="AR60">
        <v>-7.0000000000000007E-2</v>
      </c>
      <c r="AS60">
        <v>-2E-3</v>
      </c>
      <c r="AT60">
        <v>-3.0000000000000001E-3</v>
      </c>
      <c r="AU60">
        <v>0.01</v>
      </c>
      <c r="AV60">
        <v>0.53500000000000003</v>
      </c>
      <c r="AW60">
        <v>0.18</v>
      </c>
      <c r="AX60">
        <v>0.38400000000000001</v>
      </c>
      <c r="AY60">
        <v>1</v>
      </c>
      <c r="AZ60">
        <v>150</v>
      </c>
      <c r="BA60">
        <v>5.0000000000000001E-3</v>
      </c>
      <c r="BB60">
        <v>2</v>
      </c>
      <c r="BC60">
        <v>0</v>
      </c>
      <c r="BD60" t="s">
        <v>200</v>
      </c>
      <c r="BE60">
        <v>7000</v>
      </c>
      <c r="BF60">
        <v>500</v>
      </c>
      <c r="BG60">
        <v>5</v>
      </c>
      <c r="BH60">
        <v>2</v>
      </c>
      <c r="BI60">
        <v>300</v>
      </c>
      <c r="BJ60">
        <v>300</v>
      </c>
      <c r="BK60">
        <v>300</v>
      </c>
      <c r="BL60">
        <v>323.04846199999997</v>
      </c>
      <c r="BM60">
        <v>25</v>
      </c>
      <c r="BN60">
        <v>-15.991175999999999</v>
      </c>
      <c r="BO60">
        <v>321.91836499999999</v>
      </c>
      <c r="BP60">
        <v>322.58178700000002</v>
      </c>
      <c r="BQ60">
        <v>-0.66342199999999996</v>
      </c>
      <c r="BR60">
        <v>2.4247399999999999</v>
      </c>
      <c r="BS60">
        <v>2.4948670000000002</v>
      </c>
      <c r="BT60">
        <v>1.5867789999999999</v>
      </c>
      <c r="BU60">
        <v>0.97107699999999997</v>
      </c>
      <c r="BV60">
        <v>0.21907499999999999</v>
      </c>
      <c r="BW60">
        <v>-1.0551E-2</v>
      </c>
      <c r="BX60">
        <v>0.18273700000000001</v>
      </c>
      <c r="BY60">
        <v>0.47972300000000001</v>
      </c>
      <c r="BZ60">
        <v>97.590569000000002</v>
      </c>
      <c r="CA60">
        <v>3.4699999999999998E-4</v>
      </c>
      <c r="CB60">
        <v>2.3486280000000002</v>
      </c>
      <c r="CC60">
        <v>-5.1E-5</v>
      </c>
      <c r="CD60">
        <v>1</v>
      </c>
      <c r="CE60">
        <v>2.4109430000000001</v>
      </c>
      <c r="CF60">
        <v>-5.7000000000000003E-5</v>
      </c>
      <c r="CG60">
        <v>1</v>
      </c>
      <c r="CH60">
        <v>0.60051900000000002</v>
      </c>
      <c r="CI60">
        <v>0.60216099999999995</v>
      </c>
      <c r="CJ60">
        <v>0.107265</v>
      </c>
      <c r="CK60">
        <v>0</v>
      </c>
      <c r="CL60" t="s">
        <v>321</v>
      </c>
      <c r="CM60" t="s">
        <v>201</v>
      </c>
      <c r="CN60" t="s">
        <v>202</v>
      </c>
      <c r="CO60" t="s">
        <v>203</v>
      </c>
      <c r="CP60" t="s">
        <v>204</v>
      </c>
      <c r="CQ60" t="s">
        <v>205</v>
      </c>
      <c r="CR60" t="s">
        <v>206</v>
      </c>
    </row>
    <row r="61" spans="1:96">
      <c r="A61">
        <v>1</v>
      </c>
      <c r="B61" s="3">
        <v>0.50100694444444438</v>
      </c>
      <c r="C61" s="1">
        <v>45133</v>
      </c>
      <c r="D61" t="s">
        <v>196</v>
      </c>
      <c r="E61" t="s">
        <v>197</v>
      </c>
      <c r="G61">
        <v>1</v>
      </c>
      <c r="J61">
        <v>0.42132500000000001</v>
      </c>
      <c r="K61">
        <v>2.9184420000000002</v>
      </c>
      <c r="L61">
        <v>0.36817299999999997</v>
      </c>
      <c r="M61">
        <v>8.8891849999999994</v>
      </c>
      <c r="N61">
        <v>2.6746249999999998</v>
      </c>
      <c r="O61">
        <v>2.4419719999999998</v>
      </c>
      <c r="P61">
        <v>4.8835829999999998</v>
      </c>
      <c r="Q61">
        <v>2.208958</v>
      </c>
      <c r="R61">
        <v>25.632116</v>
      </c>
      <c r="S61">
        <v>28.074158000000001</v>
      </c>
      <c r="T61">
        <v>51.260444999999997</v>
      </c>
      <c r="U61">
        <v>0.44178600000000001</v>
      </c>
      <c r="V61" t="s">
        <v>322</v>
      </c>
      <c r="W61">
        <v>0</v>
      </c>
      <c r="X61">
        <v>0</v>
      </c>
      <c r="Y61">
        <v>0</v>
      </c>
      <c r="Z61">
        <v>173.62081900000001</v>
      </c>
      <c r="AA61">
        <v>283.75613399999997</v>
      </c>
      <c r="AB61">
        <v>0.38813399999999998</v>
      </c>
      <c r="AC61">
        <v>0.5</v>
      </c>
      <c r="AD61">
        <v>0.8</v>
      </c>
      <c r="AE61">
        <v>296.276794</v>
      </c>
      <c r="AF61">
        <v>59.96</v>
      </c>
      <c r="AG61">
        <v>54.74</v>
      </c>
      <c r="AH61">
        <v>30.8</v>
      </c>
      <c r="AI61">
        <v>32.4</v>
      </c>
      <c r="AJ61">
        <v>95.27</v>
      </c>
      <c r="AK61">
        <v>156.30000000000001</v>
      </c>
      <c r="AL61">
        <v>147.69999999999999</v>
      </c>
      <c r="AM61">
        <v>5.5</v>
      </c>
      <c r="AN61">
        <v>1908</v>
      </c>
      <c r="AO61">
        <v>4.0359999999999996</v>
      </c>
      <c r="AP61" s="3">
        <v>0.50089120370370377</v>
      </c>
      <c r="AQ61" s="1">
        <v>45133</v>
      </c>
      <c r="AR61">
        <v>-0.5</v>
      </c>
      <c r="AS61">
        <v>-4.0000000000000001E-3</v>
      </c>
      <c r="AT61">
        <v>-2E-3</v>
      </c>
      <c r="AU61">
        <v>0.01</v>
      </c>
      <c r="AV61">
        <v>-0.33900000000000002</v>
      </c>
      <c r="AW61">
        <v>-0.38200000000000001</v>
      </c>
      <c r="AX61">
        <v>0.57599999999999996</v>
      </c>
      <c r="AY61">
        <v>1</v>
      </c>
      <c r="AZ61">
        <v>150</v>
      </c>
      <c r="BA61">
        <v>5.0000000000000001E-3</v>
      </c>
      <c r="BB61">
        <v>2</v>
      </c>
      <c r="BC61">
        <v>0</v>
      </c>
      <c r="BD61" t="s">
        <v>200</v>
      </c>
      <c r="BE61">
        <v>7000</v>
      </c>
      <c r="BF61">
        <v>500</v>
      </c>
      <c r="BG61">
        <v>5</v>
      </c>
      <c r="BH61">
        <v>2</v>
      </c>
      <c r="BI61">
        <v>300</v>
      </c>
      <c r="BJ61">
        <v>300</v>
      </c>
      <c r="BK61">
        <v>300</v>
      </c>
      <c r="BL61">
        <v>269.89709499999998</v>
      </c>
      <c r="BM61">
        <v>25</v>
      </c>
      <c r="BN61">
        <v>-9.5740689999999997</v>
      </c>
      <c r="BO61">
        <v>270.13635299999999</v>
      </c>
      <c r="BP61">
        <v>270.02398699999998</v>
      </c>
      <c r="BQ61">
        <v>0.11236599999999999</v>
      </c>
      <c r="BR61">
        <v>2.4267430000000001</v>
      </c>
      <c r="BS61">
        <v>2.5024419999999998</v>
      </c>
      <c r="BT61">
        <v>1.5875809999999999</v>
      </c>
      <c r="BU61">
        <v>0.971576</v>
      </c>
      <c r="BV61">
        <v>0.216699</v>
      </c>
      <c r="BW61">
        <v>2.0073000000000001E-2</v>
      </c>
      <c r="BX61">
        <v>0.19040299999999999</v>
      </c>
      <c r="BY61">
        <v>1.7997350000000001</v>
      </c>
      <c r="BZ61">
        <v>173.62081900000001</v>
      </c>
      <c r="CA61">
        <v>3.4699999999999998E-4</v>
      </c>
      <c r="CB61">
        <v>2.3486280000000002</v>
      </c>
      <c r="CC61">
        <v>-5.1E-5</v>
      </c>
      <c r="CD61">
        <v>1</v>
      </c>
      <c r="CE61">
        <v>2.4109430000000001</v>
      </c>
      <c r="CF61">
        <v>-5.7000000000000003E-5</v>
      </c>
      <c r="CG61">
        <v>1</v>
      </c>
      <c r="CH61">
        <v>0.60051900000000002</v>
      </c>
      <c r="CI61">
        <v>0.60216099999999995</v>
      </c>
      <c r="CJ61">
        <v>0.107265</v>
      </c>
      <c r="CK61">
        <v>0</v>
      </c>
      <c r="CL61" t="s">
        <v>322</v>
      </c>
      <c r="CM61" t="s">
        <v>201</v>
      </c>
      <c r="CN61" t="s">
        <v>202</v>
      </c>
      <c r="CO61" t="s">
        <v>203</v>
      </c>
      <c r="CP61" t="s">
        <v>204</v>
      </c>
      <c r="CQ61" t="s">
        <v>205</v>
      </c>
      <c r="CR61" t="s">
        <v>206</v>
      </c>
    </row>
    <row r="62" spans="1:96">
      <c r="A62">
        <v>2</v>
      </c>
      <c r="B62" s="3">
        <v>0.50129629629629624</v>
      </c>
      <c r="C62" s="1">
        <v>45133</v>
      </c>
      <c r="D62" t="s">
        <v>196</v>
      </c>
      <c r="E62" t="s">
        <v>197</v>
      </c>
      <c r="G62">
        <v>2</v>
      </c>
      <c r="J62">
        <v>0.32139499999999999</v>
      </c>
      <c r="K62">
        <v>2.9193980000000002</v>
      </c>
      <c r="L62">
        <v>0.289522</v>
      </c>
      <c r="M62">
        <v>7.6749970000000003</v>
      </c>
      <c r="N62">
        <v>2.5873029999999999</v>
      </c>
      <c r="O62">
        <v>2.3863840000000001</v>
      </c>
      <c r="P62">
        <v>5.012194</v>
      </c>
      <c r="Q62">
        <v>2.4248910000000001</v>
      </c>
      <c r="R62">
        <v>25.047782999999999</v>
      </c>
      <c r="S62">
        <v>27.156659999999999</v>
      </c>
      <c r="T62">
        <v>52.608615999999998</v>
      </c>
      <c r="U62">
        <v>0.44178600000000001</v>
      </c>
      <c r="V62" t="s">
        <v>323</v>
      </c>
      <c r="W62">
        <v>0</v>
      </c>
      <c r="X62">
        <v>0</v>
      </c>
      <c r="Y62">
        <v>0</v>
      </c>
      <c r="Z62">
        <v>240.702866</v>
      </c>
      <c r="AA62">
        <v>348.88363600000002</v>
      </c>
      <c r="AB62">
        <v>0.31007699999999999</v>
      </c>
      <c r="AC62">
        <v>0.5</v>
      </c>
      <c r="AD62">
        <v>0.8</v>
      </c>
      <c r="AE62">
        <v>235.68640099999999</v>
      </c>
      <c r="AF62">
        <v>57.63</v>
      </c>
      <c r="AG62">
        <v>53.16</v>
      </c>
      <c r="AH62">
        <v>30.91</v>
      </c>
      <c r="AI62">
        <v>32.86</v>
      </c>
      <c r="AJ62">
        <v>95.27</v>
      </c>
      <c r="AK62">
        <v>156.4</v>
      </c>
      <c r="AL62">
        <v>147.69999999999999</v>
      </c>
      <c r="AM62">
        <v>5.6</v>
      </c>
      <c r="AN62">
        <v>1900</v>
      </c>
      <c r="AO62">
        <v>4.0339999999999998</v>
      </c>
      <c r="AP62" s="3">
        <v>0.50089120370370377</v>
      </c>
      <c r="AQ62" s="1">
        <v>45133</v>
      </c>
      <c r="AR62">
        <v>-0.5</v>
      </c>
      <c r="AS62">
        <v>-5.0000000000000001E-3</v>
      </c>
      <c r="AT62">
        <v>-4.0000000000000001E-3</v>
      </c>
      <c r="AU62">
        <v>-0.01</v>
      </c>
      <c r="AV62">
        <v>1.218</v>
      </c>
      <c r="AW62">
        <v>2.9889999999999999</v>
      </c>
      <c r="AX62">
        <v>25.048999999999999</v>
      </c>
      <c r="AY62">
        <v>1</v>
      </c>
      <c r="AZ62">
        <v>150</v>
      </c>
      <c r="BA62">
        <v>5.0000000000000001E-3</v>
      </c>
      <c r="BB62">
        <v>2</v>
      </c>
      <c r="BC62">
        <v>0</v>
      </c>
      <c r="BD62" t="s">
        <v>200</v>
      </c>
      <c r="BE62">
        <v>7000</v>
      </c>
      <c r="BF62">
        <v>500</v>
      </c>
      <c r="BG62">
        <v>5</v>
      </c>
      <c r="BH62">
        <v>2</v>
      </c>
      <c r="BI62">
        <v>300</v>
      </c>
      <c r="BJ62">
        <v>300</v>
      </c>
      <c r="BK62">
        <v>300</v>
      </c>
      <c r="BL62">
        <v>332.95083599999998</v>
      </c>
      <c r="BM62">
        <v>25</v>
      </c>
      <c r="BN62">
        <v>-11.795166</v>
      </c>
      <c r="BO62">
        <v>330.41418499999997</v>
      </c>
      <c r="BP62">
        <v>331.96572900000001</v>
      </c>
      <c r="BQ62">
        <v>-1.551544</v>
      </c>
      <c r="BR62">
        <v>2.4247399999999999</v>
      </c>
      <c r="BS62">
        <v>2.4993259999999999</v>
      </c>
      <c r="BT62">
        <v>1.5885050000000001</v>
      </c>
      <c r="BU62">
        <v>0.97132700000000005</v>
      </c>
      <c r="BV62">
        <v>0.21574699999999999</v>
      </c>
      <c r="BW62">
        <v>2.4594000000000001E-2</v>
      </c>
      <c r="BX62">
        <v>0.19409899999999999</v>
      </c>
      <c r="BY62">
        <v>1.7925359999999999</v>
      </c>
      <c r="BZ62">
        <v>240.702866</v>
      </c>
      <c r="CA62">
        <v>3.3700000000000001E-4</v>
      </c>
      <c r="CB62">
        <v>2.3486280000000002</v>
      </c>
      <c r="CC62">
        <v>-5.1E-5</v>
      </c>
      <c r="CD62">
        <v>1</v>
      </c>
      <c r="CE62">
        <v>2.4109430000000001</v>
      </c>
      <c r="CF62">
        <v>-5.7000000000000003E-5</v>
      </c>
      <c r="CG62">
        <v>1</v>
      </c>
      <c r="CH62">
        <v>0.60051900000000002</v>
      </c>
      <c r="CI62">
        <v>0.60216099999999995</v>
      </c>
      <c r="CJ62">
        <v>0.107265</v>
      </c>
      <c r="CK62">
        <v>0</v>
      </c>
      <c r="CL62" t="s">
        <v>323</v>
      </c>
      <c r="CM62" t="s">
        <v>201</v>
      </c>
      <c r="CN62" t="s">
        <v>202</v>
      </c>
      <c r="CO62" t="s">
        <v>203</v>
      </c>
      <c r="CP62" t="s">
        <v>204</v>
      </c>
      <c r="CQ62" t="s">
        <v>205</v>
      </c>
      <c r="CR62" t="s">
        <v>206</v>
      </c>
    </row>
    <row r="63" spans="1:96">
      <c r="A63">
        <v>3</v>
      </c>
      <c r="B63" s="3">
        <v>0.50148148148148153</v>
      </c>
      <c r="C63" s="1">
        <v>45133</v>
      </c>
      <c r="D63" t="s">
        <v>196</v>
      </c>
      <c r="E63" t="s">
        <v>197</v>
      </c>
      <c r="G63">
        <v>3</v>
      </c>
      <c r="J63">
        <v>0.348883</v>
      </c>
      <c r="K63">
        <v>2.9185880000000002</v>
      </c>
      <c r="L63">
        <v>0.31163099999999999</v>
      </c>
      <c r="M63">
        <v>8.5488359999999997</v>
      </c>
      <c r="N63">
        <v>2.601766</v>
      </c>
      <c r="O63">
        <v>2.3778459999999999</v>
      </c>
      <c r="P63">
        <v>5.1097580000000002</v>
      </c>
      <c r="Q63">
        <v>2.5079929999999999</v>
      </c>
      <c r="R63">
        <v>24.956474</v>
      </c>
      <c r="S63">
        <v>27.306597</v>
      </c>
      <c r="T63">
        <v>53.629004999999999</v>
      </c>
      <c r="U63">
        <v>0.44178600000000001</v>
      </c>
      <c r="V63" t="s">
        <v>324</v>
      </c>
      <c r="W63">
        <v>0</v>
      </c>
      <c r="X63">
        <v>0</v>
      </c>
      <c r="Y63">
        <v>0</v>
      </c>
      <c r="Z63">
        <v>138.77713</v>
      </c>
      <c r="AA63">
        <v>241.12354999999999</v>
      </c>
      <c r="AB63">
        <v>0.424456</v>
      </c>
      <c r="AC63">
        <v>0.5</v>
      </c>
      <c r="AD63">
        <v>0.8</v>
      </c>
      <c r="AE63">
        <v>334.78738399999997</v>
      </c>
      <c r="AF63">
        <v>57.75</v>
      </c>
      <c r="AG63">
        <v>52.78</v>
      </c>
      <c r="AH63">
        <v>30.98</v>
      </c>
      <c r="AI63">
        <v>33.200000000000003</v>
      </c>
      <c r="AJ63">
        <v>95.28</v>
      </c>
      <c r="AK63">
        <v>156.30000000000001</v>
      </c>
      <c r="AL63">
        <v>147.9</v>
      </c>
      <c r="AM63">
        <v>5.4</v>
      </c>
      <c r="AN63">
        <v>1972</v>
      </c>
      <c r="AO63">
        <v>4.0339999999999998</v>
      </c>
      <c r="AP63" s="3">
        <v>0.50089120370370377</v>
      </c>
      <c r="AQ63" s="1">
        <v>45133</v>
      </c>
      <c r="AR63">
        <v>-0.5</v>
      </c>
      <c r="AS63">
        <v>-2E-3</v>
      </c>
      <c r="AT63">
        <v>-1E-3</v>
      </c>
      <c r="AU63">
        <v>0.02</v>
      </c>
      <c r="AV63">
        <v>-0.69199999999999995</v>
      </c>
      <c r="AW63">
        <v>-0.54600000000000004</v>
      </c>
      <c r="AX63">
        <v>0.79600000000000004</v>
      </c>
      <c r="AY63">
        <v>1</v>
      </c>
      <c r="AZ63">
        <v>150</v>
      </c>
      <c r="BA63">
        <v>5.0000000000000001E-3</v>
      </c>
      <c r="BB63">
        <v>2</v>
      </c>
      <c r="BC63">
        <v>0</v>
      </c>
      <c r="BD63" t="s">
        <v>200</v>
      </c>
      <c r="BE63">
        <v>7000</v>
      </c>
      <c r="BF63">
        <v>500</v>
      </c>
      <c r="BG63">
        <v>5</v>
      </c>
      <c r="BH63">
        <v>2</v>
      </c>
      <c r="BI63">
        <v>300</v>
      </c>
      <c r="BJ63">
        <v>300</v>
      </c>
      <c r="BK63">
        <v>300</v>
      </c>
      <c r="BL63">
        <v>224.27415500000001</v>
      </c>
      <c r="BM63">
        <v>25</v>
      </c>
      <c r="BN63">
        <v>-11.677505</v>
      </c>
      <c r="BO63">
        <v>223.88327000000001</v>
      </c>
      <c r="BP63">
        <v>224.37441999999999</v>
      </c>
      <c r="BQ63">
        <v>-0.49114999999999998</v>
      </c>
      <c r="BR63">
        <v>2.424258</v>
      </c>
      <c r="BS63">
        <v>2.4994700000000001</v>
      </c>
      <c r="BT63">
        <v>1.5877220000000001</v>
      </c>
      <c r="BU63">
        <v>0.97198899999999999</v>
      </c>
      <c r="BV63">
        <v>0.215227</v>
      </c>
      <c r="BW63">
        <v>2.8254000000000001E-2</v>
      </c>
      <c r="BX63">
        <v>0.196328</v>
      </c>
      <c r="BY63">
        <v>1.8560680000000001</v>
      </c>
      <c r="BZ63">
        <v>138.77713</v>
      </c>
      <c r="CA63">
        <v>3.3500000000000001E-4</v>
      </c>
      <c r="CB63">
        <v>2.3486280000000002</v>
      </c>
      <c r="CC63">
        <v>-5.1E-5</v>
      </c>
      <c r="CD63">
        <v>1</v>
      </c>
      <c r="CE63">
        <v>2.4109430000000001</v>
      </c>
      <c r="CF63">
        <v>-5.7000000000000003E-5</v>
      </c>
      <c r="CG63">
        <v>1</v>
      </c>
      <c r="CH63">
        <v>0.60051900000000002</v>
      </c>
      <c r="CI63">
        <v>0.60216099999999995</v>
      </c>
      <c r="CJ63">
        <v>0.107265</v>
      </c>
      <c r="CK63">
        <v>0</v>
      </c>
      <c r="CL63" t="s">
        <v>324</v>
      </c>
      <c r="CM63" t="s">
        <v>201</v>
      </c>
      <c r="CN63" t="s">
        <v>202</v>
      </c>
      <c r="CO63" t="s">
        <v>203</v>
      </c>
      <c r="CP63" t="s">
        <v>204</v>
      </c>
      <c r="CQ63" t="s">
        <v>205</v>
      </c>
      <c r="CR63" t="s">
        <v>206</v>
      </c>
    </row>
    <row r="64" spans="1:96">
      <c r="A64">
        <v>4</v>
      </c>
      <c r="B64" s="3">
        <v>0.50170138888888893</v>
      </c>
      <c r="C64" s="1">
        <v>45133</v>
      </c>
      <c r="D64" t="s">
        <v>196</v>
      </c>
      <c r="E64" t="s">
        <v>197</v>
      </c>
      <c r="G64">
        <v>4</v>
      </c>
      <c r="J64">
        <v>0.22856199999999999</v>
      </c>
      <c r="K64">
        <v>2.9190870000000002</v>
      </c>
      <c r="L64">
        <v>0.21196599999999999</v>
      </c>
      <c r="M64">
        <v>6.11022</v>
      </c>
      <c r="N64">
        <v>2.5923910000000001</v>
      </c>
      <c r="O64">
        <v>2.4324059999999998</v>
      </c>
      <c r="P64">
        <v>5.226064</v>
      </c>
      <c r="Q64">
        <v>2.6336729999999999</v>
      </c>
      <c r="R64">
        <v>25.531106999999999</v>
      </c>
      <c r="S64">
        <v>27.210348</v>
      </c>
      <c r="T64">
        <v>54.853996000000002</v>
      </c>
      <c r="U64">
        <v>0.44178600000000001</v>
      </c>
      <c r="V64" t="s">
        <v>325</v>
      </c>
      <c r="W64">
        <v>0</v>
      </c>
      <c r="X64">
        <v>0</v>
      </c>
      <c r="Y64">
        <v>0</v>
      </c>
      <c r="Z64">
        <v>185.27769499999999</v>
      </c>
      <c r="AA64">
        <v>278.86080900000002</v>
      </c>
      <c r="AB64">
        <v>0.33559099999999997</v>
      </c>
      <c r="AC64">
        <v>0.5</v>
      </c>
      <c r="AD64">
        <v>0.8</v>
      </c>
      <c r="AE64">
        <v>225.324905</v>
      </c>
      <c r="AF64">
        <v>57.28</v>
      </c>
      <c r="AG64">
        <v>53.75</v>
      </c>
      <c r="AH64">
        <v>31.06</v>
      </c>
      <c r="AI64">
        <v>33.6</v>
      </c>
      <c r="AJ64">
        <v>95.27</v>
      </c>
      <c r="AK64">
        <v>156.4</v>
      </c>
      <c r="AL64">
        <v>147.5</v>
      </c>
      <c r="AM64">
        <v>5.7</v>
      </c>
      <c r="AN64">
        <v>1679</v>
      </c>
      <c r="AO64">
        <v>4.0330000000000004</v>
      </c>
      <c r="AP64" s="3">
        <v>0.50089120370370377</v>
      </c>
      <c r="AQ64" s="1">
        <v>45133</v>
      </c>
      <c r="AR64">
        <v>-0.5</v>
      </c>
      <c r="AS64">
        <v>-3.0000000000000001E-3</v>
      </c>
      <c r="AT64">
        <v>-4.0000000000000001E-3</v>
      </c>
      <c r="AU64">
        <v>1.7999999999999999E-2</v>
      </c>
      <c r="AV64">
        <v>-0.67400000000000004</v>
      </c>
      <c r="AW64">
        <v>-0.67800000000000005</v>
      </c>
      <c r="AX64">
        <v>-1.7430000000000001</v>
      </c>
      <c r="AY64">
        <v>1</v>
      </c>
      <c r="AZ64">
        <v>150</v>
      </c>
      <c r="BA64">
        <v>5.0000000000000001E-3</v>
      </c>
      <c r="BB64">
        <v>2</v>
      </c>
      <c r="BC64">
        <v>0</v>
      </c>
      <c r="BD64" t="s">
        <v>200</v>
      </c>
      <c r="BE64">
        <v>7000</v>
      </c>
      <c r="BF64">
        <v>500</v>
      </c>
      <c r="BG64">
        <v>5</v>
      </c>
      <c r="BH64">
        <v>2</v>
      </c>
      <c r="BI64">
        <v>300</v>
      </c>
      <c r="BJ64">
        <v>300</v>
      </c>
      <c r="BK64">
        <v>300</v>
      </c>
      <c r="BL64">
        <v>267.91332999999997</v>
      </c>
      <c r="BM64">
        <v>25</v>
      </c>
      <c r="BN64">
        <v>-7.5611430000000004</v>
      </c>
      <c r="BO64">
        <v>267.815338</v>
      </c>
      <c r="BP64">
        <v>268.01580799999999</v>
      </c>
      <c r="BQ64">
        <v>-0.20047000000000001</v>
      </c>
      <c r="BR64">
        <v>2.4254410000000002</v>
      </c>
      <c r="BS64">
        <v>2.4988229999999998</v>
      </c>
      <c r="BT64">
        <v>1.5882039999999999</v>
      </c>
      <c r="BU64">
        <v>0.97080599999999995</v>
      </c>
      <c r="BV64">
        <v>0.21454699999999999</v>
      </c>
      <c r="BW64">
        <v>3.2447999999999998E-2</v>
      </c>
      <c r="BX64">
        <v>0.19895699999999999</v>
      </c>
      <c r="BY64">
        <v>1.5959540000000001</v>
      </c>
      <c r="BZ64">
        <v>185.27769499999999</v>
      </c>
      <c r="CA64">
        <v>3.39E-4</v>
      </c>
      <c r="CB64">
        <v>2.3486280000000002</v>
      </c>
      <c r="CC64">
        <v>-5.1E-5</v>
      </c>
      <c r="CD64">
        <v>1</v>
      </c>
      <c r="CE64">
        <v>2.4109430000000001</v>
      </c>
      <c r="CF64">
        <v>-5.7000000000000003E-5</v>
      </c>
      <c r="CG64">
        <v>1</v>
      </c>
      <c r="CH64">
        <v>0.60051900000000002</v>
      </c>
      <c r="CI64">
        <v>0.60216099999999995</v>
      </c>
      <c r="CJ64">
        <v>0.107265</v>
      </c>
      <c r="CK64">
        <v>0</v>
      </c>
      <c r="CL64" t="s">
        <v>325</v>
      </c>
      <c r="CM64" t="s">
        <v>201</v>
      </c>
      <c r="CN64" t="s">
        <v>202</v>
      </c>
      <c r="CO64" t="s">
        <v>203</v>
      </c>
      <c r="CP64" t="s">
        <v>204</v>
      </c>
      <c r="CQ64" t="s">
        <v>205</v>
      </c>
      <c r="CR64" t="s">
        <v>206</v>
      </c>
    </row>
    <row r="65" spans="1:96">
      <c r="A65">
        <v>1</v>
      </c>
      <c r="B65" s="3">
        <v>0.51170138888888894</v>
      </c>
      <c r="C65" s="1">
        <v>45133</v>
      </c>
      <c r="D65" t="s">
        <v>196</v>
      </c>
      <c r="E65" t="s">
        <v>197</v>
      </c>
      <c r="G65">
        <v>1</v>
      </c>
      <c r="J65">
        <v>2.9357000000000001E-2</v>
      </c>
      <c r="K65">
        <v>2.9169619999999998</v>
      </c>
      <c r="L65">
        <v>2.9064E-2</v>
      </c>
      <c r="M65">
        <v>1.101126</v>
      </c>
      <c r="N65">
        <v>2.3389579999999999</v>
      </c>
      <c r="O65">
        <v>2.3100399999999999</v>
      </c>
      <c r="P65">
        <v>5.7896770000000002</v>
      </c>
      <c r="Q65">
        <v>3.4507189999999999</v>
      </c>
      <c r="R65">
        <v>24.278955</v>
      </c>
      <c r="S65">
        <v>24.582899000000001</v>
      </c>
      <c r="T65">
        <v>60.850613000000003</v>
      </c>
      <c r="U65">
        <v>0.44178600000000001</v>
      </c>
      <c r="V65" t="s">
        <v>326</v>
      </c>
      <c r="W65">
        <v>0</v>
      </c>
      <c r="X65">
        <v>0</v>
      </c>
      <c r="Y65">
        <v>0</v>
      </c>
      <c r="Z65">
        <v>77.713965999999999</v>
      </c>
      <c r="AA65">
        <v>108.997124</v>
      </c>
      <c r="AB65">
        <v>0.28700900000000001</v>
      </c>
      <c r="AC65">
        <v>0.5</v>
      </c>
      <c r="AD65">
        <v>0.8</v>
      </c>
      <c r="AE65">
        <v>201.127869</v>
      </c>
      <c r="AF65">
        <v>49.58</v>
      </c>
      <c r="AG65">
        <v>48.97</v>
      </c>
      <c r="AH65">
        <v>31.79</v>
      </c>
      <c r="AI65">
        <v>35.450000000000003</v>
      </c>
      <c r="AJ65">
        <v>95.15</v>
      </c>
      <c r="AK65">
        <v>156.1</v>
      </c>
      <c r="AL65">
        <v>147</v>
      </c>
      <c r="AM65">
        <v>5.8</v>
      </c>
      <c r="AN65">
        <v>1752</v>
      </c>
      <c r="AO65">
        <v>4.0309999999999997</v>
      </c>
      <c r="AP65" s="3">
        <v>0.51158564814814811</v>
      </c>
      <c r="AQ65" s="1">
        <v>45133</v>
      </c>
      <c r="AR65">
        <v>-0.21</v>
      </c>
      <c r="AS65">
        <v>-1E-3</v>
      </c>
      <c r="AT65">
        <v>2E-3</v>
      </c>
      <c r="AU65">
        <v>-9999</v>
      </c>
      <c r="AV65">
        <v>0.94199999999999995</v>
      </c>
      <c r="AW65">
        <v>0.44700000000000001</v>
      </c>
      <c r="AX65">
        <v>-9999</v>
      </c>
      <c r="AY65">
        <v>1</v>
      </c>
      <c r="AZ65">
        <v>150</v>
      </c>
      <c r="BA65">
        <v>5.0000000000000001E-3</v>
      </c>
      <c r="BB65">
        <v>2</v>
      </c>
      <c r="BC65">
        <v>0</v>
      </c>
      <c r="BD65" t="s">
        <v>200</v>
      </c>
      <c r="BE65">
        <v>7000</v>
      </c>
      <c r="BF65">
        <v>500</v>
      </c>
      <c r="BG65">
        <v>5</v>
      </c>
      <c r="BH65">
        <v>2</v>
      </c>
      <c r="BI65">
        <v>300</v>
      </c>
      <c r="BJ65">
        <v>300</v>
      </c>
      <c r="BK65">
        <v>300</v>
      </c>
      <c r="BL65">
        <v>103.89340199999999</v>
      </c>
      <c r="BM65">
        <v>25</v>
      </c>
      <c r="BN65">
        <v>-3.4837009999999999</v>
      </c>
      <c r="BO65">
        <v>103.77430699999999</v>
      </c>
      <c r="BP65">
        <v>104.000427</v>
      </c>
      <c r="BQ65">
        <v>-0.22611999999999999</v>
      </c>
      <c r="BR65">
        <v>2.4192990000000001</v>
      </c>
      <c r="BS65">
        <v>2.487959</v>
      </c>
      <c r="BT65">
        <v>1.5861540000000001</v>
      </c>
      <c r="BU65">
        <v>0.969414</v>
      </c>
      <c r="BV65">
        <v>0.20848700000000001</v>
      </c>
      <c r="BW65">
        <v>4.7345999999999999E-2</v>
      </c>
      <c r="BX65">
        <v>0.17808199999999999</v>
      </c>
      <c r="BY65">
        <v>1.661016</v>
      </c>
      <c r="BZ65">
        <v>77.713965999999999</v>
      </c>
      <c r="CA65">
        <v>3.3500000000000001E-4</v>
      </c>
      <c r="CB65">
        <v>2.3486280000000002</v>
      </c>
      <c r="CC65">
        <v>-5.1E-5</v>
      </c>
      <c r="CD65">
        <v>1</v>
      </c>
      <c r="CE65">
        <v>2.4109430000000001</v>
      </c>
      <c r="CF65">
        <v>-5.7000000000000003E-5</v>
      </c>
      <c r="CG65">
        <v>1</v>
      </c>
      <c r="CH65">
        <v>0.60051900000000002</v>
      </c>
      <c r="CI65">
        <v>0.60216099999999995</v>
      </c>
      <c r="CJ65">
        <v>0.107265</v>
      </c>
      <c r="CK65">
        <v>0</v>
      </c>
      <c r="CL65" t="s">
        <v>326</v>
      </c>
      <c r="CM65" t="s">
        <v>201</v>
      </c>
      <c r="CN65" t="s">
        <v>202</v>
      </c>
      <c r="CO65" t="s">
        <v>203</v>
      </c>
      <c r="CP65" t="s">
        <v>204</v>
      </c>
      <c r="CQ65" t="s">
        <v>205</v>
      </c>
      <c r="CR65" t="s">
        <v>206</v>
      </c>
    </row>
    <row r="66" spans="1:96">
      <c r="A66">
        <v>2</v>
      </c>
      <c r="B66" s="3">
        <v>0.51181712962962966</v>
      </c>
      <c r="C66" s="1">
        <v>45133</v>
      </c>
      <c r="D66" t="s">
        <v>196</v>
      </c>
      <c r="E66" t="s">
        <v>197</v>
      </c>
      <c r="G66">
        <v>2</v>
      </c>
      <c r="J66">
        <v>4.3157000000000001E-2</v>
      </c>
      <c r="K66">
        <v>2.91859</v>
      </c>
      <c r="L66">
        <v>4.2528000000000003E-2</v>
      </c>
      <c r="M66">
        <v>1.6726620000000001</v>
      </c>
      <c r="N66">
        <v>2.3388909999999998</v>
      </c>
      <c r="O66">
        <v>2.2950200000000001</v>
      </c>
      <c r="P66">
        <v>5.9184840000000003</v>
      </c>
      <c r="Q66">
        <v>3.5795940000000002</v>
      </c>
      <c r="R66">
        <v>24.122368000000002</v>
      </c>
      <c r="S66">
        <v>24.583479000000001</v>
      </c>
      <c r="T66">
        <v>62.207667999999998</v>
      </c>
      <c r="U66">
        <v>0.44178600000000001</v>
      </c>
      <c r="V66" t="s">
        <v>327</v>
      </c>
      <c r="W66">
        <v>0</v>
      </c>
      <c r="X66">
        <v>0</v>
      </c>
      <c r="Y66">
        <v>0</v>
      </c>
      <c r="Z66">
        <v>75.671195999999995</v>
      </c>
      <c r="AA66">
        <v>101.50058</v>
      </c>
      <c r="AB66">
        <v>0.25447500000000001</v>
      </c>
      <c r="AC66">
        <v>0.5</v>
      </c>
      <c r="AD66">
        <v>0.8</v>
      </c>
      <c r="AE66">
        <v>181.063095</v>
      </c>
      <c r="AF66">
        <v>49.39</v>
      </c>
      <c r="AG66">
        <v>48.47</v>
      </c>
      <c r="AH66">
        <v>31.85</v>
      </c>
      <c r="AI66">
        <v>35.85</v>
      </c>
      <c r="AJ66">
        <v>95.14</v>
      </c>
      <c r="AK66">
        <v>156.30000000000001</v>
      </c>
      <c r="AL66">
        <v>147.30000000000001</v>
      </c>
      <c r="AM66">
        <v>5.7</v>
      </c>
      <c r="AN66">
        <v>1779</v>
      </c>
      <c r="AO66">
        <v>4.0309999999999997</v>
      </c>
      <c r="AP66" s="3">
        <v>0.51158564814814811</v>
      </c>
      <c r="AQ66" s="1">
        <v>45133</v>
      </c>
      <c r="AR66">
        <v>-0.21</v>
      </c>
      <c r="AS66">
        <v>1E-3</v>
      </c>
      <c r="AT66">
        <v>3.0000000000000001E-3</v>
      </c>
      <c r="AU66">
        <v>-9999</v>
      </c>
      <c r="AV66">
        <v>-0.76200000000000001</v>
      </c>
      <c r="AW66">
        <v>-1.165</v>
      </c>
      <c r="AX66">
        <v>-9999</v>
      </c>
      <c r="AY66">
        <v>1</v>
      </c>
      <c r="AZ66">
        <v>150</v>
      </c>
      <c r="BA66">
        <v>5.0000000000000001E-3</v>
      </c>
      <c r="BB66">
        <v>2</v>
      </c>
      <c r="BC66">
        <v>0</v>
      </c>
      <c r="BD66" t="s">
        <v>200</v>
      </c>
      <c r="BE66">
        <v>7000</v>
      </c>
      <c r="BF66">
        <v>500</v>
      </c>
      <c r="BG66">
        <v>5</v>
      </c>
      <c r="BH66">
        <v>2</v>
      </c>
      <c r="BI66">
        <v>300</v>
      </c>
      <c r="BJ66">
        <v>300</v>
      </c>
      <c r="BK66">
        <v>300</v>
      </c>
      <c r="BL66">
        <v>97.795845</v>
      </c>
      <c r="BM66">
        <v>25</v>
      </c>
      <c r="BN66">
        <v>-2.5215879999999999</v>
      </c>
      <c r="BO66">
        <v>97.884895</v>
      </c>
      <c r="BP66">
        <v>97.883849999999995</v>
      </c>
      <c r="BQ66">
        <v>1.0449999999999999E-3</v>
      </c>
      <c r="BR66">
        <v>2.4186550000000002</v>
      </c>
      <c r="BS66">
        <v>2.4876909999999999</v>
      </c>
      <c r="BT66">
        <v>1.5877239999999999</v>
      </c>
      <c r="BU66">
        <v>0.970333</v>
      </c>
      <c r="BV66">
        <v>0.20794499999999999</v>
      </c>
      <c r="BW66">
        <v>5.1806999999999999E-2</v>
      </c>
      <c r="BX66">
        <v>0.17943000000000001</v>
      </c>
      <c r="BY66">
        <v>1.6848369999999999</v>
      </c>
      <c r="BZ66">
        <v>75.671195999999995</v>
      </c>
      <c r="CA66">
        <v>3.5100000000000002E-4</v>
      </c>
      <c r="CB66">
        <v>2.3486280000000002</v>
      </c>
      <c r="CC66">
        <v>-5.1E-5</v>
      </c>
      <c r="CD66">
        <v>1</v>
      </c>
      <c r="CE66">
        <v>2.4109430000000001</v>
      </c>
      <c r="CF66">
        <v>-5.7000000000000003E-5</v>
      </c>
      <c r="CG66">
        <v>1</v>
      </c>
      <c r="CH66">
        <v>0.60051900000000002</v>
      </c>
      <c r="CI66">
        <v>0.60216099999999995</v>
      </c>
      <c r="CJ66">
        <v>0.107265</v>
      </c>
      <c r="CK66">
        <v>0</v>
      </c>
      <c r="CL66" t="s">
        <v>327</v>
      </c>
      <c r="CM66" t="s">
        <v>201</v>
      </c>
      <c r="CN66" t="s">
        <v>202</v>
      </c>
      <c r="CO66" t="s">
        <v>203</v>
      </c>
      <c r="CP66" t="s">
        <v>204</v>
      </c>
      <c r="CQ66" t="s">
        <v>205</v>
      </c>
      <c r="CR66" t="s">
        <v>206</v>
      </c>
    </row>
    <row r="67" spans="1:96">
      <c r="A67">
        <v>3</v>
      </c>
      <c r="B67" s="3">
        <v>0.51201388888888888</v>
      </c>
      <c r="C67" s="1">
        <v>45133</v>
      </c>
      <c r="D67" t="s">
        <v>196</v>
      </c>
      <c r="E67" t="s">
        <v>197</v>
      </c>
      <c r="G67">
        <v>3</v>
      </c>
      <c r="J67">
        <v>1.8423999999999999E-2</v>
      </c>
      <c r="K67">
        <v>2.9193169999999999</v>
      </c>
      <c r="L67">
        <v>1.8308999999999999E-2</v>
      </c>
      <c r="M67">
        <v>0.67095099999999996</v>
      </c>
      <c r="N67">
        <v>2.4000020000000002</v>
      </c>
      <c r="O67">
        <v>2.382425</v>
      </c>
      <c r="P67">
        <v>5.7378819999999999</v>
      </c>
      <c r="Q67">
        <v>3.337879</v>
      </c>
      <c r="R67">
        <v>25.038357000000001</v>
      </c>
      <c r="S67">
        <v>25.223092999999999</v>
      </c>
      <c r="T67">
        <v>60.302902000000003</v>
      </c>
      <c r="U67">
        <v>0.44178600000000001</v>
      </c>
      <c r="V67" t="s">
        <v>328</v>
      </c>
      <c r="W67">
        <v>0</v>
      </c>
      <c r="X67">
        <v>0</v>
      </c>
      <c r="Y67">
        <v>0</v>
      </c>
      <c r="Z67">
        <v>107.99503300000001</v>
      </c>
      <c r="AA67">
        <v>185.01715100000001</v>
      </c>
      <c r="AB67">
        <v>0.41629699999999997</v>
      </c>
      <c r="AC67">
        <v>0.5</v>
      </c>
      <c r="AD67">
        <v>0.8</v>
      </c>
      <c r="AE67">
        <v>234.61677599999999</v>
      </c>
      <c r="AF67">
        <v>50.39</v>
      </c>
      <c r="AG67">
        <v>50.02</v>
      </c>
      <c r="AH67">
        <v>31.96</v>
      </c>
      <c r="AI67">
        <v>35.28</v>
      </c>
      <c r="AJ67">
        <v>95.15</v>
      </c>
      <c r="AK67">
        <v>156.4</v>
      </c>
      <c r="AL67">
        <v>147.1</v>
      </c>
      <c r="AM67">
        <v>5.9</v>
      </c>
      <c r="AN67">
        <v>1409</v>
      </c>
      <c r="AO67">
        <v>4.03</v>
      </c>
      <c r="AP67" s="3">
        <v>0.51158564814814811</v>
      </c>
      <c r="AQ67" s="1">
        <v>45133</v>
      </c>
      <c r="AR67">
        <v>-0.21</v>
      </c>
      <c r="AS67">
        <v>-3.0000000000000001E-3</v>
      </c>
      <c r="AT67">
        <v>0</v>
      </c>
      <c r="AU67">
        <v>-9999</v>
      </c>
      <c r="AV67">
        <v>-0.55800000000000005</v>
      </c>
      <c r="AW67">
        <v>-0.99399999999999999</v>
      </c>
      <c r="AX67">
        <v>-9999</v>
      </c>
      <c r="AY67">
        <v>1</v>
      </c>
      <c r="AZ67">
        <v>150</v>
      </c>
      <c r="BA67">
        <v>5.0000000000000001E-3</v>
      </c>
      <c r="BB67">
        <v>2</v>
      </c>
      <c r="BC67">
        <v>0</v>
      </c>
      <c r="BD67" t="s">
        <v>200</v>
      </c>
      <c r="BE67">
        <v>7000</v>
      </c>
      <c r="BF67">
        <v>500</v>
      </c>
      <c r="BG67">
        <v>5</v>
      </c>
      <c r="BH67">
        <v>2</v>
      </c>
      <c r="BI67">
        <v>300</v>
      </c>
      <c r="BJ67">
        <v>300</v>
      </c>
      <c r="BK67">
        <v>300</v>
      </c>
      <c r="BL67">
        <v>174.29423499999999</v>
      </c>
      <c r="BM67">
        <v>25</v>
      </c>
      <c r="BN67">
        <v>-7.366549</v>
      </c>
      <c r="BO67">
        <v>173.955917</v>
      </c>
      <c r="BP67">
        <v>174.45124799999999</v>
      </c>
      <c r="BQ67">
        <v>-0.49533100000000002</v>
      </c>
      <c r="BR67">
        <v>2.4205779999999999</v>
      </c>
      <c r="BS67">
        <v>2.4890029999999999</v>
      </c>
      <c r="BT67">
        <v>1.588427</v>
      </c>
      <c r="BU67">
        <v>0.96966399999999997</v>
      </c>
      <c r="BV67">
        <v>0.20710000000000001</v>
      </c>
      <c r="BW67">
        <v>4.2998000000000001E-2</v>
      </c>
      <c r="BX67">
        <v>0.18170600000000001</v>
      </c>
      <c r="BY67">
        <v>1.3568340000000001</v>
      </c>
      <c r="BZ67">
        <v>107.99503300000001</v>
      </c>
      <c r="CA67">
        <v>3.4099999999999999E-4</v>
      </c>
      <c r="CB67">
        <v>2.3486280000000002</v>
      </c>
      <c r="CC67">
        <v>-5.1E-5</v>
      </c>
      <c r="CD67">
        <v>1</v>
      </c>
      <c r="CE67">
        <v>2.4109430000000001</v>
      </c>
      <c r="CF67">
        <v>-5.7000000000000003E-5</v>
      </c>
      <c r="CG67">
        <v>1</v>
      </c>
      <c r="CH67">
        <v>0.60051900000000002</v>
      </c>
      <c r="CI67">
        <v>0.60216099999999995</v>
      </c>
      <c r="CJ67">
        <v>0.107265</v>
      </c>
      <c r="CK67">
        <v>0</v>
      </c>
      <c r="CL67" t="s">
        <v>328</v>
      </c>
      <c r="CM67" t="s">
        <v>201</v>
      </c>
      <c r="CN67" t="s">
        <v>202</v>
      </c>
      <c r="CO67" t="s">
        <v>203</v>
      </c>
      <c r="CP67" t="s">
        <v>204</v>
      </c>
      <c r="CQ67" t="s">
        <v>205</v>
      </c>
      <c r="CR67" t="s">
        <v>206</v>
      </c>
    </row>
    <row r="68" spans="1:96">
      <c r="A68">
        <v>4</v>
      </c>
      <c r="B68" s="3">
        <v>0.51218750000000002</v>
      </c>
      <c r="C68" s="1">
        <v>45133</v>
      </c>
      <c r="D68" t="s">
        <v>196</v>
      </c>
      <c r="E68" t="s">
        <v>197</v>
      </c>
      <c r="G68">
        <v>4</v>
      </c>
      <c r="J68">
        <v>2.8556000000000002E-2</v>
      </c>
      <c r="K68">
        <v>2.9188079999999998</v>
      </c>
      <c r="L68">
        <v>2.828E-2</v>
      </c>
      <c r="M68">
        <v>1.2139690000000001</v>
      </c>
      <c r="N68">
        <v>2.39506</v>
      </c>
      <c r="O68">
        <v>2.3632379999999999</v>
      </c>
      <c r="P68">
        <v>6.2934859999999997</v>
      </c>
      <c r="Q68">
        <v>3.8984260000000002</v>
      </c>
      <c r="R68">
        <v>24.834629</v>
      </c>
      <c r="S68">
        <v>25.169031</v>
      </c>
      <c r="T68">
        <v>66.136527999999998</v>
      </c>
      <c r="U68">
        <v>0.44178600000000001</v>
      </c>
      <c r="V68" t="s">
        <v>329</v>
      </c>
      <c r="W68">
        <v>0</v>
      </c>
      <c r="X68">
        <v>0</v>
      </c>
      <c r="Y68">
        <v>0</v>
      </c>
      <c r="Z68">
        <v>152.70924400000001</v>
      </c>
      <c r="AA68">
        <v>203.691238</v>
      </c>
      <c r="AB68">
        <v>0.25029099999999999</v>
      </c>
      <c r="AC68">
        <v>0.5</v>
      </c>
      <c r="AD68">
        <v>0.8</v>
      </c>
      <c r="AE68">
        <v>200.03183000000001</v>
      </c>
      <c r="AF68">
        <v>50.05</v>
      </c>
      <c r="AG68">
        <v>49.38</v>
      </c>
      <c r="AH68">
        <v>32.04</v>
      </c>
      <c r="AI68">
        <v>36.97</v>
      </c>
      <c r="AJ68">
        <v>95.16</v>
      </c>
      <c r="AK68">
        <v>156.30000000000001</v>
      </c>
      <c r="AL68">
        <v>147.4</v>
      </c>
      <c r="AM68">
        <v>5.7</v>
      </c>
      <c r="AN68">
        <v>1998</v>
      </c>
      <c r="AO68">
        <v>4.0289999999999999</v>
      </c>
      <c r="AP68" s="3">
        <v>0.51158564814814811</v>
      </c>
      <c r="AQ68" s="1">
        <v>45133</v>
      </c>
      <c r="AR68">
        <v>-0.21</v>
      </c>
      <c r="AS68">
        <v>0</v>
      </c>
      <c r="AT68">
        <v>-1E-3</v>
      </c>
      <c r="AU68">
        <v>2E-3</v>
      </c>
      <c r="AV68">
        <v>-1.4039999999999999</v>
      </c>
      <c r="AW68">
        <v>-3.26</v>
      </c>
      <c r="AX68">
        <v>-12.342000000000001</v>
      </c>
      <c r="AY68">
        <v>1</v>
      </c>
      <c r="AZ68">
        <v>150</v>
      </c>
      <c r="BA68">
        <v>5.0000000000000001E-3</v>
      </c>
      <c r="BB68">
        <v>2</v>
      </c>
      <c r="BC68">
        <v>0</v>
      </c>
      <c r="BD68" t="s">
        <v>200</v>
      </c>
      <c r="BE68">
        <v>7000</v>
      </c>
      <c r="BF68">
        <v>500</v>
      </c>
      <c r="BG68">
        <v>5</v>
      </c>
      <c r="BH68">
        <v>2</v>
      </c>
      <c r="BI68">
        <v>300</v>
      </c>
      <c r="BJ68">
        <v>300</v>
      </c>
      <c r="BK68">
        <v>300</v>
      </c>
      <c r="BL68">
        <v>201.18284600000001</v>
      </c>
      <c r="BM68">
        <v>25</v>
      </c>
      <c r="BN68">
        <v>-1.629167</v>
      </c>
      <c r="BO68">
        <v>205.567001</v>
      </c>
      <c r="BP68">
        <v>201.35450700000001</v>
      </c>
      <c r="BQ68">
        <v>4.2124940000000004</v>
      </c>
      <c r="BR68">
        <v>2.4197649999999999</v>
      </c>
      <c r="BS68">
        <v>2.4885290000000002</v>
      </c>
      <c r="BT68">
        <v>1.587934</v>
      </c>
      <c r="BU68">
        <v>0.97044600000000003</v>
      </c>
      <c r="BV68">
        <v>0.20643</v>
      </c>
      <c r="BW68">
        <v>6.4453999999999997E-2</v>
      </c>
      <c r="BX68">
        <v>0.18368000000000001</v>
      </c>
      <c r="BY68">
        <v>1.879248</v>
      </c>
      <c r="BZ68">
        <v>152.70924400000001</v>
      </c>
      <c r="CA68">
        <v>3.4200000000000002E-4</v>
      </c>
      <c r="CB68">
        <v>2.3486280000000002</v>
      </c>
      <c r="CC68">
        <v>-5.1E-5</v>
      </c>
      <c r="CD68">
        <v>1</v>
      </c>
      <c r="CE68">
        <v>2.4109430000000001</v>
      </c>
      <c r="CF68">
        <v>-5.7000000000000003E-5</v>
      </c>
      <c r="CG68">
        <v>1</v>
      </c>
      <c r="CH68">
        <v>0.60051900000000002</v>
      </c>
      <c r="CI68">
        <v>0.60216099999999995</v>
      </c>
      <c r="CJ68">
        <v>0.107265</v>
      </c>
      <c r="CK68">
        <v>0</v>
      </c>
      <c r="CL68" t="s">
        <v>329</v>
      </c>
      <c r="CM68" t="s">
        <v>201</v>
      </c>
      <c r="CN68" t="s">
        <v>202</v>
      </c>
      <c r="CO68" t="s">
        <v>203</v>
      </c>
      <c r="CP68" t="s">
        <v>204</v>
      </c>
      <c r="CQ68" t="s">
        <v>205</v>
      </c>
      <c r="CR68" t="s">
        <v>206</v>
      </c>
    </row>
    <row r="69" spans="1:96">
      <c r="A69">
        <v>5</v>
      </c>
      <c r="B69" s="3">
        <v>0.51238425925925923</v>
      </c>
      <c r="C69" s="1">
        <v>45133</v>
      </c>
      <c r="D69" t="s">
        <v>196</v>
      </c>
      <c r="E69" t="s">
        <v>197</v>
      </c>
      <c r="G69">
        <v>5</v>
      </c>
      <c r="J69">
        <v>4.5978999999999999E-2</v>
      </c>
      <c r="K69">
        <v>2.9187349999999999</v>
      </c>
      <c r="L69">
        <v>4.5265E-2</v>
      </c>
      <c r="M69">
        <v>2.0356960000000002</v>
      </c>
      <c r="N69">
        <v>2.3902600000000001</v>
      </c>
      <c r="O69">
        <v>2.3368929999999999</v>
      </c>
      <c r="P69">
        <v>6.4705729999999999</v>
      </c>
      <c r="Q69">
        <v>4.0803130000000003</v>
      </c>
      <c r="R69">
        <v>24.557579</v>
      </c>
      <c r="S69">
        <v>25.118397000000002</v>
      </c>
      <c r="T69">
        <v>67.996955999999997</v>
      </c>
      <c r="U69">
        <v>0.44178600000000001</v>
      </c>
      <c r="V69" t="s">
        <v>330</v>
      </c>
      <c r="W69">
        <v>0</v>
      </c>
      <c r="X69">
        <v>0</v>
      </c>
      <c r="Y69">
        <v>0</v>
      </c>
      <c r="Z69">
        <v>82.743645000000001</v>
      </c>
      <c r="AA69">
        <v>109.995743</v>
      </c>
      <c r="AB69">
        <v>0.247756</v>
      </c>
      <c r="AC69">
        <v>0.5</v>
      </c>
      <c r="AD69">
        <v>0.8</v>
      </c>
      <c r="AE69">
        <v>209.333664</v>
      </c>
      <c r="AF69">
        <v>49.68</v>
      </c>
      <c r="AG69">
        <v>48.57</v>
      </c>
      <c r="AH69">
        <v>32.130000000000003</v>
      </c>
      <c r="AI69">
        <v>37.479999999999997</v>
      </c>
      <c r="AJ69">
        <v>95.16</v>
      </c>
      <c r="AK69">
        <v>156.30000000000001</v>
      </c>
      <c r="AL69">
        <v>147.1</v>
      </c>
      <c r="AM69">
        <v>5.9</v>
      </c>
      <c r="AN69">
        <v>2112</v>
      </c>
      <c r="AO69">
        <v>3.9990000000000001</v>
      </c>
      <c r="AP69" s="3">
        <v>0.51158564814814811</v>
      </c>
      <c r="AQ69" s="1">
        <v>45133</v>
      </c>
      <c r="AR69">
        <v>-0.21</v>
      </c>
      <c r="AS69">
        <v>0</v>
      </c>
      <c r="AT69">
        <v>1E-3</v>
      </c>
      <c r="AU69">
        <v>-9999</v>
      </c>
      <c r="AV69">
        <v>-0.67200000000000004</v>
      </c>
      <c r="AW69">
        <v>-1.0589999999999999</v>
      </c>
      <c r="AX69">
        <v>-9999</v>
      </c>
      <c r="AY69">
        <v>1</v>
      </c>
      <c r="AZ69">
        <v>150</v>
      </c>
      <c r="BA69">
        <v>5.0000000000000001E-3</v>
      </c>
      <c r="BB69">
        <v>2</v>
      </c>
      <c r="BC69">
        <v>0</v>
      </c>
      <c r="BD69" t="s">
        <v>200</v>
      </c>
      <c r="BE69">
        <v>7000</v>
      </c>
      <c r="BF69">
        <v>500</v>
      </c>
      <c r="BG69">
        <v>5</v>
      </c>
      <c r="BH69">
        <v>2</v>
      </c>
      <c r="BI69">
        <v>300</v>
      </c>
      <c r="BJ69">
        <v>300</v>
      </c>
      <c r="BK69">
        <v>300</v>
      </c>
      <c r="BL69">
        <v>104.86685900000001</v>
      </c>
      <c r="BM69">
        <v>25</v>
      </c>
      <c r="BN69">
        <v>-3.5253359999999998</v>
      </c>
      <c r="BO69">
        <v>104.644775</v>
      </c>
      <c r="BP69">
        <v>104.939323</v>
      </c>
      <c r="BQ69">
        <v>-0.29454799999999998</v>
      </c>
      <c r="BR69">
        <v>2.4187270000000001</v>
      </c>
      <c r="BS69">
        <v>2.4880149999999999</v>
      </c>
      <c r="BT69">
        <v>1.5878639999999999</v>
      </c>
      <c r="BU69">
        <v>0.96970500000000004</v>
      </c>
      <c r="BV69">
        <v>0.20566999999999999</v>
      </c>
      <c r="BW69">
        <v>7.0139999999999994E-2</v>
      </c>
      <c r="BX69">
        <v>0.18588199999999999</v>
      </c>
      <c r="BY69">
        <v>1.9806189999999999</v>
      </c>
      <c r="BZ69">
        <v>82.743645000000001</v>
      </c>
      <c r="CA69">
        <v>3.5100000000000002E-4</v>
      </c>
      <c r="CB69">
        <v>2.3486280000000002</v>
      </c>
      <c r="CC69">
        <v>-5.1E-5</v>
      </c>
      <c r="CD69">
        <v>1</v>
      </c>
      <c r="CE69">
        <v>2.4109430000000001</v>
      </c>
      <c r="CF69">
        <v>-5.7000000000000003E-5</v>
      </c>
      <c r="CG69">
        <v>1</v>
      </c>
      <c r="CH69">
        <v>0.60051900000000002</v>
      </c>
      <c r="CI69">
        <v>0.60216099999999995</v>
      </c>
      <c r="CJ69">
        <v>0.107265</v>
      </c>
      <c r="CK69">
        <v>0</v>
      </c>
      <c r="CL69" t="s">
        <v>330</v>
      </c>
      <c r="CM69" t="s">
        <v>201</v>
      </c>
      <c r="CN69" t="s">
        <v>202</v>
      </c>
      <c r="CO69" t="s">
        <v>203</v>
      </c>
      <c r="CP69" t="s">
        <v>204</v>
      </c>
      <c r="CQ69" t="s">
        <v>205</v>
      </c>
      <c r="CR69" t="s">
        <v>206</v>
      </c>
    </row>
    <row r="70" spans="1:96">
      <c r="A70">
        <v>6</v>
      </c>
      <c r="B70" s="3">
        <v>0.51252314814814814</v>
      </c>
      <c r="C70" s="1">
        <v>45133</v>
      </c>
      <c r="D70" t="s">
        <v>196</v>
      </c>
      <c r="E70" t="s">
        <v>197</v>
      </c>
      <c r="G70">
        <v>6</v>
      </c>
      <c r="J70">
        <v>4.3116000000000002E-2</v>
      </c>
      <c r="K70">
        <v>2.9196059999999999</v>
      </c>
      <c r="L70">
        <v>4.2488999999999999E-2</v>
      </c>
      <c r="M70">
        <v>1.673524</v>
      </c>
      <c r="N70">
        <v>2.3607999999999998</v>
      </c>
      <c r="O70">
        <v>2.3169430000000002</v>
      </c>
      <c r="P70">
        <v>5.9453589999999998</v>
      </c>
      <c r="Q70">
        <v>3.5845579999999999</v>
      </c>
      <c r="R70">
        <v>24.347742</v>
      </c>
      <c r="S70">
        <v>24.808615</v>
      </c>
      <c r="T70">
        <v>62.477173000000001</v>
      </c>
      <c r="U70">
        <v>0.44178600000000001</v>
      </c>
      <c r="V70" t="s">
        <v>331</v>
      </c>
      <c r="W70">
        <v>0</v>
      </c>
      <c r="X70">
        <v>0</v>
      </c>
      <c r="Y70">
        <v>0</v>
      </c>
      <c r="Z70">
        <v>104.784966</v>
      </c>
      <c r="AA70">
        <v>148.400406</v>
      </c>
      <c r="AB70">
        <v>0.293904</v>
      </c>
      <c r="AC70">
        <v>0.5</v>
      </c>
      <c r="AD70">
        <v>0.8</v>
      </c>
      <c r="AE70">
        <v>231.85237100000001</v>
      </c>
      <c r="AF70">
        <v>48.87</v>
      </c>
      <c r="AG70">
        <v>47.96</v>
      </c>
      <c r="AH70">
        <v>32.200000000000003</v>
      </c>
      <c r="AI70">
        <v>35.93</v>
      </c>
      <c r="AJ70">
        <v>95.16</v>
      </c>
      <c r="AK70">
        <v>156.4</v>
      </c>
      <c r="AL70">
        <v>147.19999999999999</v>
      </c>
      <c r="AM70">
        <v>5.9</v>
      </c>
      <c r="AN70">
        <v>1972</v>
      </c>
      <c r="AO70">
        <v>4.0289999999999999</v>
      </c>
      <c r="AP70" s="3">
        <v>0.51158564814814811</v>
      </c>
      <c r="AQ70" s="1">
        <v>45133</v>
      </c>
      <c r="AR70">
        <v>-0.21</v>
      </c>
      <c r="AS70">
        <v>0</v>
      </c>
      <c r="AT70">
        <v>2E-3</v>
      </c>
      <c r="AU70">
        <v>-9999</v>
      </c>
      <c r="AV70">
        <v>-1.919</v>
      </c>
      <c r="AW70">
        <v>-2.907</v>
      </c>
      <c r="AX70">
        <v>-9999</v>
      </c>
      <c r="AY70">
        <v>1</v>
      </c>
      <c r="AZ70">
        <v>150</v>
      </c>
      <c r="BA70">
        <v>5.0000000000000001E-3</v>
      </c>
      <c r="BB70">
        <v>2</v>
      </c>
      <c r="BC70">
        <v>0</v>
      </c>
      <c r="BD70" t="s">
        <v>200</v>
      </c>
      <c r="BE70">
        <v>7000</v>
      </c>
      <c r="BF70">
        <v>500</v>
      </c>
      <c r="BG70">
        <v>5</v>
      </c>
      <c r="BH70">
        <v>2</v>
      </c>
      <c r="BI70">
        <v>300</v>
      </c>
      <c r="BJ70">
        <v>300</v>
      </c>
      <c r="BK70">
        <v>300</v>
      </c>
      <c r="BL70">
        <v>141.463989</v>
      </c>
      <c r="BM70">
        <v>25</v>
      </c>
      <c r="BN70">
        <v>-5.588946</v>
      </c>
      <c r="BO70">
        <v>139.89473000000001</v>
      </c>
      <c r="BP70">
        <v>140.38414</v>
      </c>
      <c r="BQ70">
        <v>-0.48941000000000001</v>
      </c>
      <c r="BR70">
        <v>2.417942</v>
      </c>
      <c r="BS70">
        <v>2.4869029999999999</v>
      </c>
      <c r="BT70">
        <v>1.588706</v>
      </c>
      <c r="BU70">
        <v>0.97007200000000005</v>
      </c>
      <c r="BV70">
        <v>0.20508799999999999</v>
      </c>
      <c r="BW70">
        <v>4.8355000000000002E-2</v>
      </c>
      <c r="BX70">
        <v>0.187418</v>
      </c>
      <c r="BY70">
        <v>1.8563510000000001</v>
      </c>
      <c r="BZ70">
        <v>104.784966</v>
      </c>
      <c r="CA70">
        <v>3.39E-4</v>
      </c>
      <c r="CB70">
        <v>2.3486280000000002</v>
      </c>
      <c r="CC70">
        <v>-5.1E-5</v>
      </c>
      <c r="CD70">
        <v>1</v>
      </c>
      <c r="CE70">
        <v>2.4109430000000001</v>
      </c>
      <c r="CF70">
        <v>-5.7000000000000003E-5</v>
      </c>
      <c r="CG70">
        <v>1</v>
      </c>
      <c r="CH70">
        <v>0.60051900000000002</v>
      </c>
      <c r="CI70">
        <v>0.60216099999999995</v>
      </c>
      <c r="CJ70">
        <v>0.107265</v>
      </c>
      <c r="CK70">
        <v>0</v>
      </c>
      <c r="CL70" t="s">
        <v>331</v>
      </c>
      <c r="CM70" t="s">
        <v>201</v>
      </c>
      <c r="CN70" t="s">
        <v>202</v>
      </c>
      <c r="CO70" t="s">
        <v>203</v>
      </c>
      <c r="CP70" t="s">
        <v>204</v>
      </c>
      <c r="CQ70" t="s">
        <v>205</v>
      </c>
      <c r="CR70" t="s">
        <v>206</v>
      </c>
    </row>
    <row r="71" spans="1:96">
      <c r="A71">
        <v>7</v>
      </c>
      <c r="B71" s="3">
        <v>0.51287037037037042</v>
      </c>
      <c r="C71" s="1">
        <v>45133</v>
      </c>
      <c r="D71" t="s">
        <v>196</v>
      </c>
      <c r="E71" t="s">
        <v>197</v>
      </c>
      <c r="G71">
        <v>7</v>
      </c>
      <c r="J71">
        <v>7.1568999999999994E-2</v>
      </c>
      <c r="K71">
        <v>2.9197609999999998</v>
      </c>
      <c r="L71">
        <v>6.9856000000000001E-2</v>
      </c>
      <c r="M71">
        <v>3.0700419999999999</v>
      </c>
      <c r="N71">
        <v>2.424388</v>
      </c>
      <c r="O71">
        <v>2.343985</v>
      </c>
      <c r="P71">
        <v>6.4129569999999996</v>
      </c>
      <c r="Q71">
        <v>3.988569</v>
      </c>
      <c r="R71">
        <v>24.628032999999999</v>
      </c>
      <c r="S71">
        <v>25.472812999999999</v>
      </c>
      <c r="T71">
        <v>67.380341000000001</v>
      </c>
      <c r="U71">
        <v>0.44178600000000001</v>
      </c>
      <c r="V71" t="s">
        <v>332</v>
      </c>
      <c r="W71">
        <v>0</v>
      </c>
      <c r="X71">
        <v>0</v>
      </c>
      <c r="Y71">
        <v>0</v>
      </c>
      <c r="Z71">
        <v>74.243187000000006</v>
      </c>
      <c r="AA71">
        <v>94.672111999999998</v>
      </c>
      <c r="AB71">
        <v>0.21578600000000001</v>
      </c>
      <c r="AC71">
        <v>0.5</v>
      </c>
      <c r="AD71">
        <v>0.8</v>
      </c>
      <c r="AE71">
        <v>184.496735</v>
      </c>
      <c r="AF71">
        <v>49.71</v>
      </c>
      <c r="AG71">
        <v>48.06</v>
      </c>
      <c r="AH71">
        <v>32.369999999999997</v>
      </c>
      <c r="AI71">
        <v>37.31</v>
      </c>
      <c r="AJ71">
        <v>95.18</v>
      </c>
      <c r="AK71">
        <v>156.5</v>
      </c>
      <c r="AL71">
        <v>147.30000000000001</v>
      </c>
      <c r="AM71">
        <v>5.9</v>
      </c>
      <c r="AN71">
        <v>2137</v>
      </c>
      <c r="AO71">
        <v>4.0279999999999996</v>
      </c>
      <c r="AP71" s="3">
        <v>0.51158564814814811</v>
      </c>
      <c r="AQ71" s="1">
        <v>45133</v>
      </c>
      <c r="AR71">
        <v>-0.21</v>
      </c>
      <c r="AS71">
        <v>-3.0000000000000001E-3</v>
      </c>
      <c r="AT71">
        <v>-4.0000000000000001E-3</v>
      </c>
      <c r="AU71">
        <v>-9999</v>
      </c>
      <c r="AV71">
        <v>-6.3E-2</v>
      </c>
      <c r="AW71">
        <v>-0.19</v>
      </c>
      <c r="AX71">
        <v>-9999</v>
      </c>
      <c r="AY71">
        <v>1</v>
      </c>
      <c r="AZ71">
        <v>150</v>
      </c>
      <c r="BA71">
        <v>5.0000000000000001E-3</v>
      </c>
      <c r="BB71">
        <v>2</v>
      </c>
      <c r="BC71">
        <v>0</v>
      </c>
      <c r="BD71" t="s">
        <v>200</v>
      </c>
      <c r="BE71">
        <v>7000</v>
      </c>
      <c r="BF71">
        <v>500</v>
      </c>
      <c r="BG71">
        <v>5</v>
      </c>
      <c r="BH71">
        <v>2</v>
      </c>
      <c r="BI71">
        <v>300</v>
      </c>
      <c r="BJ71">
        <v>300</v>
      </c>
      <c r="BK71">
        <v>300</v>
      </c>
      <c r="BL71">
        <v>92.078804000000005</v>
      </c>
      <c r="BM71">
        <v>25</v>
      </c>
      <c r="BN71">
        <v>-1.7585949999999999</v>
      </c>
      <c r="BO71">
        <v>92.609527999999997</v>
      </c>
      <c r="BP71">
        <v>92.149742000000003</v>
      </c>
      <c r="BQ71">
        <v>0.459785</v>
      </c>
      <c r="BR71">
        <v>2.418024</v>
      </c>
      <c r="BS71">
        <v>2.4879880000000001</v>
      </c>
      <c r="BT71">
        <v>1.588857</v>
      </c>
      <c r="BU71">
        <v>0.97009199999999995</v>
      </c>
      <c r="BV71">
        <v>0.20372199999999999</v>
      </c>
      <c r="BW71">
        <v>6.4755999999999994E-2</v>
      </c>
      <c r="BX71">
        <v>0.19123599999999999</v>
      </c>
      <c r="BY71">
        <v>2.0029669999999999</v>
      </c>
      <c r="BZ71">
        <v>74.243187000000006</v>
      </c>
      <c r="CA71">
        <v>3.4299999999999999E-4</v>
      </c>
      <c r="CB71">
        <v>2.3486280000000002</v>
      </c>
      <c r="CC71">
        <v>-5.1E-5</v>
      </c>
      <c r="CD71">
        <v>1</v>
      </c>
      <c r="CE71">
        <v>2.4109430000000001</v>
      </c>
      <c r="CF71">
        <v>-5.7000000000000003E-5</v>
      </c>
      <c r="CG71">
        <v>1</v>
      </c>
      <c r="CH71">
        <v>0.60051900000000002</v>
      </c>
      <c r="CI71">
        <v>0.60216099999999995</v>
      </c>
      <c r="CJ71">
        <v>0.107265</v>
      </c>
      <c r="CK71">
        <v>0</v>
      </c>
      <c r="CL71" t="s">
        <v>332</v>
      </c>
      <c r="CM71" t="s">
        <v>201</v>
      </c>
      <c r="CN71" t="s">
        <v>202</v>
      </c>
      <c r="CO71" t="s">
        <v>203</v>
      </c>
      <c r="CP71" t="s">
        <v>204</v>
      </c>
      <c r="CQ71" t="s">
        <v>205</v>
      </c>
      <c r="CR71" t="s">
        <v>206</v>
      </c>
    </row>
    <row r="72" spans="1:96">
      <c r="A72">
        <v>8</v>
      </c>
      <c r="B72" s="3">
        <v>0.51302083333333337</v>
      </c>
      <c r="C72" s="1">
        <v>45133</v>
      </c>
      <c r="D72" t="s">
        <v>196</v>
      </c>
      <c r="E72" t="s">
        <v>197</v>
      </c>
      <c r="G72">
        <v>8</v>
      </c>
      <c r="J72">
        <v>7.0588999999999999E-2</v>
      </c>
      <c r="K72">
        <v>2.9191509999999998</v>
      </c>
      <c r="L72">
        <v>6.8922999999999998E-2</v>
      </c>
      <c r="M72">
        <v>2.703687</v>
      </c>
      <c r="N72">
        <v>2.5635669999999999</v>
      </c>
      <c r="O72">
        <v>2.4928340000000002</v>
      </c>
      <c r="P72">
        <v>6.1265099999999997</v>
      </c>
      <c r="Q72">
        <v>3.5629430000000002</v>
      </c>
      <c r="R72">
        <v>26.192934000000001</v>
      </c>
      <c r="S72">
        <v>26.936146000000001</v>
      </c>
      <c r="T72">
        <v>64.373031999999995</v>
      </c>
      <c r="U72">
        <v>0.44178600000000001</v>
      </c>
      <c r="V72" t="s">
        <v>333</v>
      </c>
      <c r="W72">
        <v>0</v>
      </c>
      <c r="X72">
        <v>0</v>
      </c>
      <c r="Y72">
        <v>0</v>
      </c>
      <c r="Z72">
        <v>112.61702</v>
      </c>
      <c r="AA72">
        <v>175.95747399999999</v>
      </c>
      <c r="AB72">
        <v>0.35997600000000002</v>
      </c>
      <c r="AC72">
        <v>0.5</v>
      </c>
      <c r="AD72">
        <v>0.8</v>
      </c>
      <c r="AE72">
        <v>272.86279300000001</v>
      </c>
      <c r="AF72">
        <v>52.33</v>
      </c>
      <c r="AG72">
        <v>50.88</v>
      </c>
      <c r="AH72">
        <v>32.450000000000003</v>
      </c>
      <c r="AI72">
        <v>36.479999999999997</v>
      </c>
      <c r="AJ72">
        <v>95.17</v>
      </c>
      <c r="AK72">
        <v>156.4</v>
      </c>
      <c r="AL72">
        <v>147.19999999999999</v>
      </c>
      <c r="AM72">
        <v>5.8</v>
      </c>
      <c r="AN72">
        <v>1895</v>
      </c>
      <c r="AO72">
        <v>4.0279999999999996</v>
      </c>
      <c r="AP72" s="3">
        <v>0.51158564814814811</v>
      </c>
      <c r="AQ72" s="1">
        <v>45133</v>
      </c>
      <c r="AR72">
        <v>-0.21</v>
      </c>
      <c r="AS72">
        <v>1E-3</v>
      </c>
      <c r="AT72">
        <v>0</v>
      </c>
      <c r="AU72">
        <v>3.0000000000000001E-3</v>
      </c>
      <c r="AV72">
        <v>-0.92400000000000004</v>
      </c>
      <c r="AW72">
        <v>-2.556</v>
      </c>
      <c r="AX72">
        <v>-10.035</v>
      </c>
      <c r="AY72">
        <v>1</v>
      </c>
      <c r="AZ72">
        <v>150</v>
      </c>
      <c r="BA72">
        <v>5.0000000000000001E-3</v>
      </c>
      <c r="BB72">
        <v>2</v>
      </c>
      <c r="BC72">
        <v>0</v>
      </c>
      <c r="BD72" t="s">
        <v>200</v>
      </c>
      <c r="BE72">
        <v>7000</v>
      </c>
      <c r="BF72">
        <v>500</v>
      </c>
      <c r="BG72">
        <v>5</v>
      </c>
      <c r="BH72">
        <v>2</v>
      </c>
      <c r="BI72">
        <v>300</v>
      </c>
      <c r="BJ72">
        <v>300</v>
      </c>
      <c r="BK72">
        <v>300</v>
      </c>
      <c r="BL72">
        <v>168.569321</v>
      </c>
      <c r="BM72">
        <v>25</v>
      </c>
      <c r="BN72">
        <v>-5.0359350000000003</v>
      </c>
      <c r="BO72">
        <v>170.531631</v>
      </c>
      <c r="BP72">
        <v>168.73438999999999</v>
      </c>
      <c r="BQ72">
        <v>1.7972410000000001</v>
      </c>
      <c r="BR72">
        <v>2.4215460000000002</v>
      </c>
      <c r="BS72">
        <v>2.4914849999999999</v>
      </c>
      <c r="BT72">
        <v>1.588266</v>
      </c>
      <c r="BU72">
        <v>0.97006000000000003</v>
      </c>
      <c r="BV72">
        <v>0.203094</v>
      </c>
      <c r="BW72">
        <v>5.2448000000000002E-2</v>
      </c>
      <c r="BX72">
        <v>0.19289200000000001</v>
      </c>
      <c r="BY72">
        <v>1.787909</v>
      </c>
      <c r="BZ72">
        <v>112.61702</v>
      </c>
      <c r="CA72">
        <v>3.4600000000000001E-4</v>
      </c>
      <c r="CB72">
        <v>2.3486280000000002</v>
      </c>
      <c r="CC72">
        <v>-5.1E-5</v>
      </c>
      <c r="CD72">
        <v>1</v>
      </c>
      <c r="CE72">
        <v>2.4109430000000001</v>
      </c>
      <c r="CF72">
        <v>-5.7000000000000003E-5</v>
      </c>
      <c r="CG72">
        <v>1</v>
      </c>
      <c r="CH72">
        <v>0.60051900000000002</v>
      </c>
      <c r="CI72">
        <v>0.60216099999999995</v>
      </c>
      <c r="CJ72">
        <v>0.107265</v>
      </c>
      <c r="CK72">
        <v>0</v>
      </c>
      <c r="CL72" t="s">
        <v>333</v>
      </c>
      <c r="CM72" t="s">
        <v>201</v>
      </c>
      <c r="CN72" t="s">
        <v>202</v>
      </c>
      <c r="CO72" t="s">
        <v>203</v>
      </c>
      <c r="CP72" t="s">
        <v>204</v>
      </c>
      <c r="CQ72" t="s">
        <v>205</v>
      </c>
      <c r="CR72" t="s">
        <v>206</v>
      </c>
    </row>
    <row r="73" spans="1:96">
      <c r="A73">
        <v>1</v>
      </c>
      <c r="B73" s="3">
        <v>0.54950231481481482</v>
      </c>
      <c r="C73" s="1">
        <v>45133</v>
      </c>
      <c r="D73" t="s">
        <v>196</v>
      </c>
      <c r="E73" t="s">
        <v>197</v>
      </c>
      <c r="G73">
        <v>1</v>
      </c>
      <c r="J73">
        <v>5.6839000000000001E-2</v>
      </c>
      <c r="K73">
        <v>2.9194580000000001</v>
      </c>
      <c r="L73">
        <v>5.5752999999999997E-2</v>
      </c>
      <c r="M73">
        <v>1.452431</v>
      </c>
      <c r="N73">
        <v>2.5019550000000002</v>
      </c>
      <c r="O73">
        <v>2.463911</v>
      </c>
      <c r="P73">
        <v>4.8869300000000004</v>
      </c>
      <c r="Q73">
        <v>2.3849749999999998</v>
      </c>
      <c r="R73">
        <v>25.869327999999999</v>
      </c>
      <c r="S73">
        <v>26.268761000000001</v>
      </c>
      <c r="T73">
        <v>51.309314999999998</v>
      </c>
      <c r="U73">
        <v>0.44178600000000001</v>
      </c>
      <c r="V73" t="s">
        <v>334</v>
      </c>
      <c r="W73">
        <v>0</v>
      </c>
      <c r="X73">
        <v>0</v>
      </c>
      <c r="Y73">
        <v>0</v>
      </c>
      <c r="Z73">
        <v>90.926529000000002</v>
      </c>
      <c r="AA73">
        <v>307.626282</v>
      </c>
      <c r="AB73">
        <v>0.70442499999999997</v>
      </c>
      <c r="AC73">
        <v>0.5</v>
      </c>
      <c r="AD73">
        <v>0.8</v>
      </c>
      <c r="AE73">
        <v>91.386024000000006</v>
      </c>
      <c r="AF73">
        <v>49.03</v>
      </c>
      <c r="AG73">
        <v>48.28</v>
      </c>
      <c r="AH73">
        <v>33.18</v>
      </c>
      <c r="AI73">
        <v>32.409999999999997</v>
      </c>
      <c r="AJ73">
        <v>95.24</v>
      </c>
      <c r="AK73">
        <v>156.4</v>
      </c>
      <c r="AL73">
        <v>146.80000000000001</v>
      </c>
      <c r="AM73">
        <v>6.1</v>
      </c>
      <c r="AN73">
        <v>324</v>
      </c>
      <c r="AO73">
        <v>4.0289999999999999</v>
      </c>
      <c r="AP73" s="3">
        <v>0.54937500000000006</v>
      </c>
      <c r="AQ73" s="1">
        <v>45133</v>
      </c>
      <c r="AR73">
        <v>-0.13</v>
      </c>
      <c r="AS73">
        <v>3.0000000000000001E-3</v>
      </c>
      <c r="AT73">
        <v>2E-3</v>
      </c>
      <c r="AU73">
        <v>-1E-3</v>
      </c>
      <c r="AV73">
        <v>0.14000000000000001</v>
      </c>
      <c r="AW73">
        <v>0.51800000000000002</v>
      </c>
      <c r="AX73">
        <v>1.2490000000000001</v>
      </c>
      <c r="AY73">
        <v>1</v>
      </c>
      <c r="AZ73">
        <v>150</v>
      </c>
      <c r="BA73">
        <v>5.0000000000000001E-3</v>
      </c>
      <c r="BB73">
        <v>2</v>
      </c>
      <c r="BC73">
        <v>0</v>
      </c>
      <c r="BD73" t="s">
        <v>200</v>
      </c>
      <c r="BE73">
        <v>7000</v>
      </c>
      <c r="BF73">
        <v>500</v>
      </c>
      <c r="BG73">
        <v>5</v>
      </c>
      <c r="BH73">
        <v>2</v>
      </c>
      <c r="BI73">
        <v>300</v>
      </c>
      <c r="BJ73">
        <v>300</v>
      </c>
      <c r="BK73">
        <v>300</v>
      </c>
      <c r="BL73">
        <v>282.99557499999997</v>
      </c>
      <c r="BM73">
        <v>25</v>
      </c>
      <c r="BN73">
        <v>-17.055565000000001</v>
      </c>
      <c r="BO73">
        <v>282.00387599999999</v>
      </c>
      <c r="BP73">
        <v>283.16336100000001</v>
      </c>
      <c r="BQ73">
        <v>-1.1594850000000001</v>
      </c>
      <c r="BR73">
        <v>2.4181279999999998</v>
      </c>
      <c r="BS73">
        <v>2.4867720000000002</v>
      </c>
      <c r="BT73">
        <v>1.5885629999999999</v>
      </c>
      <c r="BU73">
        <v>0.968723</v>
      </c>
      <c r="BV73">
        <v>0.19741500000000001</v>
      </c>
      <c r="BW73">
        <v>-1.0168E-2</v>
      </c>
      <c r="BX73">
        <v>0.120418</v>
      </c>
      <c r="BY73">
        <v>0.39490500000000001</v>
      </c>
      <c r="BZ73">
        <v>90.926529000000002</v>
      </c>
      <c r="CA73">
        <v>3.4900000000000003E-4</v>
      </c>
      <c r="CB73">
        <v>2.3486280000000002</v>
      </c>
      <c r="CC73">
        <v>-5.1E-5</v>
      </c>
      <c r="CD73">
        <v>1</v>
      </c>
      <c r="CE73">
        <v>2.4109430000000001</v>
      </c>
      <c r="CF73">
        <v>-5.7000000000000003E-5</v>
      </c>
      <c r="CG73">
        <v>1</v>
      </c>
      <c r="CH73">
        <v>0.60051900000000002</v>
      </c>
      <c r="CI73">
        <v>0.60216099999999995</v>
      </c>
      <c r="CJ73">
        <v>0.107265</v>
      </c>
      <c r="CK73">
        <v>0</v>
      </c>
      <c r="CL73" t="s">
        <v>334</v>
      </c>
      <c r="CM73" t="s">
        <v>201</v>
      </c>
      <c r="CN73" t="s">
        <v>202</v>
      </c>
      <c r="CO73" t="s">
        <v>203</v>
      </c>
      <c r="CP73" t="s">
        <v>204</v>
      </c>
      <c r="CQ73" t="s">
        <v>205</v>
      </c>
      <c r="CR73" t="s">
        <v>206</v>
      </c>
    </row>
    <row r="74" spans="1:96">
      <c r="A74">
        <v>2</v>
      </c>
      <c r="B74" s="3">
        <v>0.54962962962962958</v>
      </c>
      <c r="C74" s="1">
        <v>45133</v>
      </c>
      <c r="D74" t="s">
        <v>196</v>
      </c>
      <c r="E74" t="s">
        <v>197</v>
      </c>
      <c r="G74">
        <v>2</v>
      </c>
      <c r="J74">
        <v>7.4098999999999998E-2</v>
      </c>
      <c r="K74">
        <v>2.918498</v>
      </c>
      <c r="L74">
        <v>7.2264999999999996E-2</v>
      </c>
      <c r="M74">
        <v>1.7428729999999999</v>
      </c>
      <c r="N74">
        <v>2.5087769999999998</v>
      </c>
      <c r="O74">
        <v>2.4630969999999999</v>
      </c>
      <c r="P74">
        <v>4.7185689999999996</v>
      </c>
      <c r="Q74">
        <v>2.2097920000000002</v>
      </c>
      <c r="R74">
        <v>25.862480000000001</v>
      </c>
      <c r="S74">
        <v>26.342113000000001</v>
      </c>
      <c r="T74">
        <v>49.544894999999997</v>
      </c>
      <c r="U74">
        <v>0.44178600000000001</v>
      </c>
      <c r="V74" t="s">
        <v>335</v>
      </c>
      <c r="W74">
        <v>0</v>
      </c>
      <c r="X74">
        <v>0</v>
      </c>
      <c r="Y74">
        <v>0</v>
      </c>
      <c r="Z74">
        <v>85.860373999999993</v>
      </c>
      <c r="AA74">
        <v>319.11584499999998</v>
      </c>
      <c r="AB74">
        <v>0.73094300000000001</v>
      </c>
      <c r="AC74">
        <v>0.5</v>
      </c>
      <c r="AD74">
        <v>0.8</v>
      </c>
      <c r="AE74">
        <v>93.909401000000003</v>
      </c>
      <c r="AF74">
        <v>49.13</v>
      </c>
      <c r="AG74">
        <v>48.24</v>
      </c>
      <c r="AH74">
        <v>33.19</v>
      </c>
      <c r="AI74">
        <v>31.79</v>
      </c>
      <c r="AJ74">
        <v>95.24</v>
      </c>
      <c r="AK74">
        <v>156.30000000000001</v>
      </c>
      <c r="AL74">
        <v>147.1</v>
      </c>
      <c r="AM74">
        <v>5.9</v>
      </c>
      <c r="AN74">
        <v>321</v>
      </c>
      <c r="AO74">
        <v>4.0289999999999999</v>
      </c>
      <c r="AP74" s="3">
        <v>0.54937500000000006</v>
      </c>
      <c r="AQ74" s="1">
        <v>45133</v>
      </c>
      <c r="AR74">
        <v>-0.13</v>
      </c>
      <c r="AS74">
        <v>-2E-3</v>
      </c>
      <c r="AT74">
        <v>-1E-3</v>
      </c>
      <c r="AU74">
        <v>-9999</v>
      </c>
      <c r="AV74">
        <v>0.28399999999999997</v>
      </c>
      <c r="AW74">
        <v>0.35299999999999998</v>
      </c>
      <c r="AX74">
        <v>-9999</v>
      </c>
      <c r="AY74">
        <v>1</v>
      </c>
      <c r="AZ74">
        <v>150</v>
      </c>
      <c r="BA74">
        <v>5.0000000000000001E-3</v>
      </c>
      <c r="BB74">
        <v>2</v>
      </c>
      <c r="BC74">
        <v>0</v>
      </c>
      <c r="BD74" t="s">
        <v>200</v>
      </c>
      <c r="BE74">
        <v>7000</v>
      </c>
      <c r="BF74">
        <v>500</v>
      </c>
      <c r="BG74">
        <v>5</v>
      </c>
      <c r="BH74">
        <v>2</v>
      </c>
      <c r="BI74">
        <v>300</v>
      </c>
      <c r="BJ74">
        <v>300</v>
      </c>
      <c r="BK74">
        <v>300</v>
      </c>
      <c r="BL74">
        <v>297.31393400000002</v>
      </c>
      <c r="BM74">
        <v>25</v>
      </c>
      <c r="BN74">
        <v>-15.035398000000001</v>
      </c>
      <c r="BO74">
        <v>298.69686899999999</v>
      </c>
      <c r="BP74">
        <v>297.55044600000002</v>
      </c>
      <c r="BQ74">
        <v>1.146423</v>
      </c>
      <c r="BR74">
        <v>2.418066</v>
      </c>
      <c r="BS74">
        <v>2.4869059999999998</v>
      </c>
      <c r="BT74">
        <v>1.5876349999999999</v>
      </c>
      <c r="BU74">
        <v>0.96949399999999997</v>
      </c>
      <c r="BV74">
        <v>0.197326</v>
      </c>
      <c r="BW74">
        <v>-1.8221000000000001E-2</v>
      </c>
      <c r="BX74">
        <v>0.12212199999999999</v>
      </c>
      <c r="BY74">
        <v>0.39212399999999997</v>
      </c>
      <c r="BZ74">
        <v>85.860373999999993</v>
      </c>
      <c r="CA74">
        <v>3.5799999999999997E-4</v>
      </c>
      <c r="CB74">
        <v>2.3486280000000002</v>
      </c>
      <c r="CC74">
        <v>-5.1E-5</v>
      </c>
      <c r="CD74">
        <v>1</v>
      </c>
      <c r="CE74">
        <v>2.4109430000000001</v>
      </c>
      <c r="CF74">
        <v>-5.7000000000000003E-5</v>
      </c>
      <c r="CG74">
        <v>1</v>
      </c>
      <c r="CH74">
        <v>0.60051900000000002</v>
      </c>
      <c r="CI74">
        <v>0.60216099999999995</v>
      </c>
      <c r="CJ74">
        <v>0.107265</v>
      </c>
      <c r="CK74">
        <v>0</v>
      </c>
      <c r="CL74" t="s">
        <v>335</v>
      </c>
      <c r="CM74" t="s">
        <v>201</v>
      </c>
      <c r="CN74" t="s">
        <v>202</v>
      </c>
      <c r="CO74" t="s">
        <v>203</v>
      </c>
      <c r="CP74" t="s">
        <v>204</v>
      </c>
      <c r="CQ74" t="s">
        <v>205</v>
      </c>
      <c r="CR74" t="s">
        <v>206</v>
      </c>
    </row>
    <row r="75" spans="1:96">
      <c r="A75">
        <v>3</v>
      </c>
      <c r="B75" s="3">
        <v>0.54980324074074072</v>
      </c>
      <c r="C75" s="1">
        <v>45133</v>
      </c>
      <c r="D75" t="s">
        <v>196</v>
      </c>
      <c r="E75" t="s">
        <v>197</v>
      </c>
      <c r="G75">
        <v>3</v>
      </c>
      <c r="J75">
        <v>5.7748000000000001E-2</v>
      </c>
      <c r="K75">
        <v>2.9190870000000002</v>
      </c>
      <c r="L75">
        <v>5.6627999999999998E-2</v>
      </c>
      <c r="M75">
        <v>1.41469</v>
      </c>
      <c r="N75">
        <v>2.497004</v>
      </c>
      <c r="O75">
        <v>2.4599359999999999</v>
      </c>
      <c r="P75">
        <v>4.7854580000000002</v>
      </c>
      <c r="Q75">
        <v>2.2884540000000002</v>
      </c>
      <c r="R75">
        <v>25.827724</v>
      </c>
      <c r="S75">
        <v>26.216913000000002</v>
      </c>
      <c r="T75">
        <v>50.244190000000003</v>
      </c>
      <c r="U75">
        <v>0.44178600000000001</v>
      </c>
      <c r="V75" t="s">
        <v>336</v>
      </c>
      <c r="W75">
        <v>0</v>
      </c>
      <c r="X75">
        <v>0</v>
      </c>
      <c r="Y75">
        <v>0</v>
      </c>
      <c r="Z75">
        <v>80.527428</v>
      </c>
      <c r="AA75">
        <v>315.11502100000001</v>
      </c>
      <c r="AB75">
        <v>0.74445099999999997</v>
      </c>
      <c r="AC75">
        <v>0.5</v>
      </c>
      <c r="AD75">
        <v>0.8</v>
      </c>
      <c r="AE75">
        <v>66.692299000000006</v>
      </c>
      <c r="AF75">
        <v>48.89</v>
      </c>
      <c r="AG75">
        <v>48.16</v>
      </c>
      <c r="AH75">
        <v>33.200000000000003</v>
      </c>
      <c r="AI75">
        <v>32.04</v>
      </c>
      <c r="AJ75">
        <v>95.24</v>
      </c>
      <c r="AK75">
        <v>156.4</v>
      </c>
      <c r="AL75">
        <v>147</v>
      </c>
      <c r="AM75">
        <v>6</v>
      </c>
      <c r="AN75">
        <v>224</v>
      </c>
      <c r="AO75">
        <v>4.0279999999999996</v>
      </c>
      <c r="AP75" s="3">
        <v>0.54937500000000006</v>
      </c>
      <c r="AQ75" s="1">
        <v>45133</v>
      </c>
      <c r="AR75">
        <v>-0.13</v>
      </c>
      <c r="AS75">
        <v>4.0000000000000001E-3</v>
      </c>
      <c r="AT75">
        <v>5.0000000000000001E-3</v>
      </c>
      <c r="AU75">
        <v>-9999</v>
      </c>
      <c r="AV75">
        <v>0.02</v>
      </c>
      <c r="AW75">
        <v>0.46300000000000002</v>
      </c>
      <c r="AX75">
        <v>-9999</v>
      </c>
      <c r="AY75">
        <v>1</v>
      </c>
      <c r="AZ75">
        <v>150</v>
      </c>
      <c r="BA75">
        <v>5.0000000000000001E-3</v>
      </c>
      <c r="BB75">
        <v>2</v>
      </c>
      <c r="BC75">
        <v>0</v>
      </c>
      <c r="BD75" t="s">
        <v>200</v>
      </c>
      <c r="BE75">
        <v>7000</v>
      </c>
      <c r="BF75">
        <v>500</v>
      </c>
      <c r="BG75">
        <v>5</v>
      </c>
      <c r="BH75">
        <v>2</v>
      </c>
      <c r="BI75">
        <v>300</v>
      </c>
      <c r="BJ75">
        <v>300</v>
      </c>
      <c r="BK75">
        <v>300</v>
      </c>
      <c r="BL75">
        <v>292.78884900000003</v>
      </c>
      <c r="BM75">
        <v>25</v>
      </c>
      <c r="BN75">
        <v>-15.487944000000001</v>
      </c>
      <c r="BO75">
        <v>295.948151</v>
      </c>
      <c r="BP75">
        <v>292.90054300000003</v>
      </c>
      <c r="BQ75">
        <v>3.0476070000000002</v>
      </c>
      <c r="BR75">
        <v>2.4179710000000001</v>
      </c>
      <c r="BS75">
        <v>2.486577</v>
      </c>
      <c r="BT75">
        <v>1.5882050000000001</v>
      </c>
      <c r="BU75">
        <v>0.96935800000000005</v>
      </c>
      <c r="BV75">
        <v>0.19728899999999999</v>
      </c>
      <c r="BW75">
        <v>-1.512E-2</v>
      </c>
      <c r="BX75">
        <v>0.12430099999999999</v>
      </c>
      <c r="BY75">
        <v>0.30589499999999997</v>
      </c>
      <c r="BZ75">
        <v>80.527428</v>
      </c>
      <c r="CA75">
        <v>3.5300000000000002E-4</v>
      </c>
      <c r="CB75">
        <v>2.3486280000000002</v>
      </c>
      <c r="CC75">
        <v>-5.1E-5</v>
      </c>
      <c r="CD75">
        <v>1</v>
      </c>
      <c r="CE75">
        <v>2.4109430000000001</v>
      </c>
      <c r="CF75">
        <v>-5.7000000000000003E-5</v>
      </c>
      <c r="CG75">
        <v>1</v>
      </c>
      <c r="CH75">
        <v>0.60051900000000002</v>
      </c>
      <c r="CI75">
        <v>0.60216099999999995</v>
      </c>
      <c r="CJ75">
        <v>0.107265</v>
      </c>
      <c r="CK75">
        <v>0</v>
      </c>
      <c r="CL75" t="s">
        <v>336</v>
      </c>
      <c r="CM75" t="s">
        <v>201</v>
      </c>
      <c r="CN75" t="s">
        <v>202</v>
      </c>
      <c r="CO75" t="s">
        <v>203</v>
      </c>
      <c r="CP75" t="s">
        <v>204</v>
      </c>
      <c r="CQ75" t="s">
        <v>205</v>
      </c>
      <c r="CR75" t="s">
        <v>206</v>
      </c>
    </row>
    <row r="76" spans="1:96">
      <c r="A76">
        <v>4</v>
      </c>
      <c r="B76" s="3">
        <v>0.54999999999999993</v>
      </c>
      <c r="C76" s="1">
        <v>45133</v>
      </c>
      <c r="D76" t="s">
        <v>196</v>
      </c>
      <c r="E76" t="s">
        <v>197</v>
      </c>
      <c r="G76">
        <v>4</v>
      </c>
      <c r="J76">
        <v>1.7253999999999999E-2</v>
      </c>
      <c r="K76">
        <v>2.9193609999999999</v>
      </c>
      <c r="L76">
        <v>1.7153000000000002E-2</v>
      </c>
      <c r="M76">
        <v>0.44762299999999999</v>
      </c>
      <c r="N76">
        <v>2.4619970000000002</v>
      </c>
      <c r="O76">
        <v>2.4502649999999999</v>
      </c>
      <c r="P76">
        <v>4.8522460000000001</v>
      </c>
      <c r="Q76">
        <v>2.3902489999999998</v>
      </c>
      <c r="R76">
        <v>25.724299999999999</v>
      </c>
      <c r="S76">
        <v>25.847466000000001</v>
      </c>
      <c r="T76">
        <v>50.941685</v>
      </c>
      <c r="U76">
        <v>0.44178600000000001</v>
      </c>
      <c r="V76" t="s">
        <v>337</v>
      </c>
      <c r="W76">
        <v>0</v>
      </c>
      <c r="X76">
        <v>0</v>
      </c>
      <c r="Y76">
        <v>0</v>
      </c>
      <c r="Z76">
        <v>103.400589</v>
      </c>
      <c r="AA76">
        <v>376.09860200000003</v>
      </c>
      <c r="AB76">
        <v>0.72506999999999999</v>
      </c>
      <c r="AC76">
        <v>0.5</v>
      </c>
      <c r="AD76">
        <v>0.8</v>
      </c>
      <c r="AE76">
        <v>65.469284000000002</v>
      </c>
      <c r="AF76">
        <v>48.2</v>
      </c>
      <c r="AG76">
        <v>47.97</v>
      </c>
      <c r="AH76">
        <v>33.200000000000003</v>
      </c>
      <c r="AI76">
        <v>32.28</v>
      </c>
      <c r="AJ76">
        <v>95.25</v>
      </c>
      <c r="AK76">
        <v>156.4</v>
      </c>
      <c r="AL76">
        <v>146.9</v>
      </c>
      <c r="AM76">
        <v>6.1</v>
      </c>
      <c r="AN76">
        <v>226</v>
      </c>
      <c r="AO76">
        <v>4.0270000000000001</v>
      </c>
      <c r="AP76" s="3">
        <v>0.54937500000000006</v>
      </c>
      <c r="AQ76" s="1">
        <v>45133</v>
      </c>
      <c r="AR76">
        <v>-0.13</v>
      </c>
      <c r="AS76">
        <v>-1E-3</v>
      </c>
      <c r="AT76">
        <v>-2E-3</v>
      </c>
      <c r="AU76">
        <v>-9999</v>
      </c>
      <c r="AV76">
        <v>2.1349999999999998</v>
      </c>
      <c r="AW76">
        <v>3.5139999999999998</v>
      </c>
      <c r="AX76">
        <v>-9999</v>
      </c>
      <c r="AY76">
        <v>1</v>
      </c>
      <c r="AZ76">
        <v>150</v>
      </c>
      <c r="BA76">
        <v>5.0000000000000001E-3</v>
      </c>
      <c r="BB76">
        <v>2</v>
      </c>
      <c r="BC76">
        <v>0</v>
      </c>
      <c r="BD76" t="s">
        <v>200</v>
      </c>
      <c r="BE76">
        <v>7000</v>
      </c>
      <c r="BF76">
        <v>500</v>
      </c>
      <c r="BG76">
        <v>5</v>
      </c>
      <c r="BH76">
        <v>2</v>
      </c>
      <c r="BI76">
        <v>300</v>
      </c>
      <c r="BJ76">
        <v>300</v>
      </c>
      <c r="BK76">
        <v>300</v>
      </c>
      <c r="BL76">
        <v>370.28433200000001</v>
      </c>
      <c r="BM76">
        <v>25</v>
      </c>
      <c r="BN76">
        <v>-3.8593150000000001</v>
      </c>
      <c r="BO76">
        <v>373.48974600000003</v>
      </c>
      <c r="BP76">
        <v>370.56317100000001</v>
      </c>
      <c r="BQ76">
        <v>2.9265750000000001</v>
      </c>
      <c r="BR76">
        <v>2.4177330000000001</v>
      </c>
      <c r="BS76">
        <v>2.4856539999999998</v>
      </c>
      <c r="BT76">
        <v>1.5884689999999999</v>
      </c>
      <c r="BU76">
        <v>0.96895699999999996</v>
      </c>
      <c r="BV76">
        <v>0.19728899999999999</v>
      </c>
      <c r="BW76">
        <v>-1.1991E-2</v>
      </c>
      <c r="BX76">
        <v>0.12661700000000001</v>
      </c>
      <c r="BY76">
        <v>0.30746400000000002</v>
      </c>
      <c r="BZ76">
        <v>103.400589</v>
      </c>
      <c r="CA76">
        <v>3.5399999999999999E-4</v>
      </c>
      <c r="CB76">
        <v>2.3486280000000002</v>
      </c>
      <c r="CC76">
        <v>-5.1E-5</v>
      </c>
      <c r="CD76">
        <v>1</v>
      </c>
      <c r="CE76">
        <v>2.4109430000000001</v>
      </c>
      <c r="CF76">
        <v>-5.7000000000000003E-5</v>
      </c>
      <c r="CG76">
        <v>1</v>
      </c>
      <c r="CH76">
        <v>0.60051900000000002</v>
      </c>
      <c r="CI76">
        <v>0.60216099999999995</v>
      </c>
      <c r="CJ76">
        <v>0.107265</v>
      </c>
      <c r="CK76">
        <v>0</v>
      </c>
      <c r="CL76" t="s">
        <v>337</v>
      </c>
      <c r="CM76" t="s">
        <v>201</v>
      </c>
      <c r="CN76" t="s">
        <v>202</v>
      </c>
      <c r="CO76" t="s">
        <v>203</v>
      </c>
      <c r="CP76" t="s">
        <v>204</v>
      </c>
      <c r="CQ76" t="s">
        <v>205</v>
      </c>
      <c r="CR76" t="s">
        <v>206</v>
      </c>
    </row>
    <row r="77" spans="1:96">
      <c r="A77">
        <v>5</v>
      </c>
      <c r="B77" s="3">
        <v>0.55021990740740734</v>
      </c>
      <c r="C77" s="1">
        <v>45133</v>
      </c>
      <c r="D77" t="s">
        <v>196</v>
      </c>
      <c r="E77" t="s">
        <v>197</v>
      </c>
      <c r="G77">
        <v>5</v>
      </c>
      <c r="J77">
        <v>0.11833399999999999</v>
      </c>
      <c r="K77">
        <v>2.9204970000000001</v>
      </c>
      <c r="L77">
        <v>0.11372599999999999</v>
      </c>
      <c r="M77">
        <v>2.8741880000000002</v>
      </c>
      <c r="N77">
        <v>2.4529130000000001</v>
      </c>
      <c r="O77">
        <v>2.377653</v>
      </c>
      <c r="P77">
        <v>4.7686719999999996</v>
      </c>
      <c r="Q77">
        <v>2.3157589999999999</v>
      </c>
      <c r="R77">
        <v>24.964597999999999</v>
      </c>
      <c r="S77">
        <v>25.754797</v>
      </c>
      <c r="T77">
        <v>50.06953</v>
      </c>
      <c r="U77">
        <v>0.44178600000000001</v>
      </c>
      <c r="V77" t="s">
        <v>338</v>
      </c>
      <c r="W77">
        <v>0</v>
      </c>
      <c r="X77">
        <v>0</v>
      </c>
      <c r="Y77">
        <v>0</v>
      </c>
      <c r="Z77">
        <v>92.549805000000006</v>
      </c>
      <c r="AA77">
        <v>312.48416099999997</v>
      </c>
      <c r="AB77">
        <v>0.70382599999999995</v>
      </c>
      <c r="AC77">
        <v>0.5</v>
      </c>
      <c r="AD77">
        <v>0.8</v>
      </c>
      <c r="AE77">
        <v>144.80346700000001</v>
      </c>
      <c r="AF77">
        <v>48.04</v>
      </c>
      <c r="AG77">
        <v>46.56</v>
      </c>
      <c r="AH77">
        <v>33.19</v>
      </c>
      <c r="AI77">
        <v>31.98</v>
      </c>
      <c r="AJ77">
        <v>95.24</v>
      </c>
      <c r="AK77">
        <v>156.6</v>
      </c>
      <c r="AL77">
        <v>147.30000000000001</v>
      </c>
      <c r="AM77">
        <v>5.9</v>
      </c>
      <c r="AN77">
        <v>514</v>
      </c>
      <c r="AO77">
        <v>4.0270000000000001</v>
      </c>
      <c r="AP77" s="3">
        <v>0.54937500000000006</v>
      </c>
      <c r="AQ77" s="1">
        <v>45133</v>
      </c>
      <c r="AR77">
        <v>-0.13</v>
      </c>
      <c r="AS77">
        <v>3.0000000000000001E-3</v>
      </c>
      <c r="AT77">
        <v>-1E-3</v>
      </c>
      <c r="AU77">
        <v>-9999</v>
      </c>
      <c r="AV77">
        <v>0.247</v>
      </c>
      <c r="AW77">
        <v>-4.8070000000000004</v>
      </c>
      <c r="AX77">
        <v>-9999</v>
      </c>
      <c r="AY77">
        <v>1</v>
      </c>
      <c r="AZ77">
        <v>150</v>
      </c>
      <c r="BA77">
        <v>5.0000000000000001E-3</v>
      </c>
      <c r="BB77">
        <v>2</v>
      </c>
      <c r="BC77">
        <v>0</v>
      </c>
      <c r="BD77" t="s">
        <v>200</v>
      </c>
      <c r="BE77">
        <v>7000</v>
      </c>
      <c r="BF77">
        <v>500</v>
      </c>
      <c r="BG77">
        <v>5</v>
      </c>
      <c r="BH77">
        <v>2</v>
      </c>
      <c r="BI77">
        <v>300</v>
      </c>
      <c r="BJ77">
        <v>300</v>
      </c>
      <c r="BK77">
        <v>300</v>
      </c>
      <c r="BL77">
        <v>288.84600799999998</v>
      </c>
      <c r="BM77">
        <v>25</v>
      </c>
      <c r="BN77">
        <v>-16.383986</v>
      </c>
      <c r="BO77">
        <v>288.34463499999998</v>
      </c>
      <c r="BP77">
        <v>288.98449699999998</v>
      </c>
      <c r="BQ77">
        <v>-0.63986200000000004</v>
      </c>
      <c r="BR77">
        <v>2.4159639999999998</v>
      </c>
      <c r="BS77">
        <v>2.4854349999999998</v>
      </c>
      <c r="BT77">
        <v>1.5895699999999999</v>
      </c>
      <c r="BU77">
        <v>0.97022799999999998</v>
      </c>
      <c r="BV77">
        <v>0.19733200000000001</v>
      </c>
      <c r="BW77">
        <v>-1.5838999999999999E-2</v>
      </c>
      <c r="BX77">
        <v>0.12917400000000001</v>
      </c>
      <c r="BY77">
        <v>0.56342700000000001</v>
      </c>
      <c r="BZ77">
        <v>92.549805000000006</v>
      </c>
      <c r="CA77">
        <v>3.6000000000000002E-4</v>
      </c>
      <c r="CB77">
        <v>2.3486280000000002</v>
      </c>
      <c r="CC77">
        <v>-5.1E-5</v>
      </c>
      <c r="CD77">
        <v>1</v>
      </c>
      <c r="CE77">
        <v>2.4109430000000001</v>
      </c>
      <c r="CF77">
        <v>-5.7000000000000003E-5</v>
      </c>
      <c r="CG77">
        <v>1</v>
      </c>
      <c r="CH77">
        <v>0.60051900000000002</v>
      </c>
      <c r="CI77">
        <v>0.60216099999999995</v>
      </c>
      <c r="CJ77">
        <v>0.107265</v>
      </c>
      <c r="CK77">
        <v>0</v>
      </c>
      <c r="CL77" t="s">
        <v>338</v>
      </c>
      <c r="CM77" t="s">
        <v>201</v>
      </c>
      <c r="CN77" t="s">
        <v>202</v>
      </c>
      <c r="CO77" t="s">
        <v>203</v>
      </c>
      <c r="CP77" t="s">
        <v>204</v>
      </c>
      <c r="CQ77" t="s">
        <v>205</v>
      </c>
      <c r="CR77" t="s">
        <v>206</v>
      </c>
    </row>
    <row r="78" spans="1:96">
      <c r="A78">
        <v>1</v>
      </c>
      <c r="B78" s="3">
        <v>0.55535879629629636</v>
      </c>
      <c r="C78" s="1">
        <v>45133</v>
      </c>
      <c r="D78" t="s">
        <v>196</v>
      </c>
      <c r="E78" t="s">
        <v>197</v>
      </c>
      <c r="G78">
        <v>1</v>
      </c>
      <c r="J78">
        <v>0.16115599999999999</v>
      </c>
      <c r="K78">
        <v>2.919861</v>
      </c>
      <c r="L78">
        <v>0.152727</v>
      </c>
      <c r="M78">
        <v>4.5437859999999999</v>
      </c>
      <c r="N78">
        <v>2.7093430000000001</v>
      </c>
      <c r="O78">
        <v>2.590649</v>
      </c>
      <c r="P78">
        <v>5.4215929999999997</v>
      </c>
      <c r="Q78">
        <v>2.71225</v>
      </c>
      <c r="R78">
        <v>27.204052000000001</v>
      </c>
      <c r="S78">
        <v>28.450443</v>
      </c>
      <c r="T78">
        <v>56.931418999999998</v>
      </c>
      <c r="U78">
        <v>0.44178600000000001</v>
      </c>
      <c r="V78" t="s">
        <v>339</v>
      </c>
      <c r="W78">
        <v>0</v>
      </c>
      <c r="X78">
        <v>0</v>
      </c>
      <c r="Y78">
        <v>0</v>
      </c>
      <c r="Z78">
        <v>132.06732199999999</v>
      </c>
      <c r="AA78">
        <v>303.16604599999999</v>
      </c>
      <c r="AB78">
        <v>0.56437300000000001</v>
      </c>
      <c r="AC78">
        <v>0.5</v>
      </c>
      <c r="AD78">
        <v>0.8</v>
      </c>
      <c r="AE78">
        <v>64.770920000000004</v>
      </c>
      <c r="AF78">
        <v>52.85</v>
      </c>
      <c r="AG78">
        <v>50.54</v>
      </c>
      <c r="AH78">
        <v>33.26</v>
      </c>
      <c r="AI78">
        <v>34.26</v>
      </c>
      <c r="AJ78">
        <v>95.23</v>
      </c>
      <c r="AK78">
        <v>156.5</v>
      </c>
      <c r="AL78">
        <v>147.19999999999999</v>
      </c>
      <c r="AM78">
        <v>5.9</v>
      </c>
      <c r="AN78">
        <v>287</v>
      </c>
      <c r="AO78">
        <v>4.0250000000000004</v>
      </c>
      <c r="AP78" s="3">
        <v>0.55508101851851854</v>
      </c>
      <c r="AQ78" s="1">
        <v>45133</v>
      </c>
      <c r="AR78">
        <v>-0.15</v>
      </c>
      <c r="AS78">
        <v>0</v>
      </c>
      <c r="AT78">
        <v>2E-3</v>
      </c>
      <c r="AU78">
        <v>-5.0000000000000001E-3</v>
      </c>
      <c r="AV78">
        <v>15.381</v>
      </c>
      <c r="AW78">
        <v>-4.9859999999999998</v>
      </c>
      <c r="AX78">
        <v>21.315000000000001</v>
      </c>
      <c r="AY78">
        <v>1</v>
      </c>
      <c r="AZ78">
        <v>150</v>
      </c>
      <c r="BA78">
        <v>5.0000000000000001E-3</v>
      </c>
      <c r="BB78">
        <v>2</v>
      </c>
      <c r="BC78">
        <v>0</v>
      </c>
      <c r="BD78" t="s">
        <v>200</v>
      </c>
      <c r="BE78">
        <v>7000</v>
      </c>
      <c r="BF78">
        <v>500</v>
      </c>
      <c r="BG78">
        <v>5</v>
      </c>
      <c r="BH78">
        <v>2</v>
      </c>
      <c r="BI78">
        <v>300</v>
      </c>
      <c r="BJ78">
        <v>300</v>
      </c>
      <c r="BK78">
        <v>300</v>
      </c>
      <c r="BL78">
        <v>277.17984000000001</v>
      </c>
      <c r="BM78">
        <v>25</v>
      </c>
      <c r="BN78">
        <v>-17.949795000000002</v>
      </c>
      <c r="BO78">
        <v>274.69790599999999</v>
      </c>
      <c r="BP78">
        <v>277.42053199999998</v>
      </c>
      <c r="BQ78">
        <v>-2.722626</v>
      </c>
      <c r="BR78">
        <v>2.4209299999999998</v>
      </c>
      <c r="BS78">
        <v>2.4919090000000002</v>
      </c>
      <c r="BT78">
        <v>1.5889530000000001</v>
      </c>
      <c r="BU78">
        <v>0.96992599999999995</v>
      </c>
      <c r="BV78">
        <v>0.19679199999999999</v>
      </c>
      <c r="BW78">
        <v>1.2723999999999999E-2</v>
      </c>
      <c r="BX78">
        <v>0.187582</v>
      </c>
      <c r="BY78">
        <v>0.36172399999999999</v>
      </c>
      <c r="BZ78">
        <v>132.06732199999999</v>
      </c>
      <c r="CA78">
        <v>3.5199999999999999E-4</v>
      </c>
      <c r="CB78">
        <v>2.3486280000000002</v>
      </c>
      <c r="CC78">
        <v>-5.1E-5</v>
      </c>
      <c r="CD78">
        <v>1</v>
      </c>
      <c r="CE78">
        <v>2.4109430000000001</v>
      </c>
      <c r="CF78">
        <v>-5.7000000000000003E-5</v>
      </c>
      <c r="CG78">
        <v>1</v>
      </c>
      <c r="CH78">
        <v>0.60051900000000002</v>
      </c>
      <c r="CI78">
        <v>0.60216099999999995</v>
      </c>
      <c r="CJ78">
        <v>0.107265</v>
      </c>
      <c r="CK78">
        <v>0</v>
      </c>
      <c r="CL78" t="s">
        <v>339</v>
      </c>
      <c r="CM78" t="s">
        <v>201</v>
      </c>
      <c r="CN78" t="s">
        <v>202</v>
      </c>
      <c r="CO78" t="s">
        <v>203</v>
      </c>
      <c r="CP78" t="s">
        <v>204</v>
      </c>
      <c r="CQ78" t="s">
        <v>205</v>
      </c>
      <c r="CR78" t="s">
        <v>206</v>
      </c>
    </row>
    <row r="79" spans="1:96">
      <c r="A79">
        <v>2</v>
      </c>
      <c r="B79" s="3">
        <v>0.55576388888888884</v>
      </c>
      <c r="C79" s="1">
        <v>45133</v>
      </c>
      <c r="D79" t="s">
        <v>196</v>
      </c>
      <c r="E79" t="s">
        <v>197</v>
      </c>
      <c r="G79">
        <v>2</v>
      </c>
      <c r="J79">
        <v>9.5038999999999998E-2</v>
      </c>
      <c r="K79">
        <v>2.9195760000000002</v>
      </c>
      <c r="L79">
        <v>9.2043E-2</v>
      </c>
      <c r="M79">
        <v>3.4960179999999998</v>
      </c>
      <c r="N79">
        <v>2.615993</v>
      </c>
      <c r="O79">
        <v>2.5245660000000001</v>
      </c>
      <c r="P79">
        <v>6.0678169999999998</v>
      </c>
      <c r="Q79">
        <v>3.4518230000000001</v>
      </c>
      <c r="R79">
        <v>26.512701</v>
      </c>
      <c r="S79">
        <v>27.472861999999999</v>
      </c>
      <c r="T79">
        <v>63.723511000000002</v>
      </c>
      <c r="U79">
        <v>0.44178600000000001</v>
      </c>
      <c r="V79" t="s">
        <v>340</v>
      </c>
      <c r="W79">
        <v>0</v>
      </c>
      <c r="X79">
        <v>0</v>
      </c>
      <c r="Y79">
        <v>0</v>
      </c>
      <c r="Z79">
        <v>115.684387</v>
      </c>
      <c r="AA79">
        <v>181.00213600000001</v>
      </c>
      <c r="AB79">
        <v>0.36086699999999999</v>
      </c>
      <c r="AC79">
        <v>0.5</v>
      </c>
      <c r="AD79">
        <v>0.8</v>
      </c>
      <c r="AE79">
        <v>257.64721700000001</v>
      </c>
      <c r="AF79">
        <v>50.74</v>
      </c>
      <c r="AG79">
        <v>48.97</v>
      </c>
      <c r="AH79">
        <v>33.36</v>
      </c>
      <c r="AI79">
        <v>36.299999999999997</v>
      </c>
      <c r="AJ79">
        <v>95.22</v>
      </c>
      <c r="AK79">
        <v>156.4</v>
      </c>
      <c r="AL79">
        <v>147.1</v>
      </c>
      <c r="AM79">
        <v>6</v>
      </c>
      <c r="AN79">
        <v>1785</v>
      </c>
      <c r="AO79">
        <v>4.024</v>
      </c>
      <c r="AP79" s="3">
        <v>0.55508101851851854</v>
      </c>
      <c r="AQ79" s="1">
        <v>45133</v>
      </c>
      <c r="AR79">
        <v>-0.15</v>
      </c>
      <c r="AS79">
        <v>1E-3</v>
      </c>
      <c r="AT79">
        <v>3.0000000000000001E-3</v>
      </c>
      <c r="AU79">
        <v>-1E-3</v>
      </c>
      <c r="AV79">
        <v>1.256</v>
      </c>
      <c r="AW79">
        <v>-0.58199999999999996</v>
      </c>
      <c r="AX79">
        <v>24.423999999999999</v>
      </c>
      <c r="AY79">
        <v>1</v>
      </c>
      <c r="AZ79">
        <v>150</v>
      </c>
      <c r="BA79">
        <v>5.0000000000000001E-3</v>
      </c>
      <c r="BB79">
        <v>2</v>
      </c>
      <c r="BC79">
        <v>0</v>
      </c>
      <c r="BD79" t="s">
        <v>200</v>
      </c>
      <c r="BE79">
        <v>7000</v>
      </c>
      <c r="BF79">
        <v>500</v>
      </c>
      <c r="BG79">
        <v>5</v>
      </c>
      <c r="BH79">
        <v>2</v>
      </c>
      <c r="BI79">
        <v>300</v>
      </c>
      <c r="BJ79">
        <v>300</v>
      </c>
      <c r="BK79">
        <v>300</v>
      </c>
      <c r="BL79">
        <v>164.36326600000001</v>
      </c>
      <c r="BM79">
        <v>25</v>
      </c>
      <c r="BN79">
        <v>-12.774476</v>
      </c>
      <c r="BO79">
        <v>159.38114899999999</v>
      </c>
      <c r="BP79">
        <v>162.67961099999999</v>
      </c>
      <c r="BQ79">
        <v>-3.2984619999999998</v>
      </c>
      <c r="BR79">
        <v>2.4189449999999999</v>
      </c>
      <c r="BS79">
        <v>2.4890599999999998</v>
      </c>
      <c r="BT79">
        <v>1.5886769999999999</v>
      </c>
      <c r="BU79">
        <v>0.969638</v>
      </c>
      <c r="BV79">
        <v>0.19601199999999999</v>
      </c>
      <c r="BW79">
        <v>3.8315000000000002E-2</v>
      </c>
      <c r="BX79">
        <v>0.19253899999999999</v>
      </c>
      <c r="BY79">
        <v>1.690272</v>
      </c>
      <c r="BZ79">
        <v>115.684387</v>
      </c>
      <c r="CA79">
        <v>3.4900000000000003E-4</v>
      </c>
      <c r="CB79">
        <v>2.3486280000000002</v>
      </c>
      <c r="CC79">
        <v>-5.1E-5</v>
      </c>
      <c r="CD79">
        <v>1</v>
      </c>
      <c r="CE79">
        <v>2.4109430000000001</v>
      </c>
      <c r="CF79">
        <v>-5.7000000000000003E-5</v>
      </c>
      <c r="CG79">
        <v>1</v>
      </c>
      <c r="CH79">
        <v>0.60051900000000002</v>
      </c>
      <c r="CI79">
        <v>0.60216099999999995</v>
      </c>
      <c r="CJ79">
        <v>0.107265</v>
      </c>
      <c r="CK79">
        <v>0</v>
      </c>
      <c r="CL79" t="s">
        <v>340</v>
      </c>
      <c r="CM79" t="s">
        <v>201</v>
      </c>
      <c r="CN79" t="s">
        <v>202</v>
      </c>
      <c r="CO79" t="s">
        <v>203</v>
      </c>
      <c r="CP79" t="s">
        <v>204</v>
      </c>
      <c r="CQ79" t="s">
        <v>205</v>
      </c>
      <c r="CR79" t="s">
        <v>206</v>
      </c>
    </row>
    <row r="80" spans="1:96">
      <c r="A80">
        <v>3</v>
      </c>
      <c r="B80" s="3">
        <v>0.5559722222222222</v>
      </c>
      <c r="C80" s="1">
        <v>45133</v>
      </c>
      <c r="D80" t="s">
        <v>196</v>
      </c>
      <c r="E80" t="s">
        <v>197</v>
      </c>
      <c r="G80">
        <v>3</v>
      </c>
      <c r="J80">
        <v>0.130855</v>
      </c>
      <c r="K80">
        <v>2.920137</v>
      </c>
      <c r="L80">
        <v>0.12524199999999999</v>
      </c>
      <c r="M80">
        <v>3.4993099999999999</v>
      </c>
      <c r="N80">
        <v>2.6441180000000002</v>
      </c>
      <c r="O80">
        <v>2.5526680000000002</v>
      </c>
      <c r="P80">
        <v>5.1952220000000002</v>
      </c>
      <c r="Q80">
        <v>2.551104</v>
      </c>
      <c r="R80">
        <v>26.806633000000001</v>
      </c>
      <c r="S80">
        <v>27.766983</v>
      </c>
      <c r="T80">
        <v>54.557189999999999</v>
      </c>
      <c r="U80">
        <v>0.44178600000000001</v>
      </c>
      <c r="V80" t="s">
        <v>341</v>
      </c>
      <c r="W80">
        <v>0</v>
      </c>
      <c r="X80">
        <v>0</v>
      </c>
      <c r="Y80">
        <v>0</v>
      </c>
      <c r="Z80">
        <v>88.452102999999994</v>
      </c>
      <c r="AA80">
        <v>315.88247699999999</v>
      </c>
      <c r="AB80">
        <v>0.71998399999999996</v>
      </c>
      <c r="AC80">
        <v>0.5</v>
      </c>
      <c r="AD80">
        <v>0.8</v>
      </c>
      <c r="AE80">
        <v>439.73730499999999</v>
      </c>
      <c r="AF80">
        <v>51.15</v>
      </c>
      <c r="AG80">
        <v>49.38</v>
      </c>
      <c r="AH80">
        <v>33.409999999999997</v>
      </c>
      <c r="AI80">
        <v>33.5</v>
      </c>
      <c r="AJ80">
        <v>95.23</v>
      </c>
      <c r="AK80">
        <v>156.5</v>
      </c>
      <c r="AL80">
        <v>147.1</v>
      </c>
      <c r="AM80">
        <v>6</v>
      </c>
      <c r="AN80">
        <v>1527</v>
      </c>
      <c r="AO80">
        <v>4.024</v>
      </c>
      <c r="AP80" s="3">
        <v>0.55508101851851854</v>
      </c>
      <c r="AQ80" s="1">
        <v>45133</v>
      </c>
      <c r="AR80">
        <v>-0.15</v>
      </c>
      <c r="AS80">
        <v>0</v>
      </c>
      <c r="AT80">
        <v>0</v>
      </c>
      <c r="AU80">
        <v>-8.0000000000000002E-3</v>
      </c>
      <c r="AV80">
        <v>-0.154</v>
      </c>
      <c r="AW80">
        <v>-0.46500000000000002</v>
      </c>
      <c r="AX80">
        <v>0.08</v>
      </c>
      <c r="AY80">
        <v>1</v>
      </c>
      <c r="AZ80">
        <v>150</v>
      </c>
      <c r="BA80">
        <v>5.0000000000000001E-3</v>
      </c>
      <c r="BB80">
        <v>2</v>
      </c>
      <c r="BC80">
        <v>0</v>
      </c>
      <c r="BD80" t="s">
        <v>200</v>
      </c>
      <c r="BE80">
        <v>7000</v>
      </c>
      <c r="BF80">
        <v>500</v>
      </c>
      <c r="BG80">
        <v>5</v>
      </c>
      <c r="BH80">
        <v>2</v>
      </c>
      <c r="BI80">
        <v>300</v>
      </c>
      <c r="BJ80">
        <v>300</v>
      </c>
      <c r="BK80">
        <v>300</v>
      </c>
      <c r="BL80">
        <v>296.16308600000002</v>
      </c>
      <c r="BM80">
        <v>25</v>
      </c>
      <c r="BN80">
        <v>-13.493119999999999</v>
      </c>
      <c r="BO80">
        <v>298.68505900000002</v>
      </c>
      <c r="BP80">
        <v>296.52920499999999</v>
      </c>
      <c r="BQ80">
        <v>2.155853</v>
      </c>
      <c r="BR80">
        <v>2.419448</v>
      </c>
      <c r="BS80">
        <v>2.4895930000000002</v>
      </c>
      <c r="BT80">
        <v>1.589221</v>
      </c>
      <c r="BU80">
        <v>0.96949399999999997</v>
      </c>
      <c r="BV80">
        <v>0.19564000000000001</v>
      </c>
      <c r="BW80">
        <v>8.4800000000000001E-4</v>
      </c>
      <c r="BX80">
        <v>0.194859</v>
      </c>
      <c r="BY80">
        <v>1.461441</v>
      </c>
      <c r="BZ80">
        <v>88.452102999999994</v>
      </c>
      <c r="CA80">
        <v>3.57E-4</v>
      </c>
      <c r="CB80">
        <v>2.3486280000000002</v>
      </c>
      <c r="CC80">
        <v>-5.1E-5</v>
      </c>
      <c r="CD80">
        <v>1</v>
      </c>
      <c r="CE80">
        <v>2.4109430000000001</v>
      </c>
      <c r="CF80">
        <v>-5.7000000000000003E-5</v>
      </c>
      <c r="CG80">
        <v>1</v>
      </c>
      <c r="CH80">
        <v>0.60051900000000002</v>
      </c>
      <c r="CI80">
        <v>0.60216099999999995</v>
      </c>
      <c r="CJ80">
        <v>0.107265</v>
      </c>
      <c r="CK80">
        <v>0</v>
      </c>
      <c r="CL80" t="s">
        <v>341</v>
      </c>
      <c r="CM80" t="s">
        <v>201</v>
      </c>
      <c r="CN80" t="s">
        <v>202</v>
      </c>
      <c r="CO80" t="s">
        <v>203</v>
      </c>
      <c r="CP80" t="s">
        <v>204</v>
      </c>
      <c r="CQ80" t="s">
        <v>205</v>
      </c>
      <c r="CR80" t="s">
        <v>206</v>
      </c>
    </row>
    <row r="81" spans="1:96">
      <c r="A81">
        <v>4</v>
      </c>
      <c r="B81" s="3">
        <v>0.55614583333333334</v>
      </c>
      <c r="C81" s="1">
        <v>45133</v>
      </c>
      <c r="D81" t="s">
        <v>196</v>
      </c>
      <c r="E81" t="s">
        <v>197</v>
      </c>
      <c r="G81">
        <v>4</v>
      </c>
      <c r="J81">
        <v>0.16562499999999999</v>
      </c>
      <c r="K81">
        <v>2.919613</v>
      </c>
      <c r="L81">
        <v>0.15673400000000001</v>
      </c>
      <c r="M81">
        <v>4.7304120000000003</v>
      </c>
      <c r="N81">
        <v>2.7053959999999999</v>
      </c>
      <c r="O81">
        <v>2.5818089999999998</v>
      </c>
      <c r="P81">
        <v>5.4561359999999999</v>
      </c>
      <c r="Q81">
        <v>2.75074</v>
      </c>
      <c r="R81">
        <v>27.113721999999999</v>
      </c>
      <c r="S81">
        <v>28.411612000000002</v>
      </c>
      <c r="T81">
        <v>57.299416000000001</v>
      </c>
      <c r="U81">
        <v>0.44178600000000001</v>
      </c>
      <c r="V81" t="s">
        <v>342</v>
      </c>
      <c r="W81">
        <v>0</v>
      </c>
      <c r="X81">
        <v>0</v>
      </c>
      <c r="Y81">
        <v>0</v>
      </c>
      <c r="Z81">
        <v>76.368567999999996</v>
      </c>
      <c r="AA81">
        <v>200.666031</v>
      </c>
      <c r="AB81">
        <v>0.619425</v>
      </c>
      <c r="AC81">
        <v>0.5</v>
      </c>
      <c r="AD81">
        <v>0.8</v>
      </c>
      <c r="AE81">
        <v>61.656638999999998</v>
      </c>
      <c r="AF81">
        <v>52.19</v>
      </c>
      <c r="AG81">
        <v>49.81</v>
      </c>
      <c r="AH81">
        <v>33.46</v>
      </c>
      <c r="AI81">
        <v>34.380000000000003</v>
      </c>
      <c r="AJ81">
        <v>95.22</v>
      </c>
      <c r="AK81">
        <v>156.4</v>
      </c>
      <c r="AL81">
        <v>147.19999999999999</v>
      </c>
      <c r="AM81">
        <v>5.9</v>
      </c>
      <c r="AN81">
        <v>249</v>
      </c>
      <c r="AO81">
        <v>4.0229999999999997</v>
      </c>
      <c r="AP81" s="3">
        <v>0.55508101851851854</v>
      </c>
      <c r="AQ81" s="1">
        <v>45133</v>
      </c>
      <c r="AR81">
        <v>-0.15</v>
      </c>
      <c r="AS81">
        <v>1E-3</v>
      </c>
      <c r="AT81">
        <v>2E-3</v>
      </c>
      <c r="AU81">
        <v>1.2999999999999999E-2</v>
      </c>
      <c r="AV81">
        <v>0.41499999999999998</v>
      </c>
      <c r="AW81">
        <v>1.3740000000000001</v>
      </c>
      <c r="AX81">
        <v>0.04</v>
      </c>
      <c r="AY81">
        <v>1</v>
      </c>
      <c r="AZ81">
        <v>150</v>
      </c>
      <c r="BA81">
        <v>5.0000000000000001E-3</v>
      </c>
      <c r="BB81">
        <v>2</v>
      </c>
      <c r="BC81">
        <v>0</v>
      </c>
      <c r="BD81" t="s">
        <v>200</v>
      </c>
      <c r="BE81">
        <v>7000</v>
      </c>
      <c r="BF81">
        <v>500</v>
      </c>
      <c r="BG81">
        <v>5</v>
      </c>
      <c r="BH81">
        <v>2</v>
      </c>
      <c r="BI81">
        <v>300</v>
      </c>
      <c r="BJ81">
        <v>300</v>
      </c>
      <c r="BK81">
        <v>300</v>
      </c>
      <c r="BL81">
        <v>184.22126800000001</v>
      </c>
      <c r="BM81">
        <v>25</v>
      </c>
      <c r="BN81">
        <v>-11.114535999999999</v>
      </c>
      <c r="BO81">
        <v>186.379547</v>
      </c>
      <c r="BP81">
        <v>184.72436500000001</v>
      </c>
      <c r="BQ81">
        <v>1.6551819999999999</v>
      </c>
      <c r="BR81">
        <v>2.4199769999999998</v>
      </c>
      <c r="BS81">
        <v>2.4909819999999998</v>
      </c>
      <c r="BT81">
        <v>1.588714</v>
      </c>
      <c r="BU81">
        <v>0.9698</v>
      </c>
      <c r="BV81">
        <v>0.19527900000000001</v>
      </c>
      <c r="BW81">
        <v>1.1655E-2</v>
      </c>
      <c r="BX81">
        <v>0.19670399999999999</v>
      </c>
      <c r="BY81">
        <v>0.32796199999999998</v>
      </c>
      <c r="BZ81">
        <v>76.368567999999996</v>
      </c>
      <c r="CA81">
        <v>3.4400000000000001E-4</v>
      </c>
      <c r="CB81">
        <v>2.3486280000000002</v>
      </c>
      <c r="CC81">
        <v>-5.1E-5</v>
      </c>
      <c r="CD81">
        <v>1</v>
      </c>
      <c r="CE81">
        <v>2.4109430000000001</v>
      </c>
      <c r="CF81">
        <v>-5.7000000000000003E-5</v>
      </c>
      <c r="CG81">
        <v>1</v>
      </c>
      <c r="CH81">
        <v>0.60051900000000002</v>
      </c>
      <c r="CI81">
        <v>0.60216099999999995</v>
      </c>
      <c r="CJ81">
        <v>0.107265</v>
      </c>
      <c r="CK81">
        <v>0</v>
      </c>
      <c r="CL81" t="s">
        <v>342</v>
      </c>
      <c r="CM81" t="s">
        <v>201</v>
      </c>
      <c r="CN81" t="s">
        <v>202</v>
      </c>
      <c r="CO81" t="s">
        <v>203</v>
      </c>
      <c r="CP81" t="s">
        <v>204</v>
      </c>
      <c r="CQ81" t="s">
        <v>205</v>
      </c>
      <c r="CR81" t="s">
        <v>206</v>
      </c>
    </row>
    <row r="82" spans="1:96">
      <c r="A82">
        <v>1</v>
      </c>
      <c r="B82" s="3">
        <v>0.56593749999999998</v>
      </c>
      <c r="C82" s="1">
        <v>45133</v>
      </c>
      <c r="D82" t="s">
        <v>196</v>
      </c>
      <c r="E82" t="s">
        <v>197</v>
      </c>
      <c r="G82">
        <v>1</v>
      </c>
      <c r="J82">
        <v>0.145921</v>
      </c>
      <c r="K82">
        <v>2.9190390000000002</v>
      </c>
      <c r="L82">
        <v>0.13897399999999999</v>
      </c>
      <c r="M82">
        <v>3.3203740000000002</v>
      </c>
      <c r="N82">
        <v>2.5399699999999998</v>
      </c>
      <c r="O82">
        <v>2.4530419999999999</v>
      </c>
      <c r="P82">
        <v>4.7278229999999999</v>
      </c>
      <c r="Q82">
        <v>2.187853</v>
      </c>
      <c r="R82">
        <v>25.765553000000001</v>
      </c>
      <c r="S82">
        <v>26.678605999999998</v>
      </c>
      <c r="T82">
        <v>49.658745000000003</v>
      </c>
      <c r="U82">
        <v>0.44178600000000001</v>
      </c>
      <c r="V82" t="s">
        <v>343</v>
      </c>
      <c r="W82">
        <v>0</v>
      </c>
      <c r="X82">
        <v>0</v>
      </c>
      <c r="Y82">
        <v>0</v>
      </c>
      <c r="Z82">
        <v>101.354958</v>
      </c>
      <c r="AA82">
        <v>356.25473</v>
      </c>
      <c r="AB82">
        <v>0.715499</v>
      </c>
      <c r="AC82">
        <v>0.5</v>
      </c>
      <c r="AD82">
        <v>0.8</v>
      </c>
      <c r="AE82">
        <v>136.25920099999999</v>
      </c>
      <c r="AF82">
        <v>48.36</v>
      </c>
      <c r="AG82">
        <v>46.71</v>
      </c>
      <c r="AH82">
        <v>33.69</v>
      </c>
      <c r="AI82">
        <v>31.82</v>
      </c>
      <c r="AJ82">
        <v>95.21</v>
      </c>
      <c r="AK82">
        <v>156.4</v>
      </c>
      <c r="AL82">
        <v>147.1</v>
      </c>
      <c r="AM82">
        <v>5.9</v>
      </c>
      <c r="AN82">
        <v>476</v>
      </c>
      <c r="AO82">
        <v>4.0229999999999997</v>
      </c>
      <c r="AP82" s="3">
        <v>0.5658333333333333</v>
      </c>
      <c r="AQ82" s="1">
        <v>45133</v>
      </c>
      <c r="AR82">
        <v>-0.01</v>
      </c>
      <c r="AS82">
        <v>3.0000000000000001E-3</v>
      </c>
      <c r="AT82">
        <v>1E-3</v>
      </c>
      <c r="AU82">
        <v>2E-3</v>
      </c>
      <c r="AV82">
        <v>0.17299999999999999</v>
      </c>
      <c r="AW82">
        <v>0.309</v>
      </c>
      <c r="AX82">
        <v>-0.57799999999999996</v>
      </c>
      <c r="AY82">
        <v>1</v>
      </c>
      <c r="AZ82">
        <v>150</v>
      </c>
      <c r="BA82">
        <v>5.0000000000000001E-3</v>
      </c>
      <c r="BB82">
        <v>2</v>
      </c>
      <c r="BC82">
        <v>0</v>
      </c>
      <c r="BD82" t="s">
        <v>200</v>
      </c>
      <c r="BE82">
        <v>7000</v>
      </c>
      <c r="BF82">
        <v>500</v>
      </c>
      <c r="BG82">
        <v>5</v>
      </c>
      <c r="BH82">
        <v>2</v>
      </c>
      <c r="BI82">
        <v>300</v>
      </c>
      <c r="BJ82">
        <v>300</v>
      </c>
      <c r="BK82">
        <v>300</v>
      </c>
      <c r="BL82">
        <v>330.38879400000002</v>
      </c>
      <c r="BM82">
        <v>25</v>
      </c>
      <c r="BN82">
        <v>-17.850235000000001</v>
      </c>
      <c r="BO82">
        <v>330.234283</v>
      </c>
      <c r="BP82">
        <v>330.65200800000002</v>
      </c>
      <c r="BQ82">
        <v>-0.41772500000000001</v>
      </c>
      <c r="BR82">
        <v>2.4160349999999999</v>
      </c>
      <c r="BS82">
        <v>2.485598</v>
      </c>
      <c r="BT82">
        <v>1.588158</v>
      </c>
      <c r="BU82">
        <v>0.96963299999999997</v>
      </c>
      <c r="BV82">
        <v>0.193497</v>
      </c>
      <c r="BW82">
        <v>-2.4268999999999999E-2</v>
      </c>
      <c r="BX82">
        <v>0.16258800000000001</v>
      </c>
      <c r="BY82">
        <v>0.52950699999999995</v>
      </c>
      <c r="BZ82">
        <v>101.354958</v>
      </c>
      <c r="CA82">
        <v>3.5300000000000002E-4</v>
      </c>
      <c r="CB82">
        <v>2.3486280000000002</v>
      </c>
      <c r="CC82">
        <v>-5.1E-5</v>
      </c>
      <c r="CD82">
        <v>1</v>
      </c>
      <c r="CE82">
        <v>2.4109430000000001</v>
      </c>
      <c r="CF82">
        <v>-5.7000000000000003E-5</v>
      </c>
      <c r="CG82">
        <v>1</v>
      </c>
      <c r="CH82">
        <v>0.60051900000000002</v>
      </c>
      <c r="CI82">
        <v>0.60216099999999995</v>
      </c>
      <c r="CJ82">
        <v>0.107265</v>
      </c>
      <c r="CK82">
        <v>0</v>
      </c>
      <c r="CL82" t="s">
        <v>343</v>
      </c>
      <c r="CM82" t="s">
        <v>201</v>
      </c>
      <c r="CN82" t="s">
        <v>202</v>
      </c>
      <c r="CO82" t="s">
        <v>203</v>
      </c>
      <c r="CP82" t="s">
        <v>204</v>
      </c>
      <c r="CQ82" t="s">
        <v>205</v>
      </c>
      <c r="CR82" t="s">
        <v>206</v>
      </c>
    </row>
    <row r="83" spans="1:96">
      <c r="A83">
        <v>2</v>
      </c>
      <c r="B83" s="3">
        <v>0.56611111111111112</v>
      </c>
      <c r="C83" s="1">
        <v>45133</v>
      </c>
      <c r="D83" t="s">
        <v>196</v>
      </c>
      <c r="E83" t="s">
        <v>197</v>
      </c>
      <c r="G83">
        <v>2</v>
      </c>
      <c r="J83">
        <v>0.12617900000000001</v>
      </c>
      <c r="K83">
        <v>2.9199579999999998</v>
      </c>
      <c r="L83">
        <v>0.120952</v>
      </c>
      <c r="M83">
        <v>3.033417</v>
      </c>
      <c r="N83">
        <v>2.5646900000000001</v>
      </c>
      <c r="O83">
        <v>2.4853540000000001</v>
      </c>
      <c r="P83">
        <v>4.8592839999999997</v>
      </c>
      <c r="Q83">
        <v>2.294594</v>
      </c>
      <c r="R83">
        <v>26.105362</v>
      </c>
      <c r="S83">
        <v>26.938679</v>
      </c>
      <c r="T83">
        <v>51.040356000000003</v>
      </c>
      <c r="U83">
        <v>0.44178600000000001</v>
      </c>
      <c r="V83" t="s">
        <v>344</v>
      </c>
      <c r="W83">
        <v>0</v>
      </c>
      <c r="X83">
        <v>0</v>
      </c>
      <c r="Y83">
        <v>0</v>
      </c>
      <c r="Z83">
        <v>91.481566999999998</v>
      </c>
      <c r="AA83">
        <v>331.075378</v>
      </c>
      <c r="AB83">
        <v>0.72368399999999999</v>
      </c>
      <c r="AC83">
        <v>0.5</v>
      </c>
      <c r="AD83">
        <v>0.8</v>
      </c>
      <c r="AE83">
        <v>118.33427399999999</v>
      </c>
      <c r="AF83">
        <v>48.83</v>
      </c>
      <c r="AG83">
        <v>47.32</v>
      </c>
      <c r="AH83">
        <v>33.69</v>
      </c>
      <c r="AI83">
        <v>32.31</v>
      </c>
      <c r="AJ83">
        <v>95.2</v>
      </c>
      <c r="AK83">
        <v>156.5</v>
      </c>
      <c r="AL83">
        <v>147.1</v>
      </c>
      <c r="AM83">
        <v>6</v>
      </c>
      <c r="AN83">
        <v>409</v>
      </c>
      <c r="AO83">
        <v>4.0220000000000002</v>
      </c>
      <c r="AP83" s="3">
        <v>0.5658333333333333</v>
      </c>
      <c r="AQ83" s="1">
        <v>45133</v>
      </c>
      <c r="AR83">
        <v>-0.01</v>
      </c>
      <c r="AS83">
        <v>3.0000000000000001E-3</v>
      </c>
      <c r="AT83">
        <v>5.0000000000000001E-3</v>
      </c>
      <c r="AU83">
        <v>1.4999999999999999E-2</v>
      </c>
      <c r="AV83">
        <v>0.34899999999999998</v>
      </c>
      <c r="AW83">
        <v>0.73199999999999998</v>
      </c>
      <c r="AX83">
        <v>0.70599999999999996</v>
      </c>
      <c r="AY83">
        <v>1</v>
      </c>
      <c r="AZ83">
        <v>150</v>
      </c>
      <c r="BA83">
        <v>5.0000000000000001E-3</v>
      </c>
      <c r="BB83">
        <v>2</v>
      </c>
      <c r="BC83">
        <v>0</v>
      </c>
      <c r="BD83" t="s">
        <v>200</v>
      </c>
      <c r="BE83">
        <v>7000</v>
      </c>
      <c r="BF83">
        <v>500</v>
      </c>
      <c r="BG83">
        <v>5</v>
      </c>
      <c r="BH83">
        <v>2</v>
      </c>
      <c r="BI83">
        <v>300</v>
      </c>
      <c r="BJ83">
        <v>300</v>
      </c>
      <c r="BK83">
        <v>300</v>
      </c>
      <c r="BL83">
        <v>303.71939099999997</v>
      </c>
      <c r="BM83">
        <v>25</v>
      </c>
      <c r="BN83">
        <v>-18.936346</v>
      </c>
      <c r="BO83">
        <v>304.78729199999998</v>
      </c>
      <c r="BP83">
        <v>303.91482500000001</v>
      </c>
      <c r="BQ83">
        <v>0.87246699999999999</v>
      </c>
      <c r="BR83">
        <v>2.4168069999999999</v>
      </c>
      <c r="BS83">
        <v>2.4862289999999998</v>
      </c>
      <c r="BT83">
        <v>1.5890470000000001</v>
      </c>
      <c r="BU83">
        <v>0.96958</v>
      </c>
      <c r="BV83">
        <v>0.193493</v>
      </c>
      <c r="BW83">
        <v>-1.8099000000000001E-2</v>
      </c>
      <c r="BX83">
        <v>0.16464000000000001</v>
      </c>
      <c r="BY83">
        <v>0.46981400000000001</v>
      </c>
      <c r="BZ83">
        <v>91.481566999999998</v>
      </c>
      <c r="CA83">
        <v>3.5799999999999997E-4</v>
      </c>
      <c r="CB83">
        <v>2.3486280000000002</v>
      </c>
      <c r="CC83">
        <v>-5.1E-5</v>
      </c>
      <c r="CD83">
        <v>1</v>
      </c>
      <c r="CE83">
        <v>2.4109430000000001</v>
      </c>
      <c r="CF83">
        <v>-5.7000000000000003E-5</v>
      </c>
      <c r="CG83">
        <v>1</v>
      </c>
      <c r="CH83">
        <v>0.60051900000000002</v>
      </c>
      <c r="CI83">
        <v>0.60216099999999995</v>
      </c>
      <c r="CJ83">
        <v>0.107265</v>
      </c>
      <c r="CK83">
        <v>0</v>
      </c>
      <c r="CL83" t="s">
        <v>344</v>
      </c>
      <c r="CM83" t="s">
        <v>201</v>
      </c>
      <c r="CN83" t="s">
        <v>202</v>
      </c>
      <c r="CO83" t="s">
        <v>203</v>
      </c>
      <c r="CP83" t="s">
        <v>204</v>
      </c>
      <c r="CQ83" t="s">
        <v>205</v>
      </c>
      <c r="CR83" t="s">
        <v>206</v>
      </c>
    </row>
    <row r="84" spans="1:96">
      <c r="A84">
        <v>3</v>
      </c>
      <c r="B84" s="3">
        <v>0.56623842592592599</v>
      </c>
      <c r="C84" s="1">
        <v>45133</v>
      </c>
      <c r="D84" t="s">
        <v>196</v>
      </c>
      <c r="E84" t="s">
        <v>197</v>
      </c>
      <c r="G84">
        <v>3</v>
      </c>
      <c r="J84">
        <v>0.13314000000000001</v>
      </c>
      <c r="K84">
        <v>2.9195720000000001</v>
      </c>
      <c r="L84">
        <v>0.127333</v>
      </c>
      <c r="M84">
        <v>3.0185789999999999</v>
      </c>
      <c r="N84">
        <v>2.5453100000000002</v>
      </c>
      <c r="O84">
        <v>2.466316</v>
      </c>
      <c r="P84">
        <v>4.7163219999999999</v>
      </c>
      <c r="Q84">
        <v>2.1710120000000002</v>
      </c>
      <c r="R84">
        <v>25.903760999999999</v>
      </c>
      <c r="S84">
        <v>26.733431</v>
      </c>
      <c r="T84">
        <v>49.535606000000001</v>
      </c>
      <c r="U84">
        <v>0.44178600000000001</v>
      </c>
      <c r="V84" t="s">
        <v>345</v>
      </c>
      <c r="W84">
        <v>0</v>
      </c>
      <c r="X84">
        <v>0</v>
      </c>
      <c r="Y84">
        <v>0</v>
      </c>
      <c r="Z84">
        <v>89.275718999999995</v>
      </c>
      <c r="AA84">
        <v>316.63504</v>
      </c>
      <c r="AB84">
        <v>0.71804900000000005</v>
      </c>
      <c r="AC84">
        <v>0.5</v>
      </c>
      <c r="AD84">
        <v>0.8</v>
      </c>
      <c r="AE84">
        <v>124.543251</v>
      </c>
      <c r="AF84">
        <v>48.48</v>
      </c>
      <c r="AG84">
        <v>46.98</v>
      </c>
      <c r="AH84">
        <v>33.68</v>
      </c>
      <c r="AI84">
        <v>31.78</v>
      </c>
      <c r="AJ84">
        <v>95.21</v>
      </c>
      <c r="AK84">
        <v>156.4</v>
      </c>
      <c r="AL84">
        <v>146.9</v>
      </c>
      <c r="AM84">
        <v>6.1</v>
      </c>
      <c r="AN84">
        <v>434</v>
      </c>
      <c r="AO84">
        <v>4.0220000000000002</v>
      </c>
      <c r="AP84" s="3">
        <v>0.5658333333333333</v>
      </c>
      <c r="AQ84" s="1">
        <v>45133</v>
      </c>
      <c r="AR84">
        <v>-0.01</v>
      </c>
      <c r="AS84">
        <v>7.0000000000000001E-3</v>
      </c>
      <c r="AT84">
        <v>3.0000000000000001E-3</v>
      </c>
      <c r="AU84">
        <v>-9999</v>
      </c>
      <c r="AV84">
        <v>-0.14299999999999999</v>
      </c>
      <c r="AW84">
        <v>-0.311</v>
      </c>
      <c r="AX84">
        <v>-9999</v>
      </c>
      <c r="AY84">
        <v>1</v>
      </c>
      <c r="AZ84">
        <v>150</v>
      </c>
      <c r="BA84">
        <v>5.0000000000000001E-3</v>
      </c>
      <c r="BB84">
        <v>2</v>
      </c>
      <c r="BC84">
        <v>0</v>
      </c>
      <c r="BD84" t="s">
        <v>200</v>
      </c>
      <c r="BE84">
        <v>7000</v>
      </c>
      <c r="BF84">
        <v>500</v>
      </c>
      <c r="BG84">
        <v>5</v>
      </c>
      <c r="BH84">
        <v>2</v>
      </c>
      <c r="BI84">
        <v>300</v>
      </c>
      <c r="BJ84">
        <v>300</v>
      </c>
      <c r="BK84">
        <v>300</v>
      </c>
      <c r="BL84">
        <v>284.67572000000001</v>
      </c>
      <c r="BM84">
        <v>25</v>
      </c>
      <c r="BN84">
        <v>-23.289843000000001</v>
      </c>
      <c r="BO84">
        <v>283.29418900000002</v>
      </c>
      <c r="BP84">
        <v>283.230255</v>
      </c>
      <c r="BQ84">
        <v>6.3934000000000005E-2</v>
      </c>
      <c r="BR84">
        <v>2.4163790000000001</v>
      </c>
      <c r="BS84">
        <v>2.4857629999999999</v>
      </c>
      <c r="BT84">
        <v>1.5886739999999999</v>
      </c>
      <c r="BU84">
        <v>0.96889899999999995</v>
      </c>
      <c r="BV84">
        <v>0.193552</v>
      </c>
      <c r="BW84">
        <v>-2.4719000000000001E-2</v>
      </c>
      <c r="BX84">
        <v>0.16612499999999999</v>
      </c>
      <c r="BY84">
        <v>0.49183100000000002</v>
      </c>
      <c r="BZ84">
        <v>89.275718999999995</v>
      </c>
      <c r="CA84">
        <v>3.5100000000000002E-4</v>
      </c>
      <c r="CB84">
        <v>2.3486280000000002</v>
      </c>
      <c r="CC84">
        <v>-5.1E-5</v>
      </c>
      <c r="CD84">
        <v>1</v>
      </c>
      <c r="CE84">
        <v>2.4109430000000001</v>
      </c>
      <c r="CF84">
        <v>-5.7000000000000003E-5</v>
      </c>
      <c r="CG84">
        <v>1</v>
      </c>
      <c r="CH84">
        <v>0.60051900000000002</v>
      </c>
      <c r="CI84">
        <v>0.60216099999999995</v>
      </c>
      <c r="CJ84">
        <v>0.107265</v>
      </c>
      <c r="CK84">
        <v>0</v>
      </c>
      <c r="CL84" t="s">
        <v>345</v>
      </c>
      <c r="CM84" t="s">
        <v>201</v>
      </c>
      <c r="CN84" t="s">
        <v>202</v>
      </c>
      <c r="CO84" t="s">
        <v>203</v>
      </c>
      <c r="CP84" t="s">
        <v>204</v>
      </c>
      <c r="CQ84" t="s">
        <v>205</v>
      </c>
      <c r="CR84" t="s">
        <v>206</v>
      </c>
    </row>
    <row r="85" spans="1:96">
      <c r="A85">
        <v>4</v>
      </c>
      <c r="B85" s="3">
        <v>0.56636574074074075</v>
      </c>
      <c r="C85" s="1">
        <v>45133</v>
      </c>
      <c r="D85" t="s">
        <v>196</v>
      </c>
      <c r="E85" t="s">
        <v>197</v>
      </c>
      <c r="G85">
        <v>4</v>
      </c>
      <c r="J85">
        <v>0.108947</v>
      </c>
      <c r="K85">
        <v>2.920283</v>
      </c>
      <c r="L85">
        <v>0.105029</v>
      </c>
      <c r="M85">
        <v>2.5048210000000002</v>
      </c>
      <c r="N85">
        <v>2.441916</v>
      </c>
      <c r="O85">
        <v>2.376331</v>
      </c>
      <c r="P85">
        <v>4.6282839999999998</v>
      </c>
      <c r="Q85">
        <v>2.1863679999999999</v>
      </c>
      <c r="R85">
        <v>24.958639000000002</v>
      </c>
      <c r="S85">
        <v>25.647480000000002</v>
      </c>
      <c r="T85">
        <v>48.610939000000002</v>
      </c>
      <c r="U85">
        <v>0.44178600000000001</v>
      </c>
      <c r="V85" t="s">
        <v>346</v>
      </c>
      <c r="W85">
        <v>0</v>
      </c>
      <c r="X85">
        <v>0</v>
      </c>
      <c r="Y85">
        <v>0</v>
      </c>
      <c r="Z85">
        <v>100.902557</v>
      </c>
      <c r="AA85">
        <v>380.70379600000001</v>
      </c>
      <c r="AB85">
        <v>0.734958</v>
      </c>
      <c r="AC85">
        <v>0.5</v>
      </c>
      <c r="AD85">
        <v>0.8</v>
      </c>
      <c r="AE85">
        <v>105.871605</v>
      </c>
      <c r="AF85">
        <v>46.56</v>
      </c>
      <c r="AG85">
        <v>45.3</v>
      </c>
      <c r="AH85">
        <v>33.67</v>
      </c>
      <c r="AI85">
        <v>31.45</v>
      </c>
      <c r="AJ85">
        <v>95.21</v>
      </c>
      <c r="AK85">
        <v>156.5</v>
      </c>
      <c r="AL85">
        <v>147.1</v>
      </c>
      <c r="AM85">
        <v>6</v>
      </c>
      <c r="AN85">
        <v>360</v>
      </c>
      <c r="AO85">
        <v>4.0199999999999996</v>
      </c>
      <c r="AP85" s="3">
        <v>0.5658333333333333</v>
      </c>
      <c r="AQ85" s="1">
        <v>45133</v>
      </c>
      <c r="AR85">
        <v>-0.01</v>
      </c>
      <c r="AS85">
        <v>2E-3</v>
      </c>
      <c r="AT85">
        <v>2E-3</v>
      </c>
      <c r="AU85">
        <v>-9999</v>
      </c>
      <c r="AV85">
        <v>1.5229999999999999</v>
      </c>
      <c r="AW85">
        <v>3.5590000000000002</v>
      </c>
      <c r="AX85">
        <v>-9999</v>
      </c>
      <c r="AY85">
        <v>1</v>
      </c>
      <c r="AZ85">
        <v>150</v>
      </c>
      <c r="BA85">
        <v>5.0000000000000001E-3</v>
      </c>
      <c r="BB85">
        <v>2</v>
      </c>
      <c r="BC85">
        <v>0</v>
      </c>
      <c r="BD85" t="s">
        <v>200</v>
      </c>
      <c r="BE85">
        <v>7000</v>
      </c>
      <c r="BF85">
        <v>500</v>
      </c>
      <c r="BG85">
        <v>5</v>
      </c>
      <c r="BH85">
        <v>2</v>
      </c>
      <c r="BI85">
        <v>300</v>
      </c>
      <c r="BJ85">
        <v>300</v>
      </c>
      <c r="BK85">
        <v>300</v>
      </c>
      <c r="BL85">
        <v>362.73550399999999</v>
      </c>
      <c r="BM85">
        <v>25</v>
      </c>
      <c r="BN85">
        <v>-12.385286000000001</v>
      </c>
      <c r="BO85">
        <v>363.89993299999998</v>
      </c>
      <c r="BP85">
        <v>362.93948399999999</v>
      </c>
      <c r="BQ85">
        <v>0.960449</v>
      </c>
      <c r="BR85">
        <v>2.414272</v>
      </c>
      <c r="BS85">
        <v>2.4831629999999998</v>
      </c>
      <c r="BT85">
        <v>1.5893630000000001</v>
      </c>
      <c r="BU85">
        <v>0.96953999999999996</v>
      </c>
      <c r="BV85">
        <v>0.19367100000000001</v>
      </c>
      <c r="BW85">
        <v>-2.8726000000000002E-2</v>
      </c>
      <c r="BX85">
        <v>0.167409</v>
      </c>
      <c r="BY85">
        <v>0.42665500000000001</v>
      </c>
      <c r="BZ85">
        <v>100.902557</v>
      </c>
      <c r="CA85">
        <v>3.5599999999999998E-4</v>
      </c>
      <c r="CB85">
        <v>2.3486280000000002</v>
      </c>
      <c r="CC85">
        <v>-5.1E-5</v>
      </c>
      <c r="CD85">
        <v>1</v>
      </c>
      <c r="CE85">
        <v>2.4109430000000001</v>
      </c>
      <c r="CF85">
        <v>-5.7000000000000003E-5</v>
      </c>
      <c r="CG85">
        <v>1</v>
      </c>
      <c r="CH85">
        <v>0.60051900000000002</v>
      </c>
      <c r="CI85">
        <v>0.60216099999999995</v>
      </c>
      <c r="CJ85">
        <v>0.107265</v>
      </c>
      <c r="CK85">
        <v>0</v>
      </c>
      <c r="CL85" t="s">
        <v>346</v>
      </c>
      <c r="CM85" t="s">
        <v>201</v>
      </c>
      <c r="CN85" t="s">
        <v>202</v>
      </c>
      <c r="CO85" t="s">
        <v>203</v>
      </c>
      <c r="CP85" t="s">
        <v>204</v>
      </c>
      <c r="CQ85" t="s">
        <v>205</v>
      </c>
      <c r="CR85" t="s">
        <v>206</v>
      </c>
    </row>
    <row r="86" spans="1:96">
      <c r="A86">
        <v>1</v>
      </c>
      <c r="B86" s="3">
        <v>0.57143518518518521</v>
      </c>
      <c r="C86" s="1">
        <v>45133</v>
      </c>
      <c r="D86" t="s">
        <v>196</v>
      </c>
      <c r="E86" t="s">
        <v>197</v>
      </c>
      <c r="G86">
        <v>1</v>
      </c>
      <c r="J86">
        <v>0.26864900000000003</v>
      </c>
      <c r="K86">
        <v>2.9188390000000002</v>
      </c>
      <c r="L86">
        <v>0.246006</v>
      </c>
      <c r="M86">
        <v>5.6739410000000001</v>
      </c>
      <c r="N86">
        <v>2.646938</v>
      </c>
      <c r="O86">
        <v>2.498481</v>
      </c>
      <c r="P86">
        <v>4.7582610000000001</v>
      </c>
      <c r="Q86">
        <v>2.1113230000000001</v>
      </c>
      <c r="R86">
        <v>26.232489000000001</v>
      </c>
      <c r="S86">
        <v>27.791202999999999</v>
      </c>
      <c r="T86">
        <v>49.958778000000002</v>
      </c>
      <c r="U86">
        <v>0.44178600000000001</v>
      </c>
      <c r="V86" t="s">
        <v>347</v>
      </c>
      <c r="W86">
        <v>0</v>
      </c>
      <c r="X86">
        <v>0</v>
      </c>
      <c r="Y86">
        <v>0</v>
      </c>
      <c r="Z86">
        <v>89.921233999999998</v>
      </c>
      <c r="AA86">
        <v>312.82336400000003</v>
      </c>
      <c r="AB86">
        <v>0.71255000000000002</v>
      </c>
      <c r="AC86">
        <v>0.5</v>
      </c>
      <c r="AD86">
        <v>0.8</v>
      </c>
      <c r="AE86">
        <v>127.697266</v>
      </c>
      <c r="AF86">
        <v>50.87</v>
      </c>
      <c r="AG86">
        <v>48.02</v>
      </c>
      <c r="AH86">
        <v>33.53</v>
      </c>
      <c r="AI86">
        <v>31.94</v>
      </c>
      <c r="AJ86">
        <v>95.24</v>
      </c>
      <c r="AK86">
        <v>156.30000000000001</v>
      </c>
      <c r="AL86">
        <v>147.4</v>
      </c>
      <c r="AM86">
        <v>5.7</v>
      </c>
      <c r="AN86">
        <v>448</v>
      </c>
      <c r="AO86">
        <v>4.0220000000000002</v>
      </c>
      <c r="AP86" s="3">
        <v>0.57130787037037034</v>
      </c>
      <c r="AQ86" s="1">
        <v>45133</v>
      </c>
      <c r="AR86">
        <v>-0.03</v>
      </c>
      <c r="AS86">
        <v>0</v>
      </c>
      <c r="AT86">
        <v>-4.0000000000000001E-3</v>
      </c>
      <c r="AU86">
        <v>1.2999999999999999E-2</v>
      </c>
      <c r="AV86">
        <v>-4.9000000000000002E-2</v>
      </c>
      <c r="AW86">
        <v>0.16900000000000001</v>
      </c>
      <c r="AX86">
        <v>0.14799999999999999</v>
      </c>
      <c r="AY86">
        <v>1</v>
      </c>
      <c r="AZ86">
        <v>150</v>
      </c>
      <c r="BA86">
        <v>5.0000000000000001E-3</v>
      </c>
      <c r="BB86">
        <v>2</v>
      </c>
      <c r="BC86">
        <v>0</v>
      </c>
      <c r="BD86" t="s">
        <v>200</v>
      </c>
      <c r="BE86">
        <v>7000</v>
      </c>
      <c r="BF86">
        <v>500</v>
      </c>
      <c r="BG86">
        <v>5</v>
      </c>
      <c r="BH86">
        <v>2</v>
      </c>
      <c r="BI86">
        <v>300</v>
      </c>
      <c r="BJ86">
        <v>300</v>
      </c>
      <c r="BK86">
        <v>300</v>
      </c>
      <c r="BL86">
        <v>281.07763699999998</v>
      </c>
      <c r="BM86">
        <v>25</v>
      </c>
      <c r="BN86">
        <v>-22.368458</v>
      </c>
      <c r="BO86">
        <v>281.00036599999999</v>
      </c>
      <c r="BP86">
        <v>280.74011200000001</v>
      </c>
      <c r="BQ86">
        <v>0.26025399999999999</v>
      </c>
      <c r="BR86">
        <v>2.4177200000000001</v>
      </c>
      <c r="BS86">
        <v>2.4890349999999999</v>
      </c>
      <c r="BT86">
        <v>1.5879639999999999</v>
      </c>
      <c r="BU86">
        <v>0.97058199999999994</v>
      </c>
      <c r="BV86">
        <v>0.19476199999999999</v>
      </c>
      <c r="BW86">
        <v>-2.0666E-2</v>
      </c>
      <c r="BX86">
        <v>0.18255299999999999</v>
      </c>
      <c r="BY86">
        <v>0.50461299999999998</v>
      </c>
      <c r="BZ86">
        <v>89.921233999999998</v>
      </c>
      <c r="CA86">
        <v>3.5199999999999999E-4</v>
      </c>
      <c r="CB86">
        <v>2.3486280000000002</v>
      </c>
      <c r="CC86">
        <v>-5.1E-5</v>
      </c>
      <c r="CD86">
        <v>1</v>
      </c>
      <c r="CE86">
        <v>2.4109430000000001</v>
      </c>
      <c r="CF86">
        <v>-5.7000000000000003E-5</v>
      </c>
      <c r="CG86">
        <v>1</v>
      </c>
      <c r="CH86">
        <v>0.60051900000000002</v>
      </c>
      <c r="CI86">
        <v>0.60216099999999995</v>
      </c>
      <c r="CJ86">
        <v>0.107265</v>
      </c>
      <c r="CK86">
        <v>0</v>
      </c>
      <c r="CL86" t="s">
        <v>347</v>
      </c>
      <c r="CM86" t="s">
        <v>201</v>
      </c>
      <c r="CN86" t="s">
        <v>202</v>
      </c>
      <c r="CO86" t="s">
        <v>203</v>
      </c>
      <c r="CP86" t="s">
        <v>204</v>
      </c>
      <c r="CQ86" t="s">
        <v>205</v>
      </c>
      <c r="CR86" t="s">
        <v>206</v>
      </c>
    </row>
    <row r="87" spans="1:96">
      <c r="A87">
        <v>2</v>
      </c>
      <c r="B87" s="3">
        <v>0.57156249999999997</v>
      </c>
      <c r="C87" s="1">
        <v>45133</v>
      </c>
      <c r="D87" t="s">
        <v>196</v>
      </c>
      <c r="E87" t="s">
        <v>197</v>
      </c>
      <c r="G87">
        <v>2</v>
      </c>
      <c r="J87">
        <v>0.225082</v>
      </c>
      <c r="K87">
        <v>2.9178220000000001</v>
      </c>
      <c r="L87">
        <v>0.20896200000000001</v>
      </c>
      <c r="M87">
        <v>4.9260950000000001</v>
      </c>
      <c r="N87">
        <v>2.5703849999999999</v>
      </c>
      <c r="O87">
        <v>2.4412829999999999</v>
      </c>
      <c r="P87">
        <v>4.729641</v>
      </c>
      <c r="Q87">
        <v>2.1592560000000001</v>
      </c>
      <c r="R87">
        <v>25.631754000000001</v>
      </c>
      <c r="S87">
        <v>26.987228000000002</v>
      </c>
      <c r="T87">
        <v>49.657898000000003</v>
      </c>
      <c r="U87">
        <v>0.44178600000000001</v>
      </c>
      <c r="V87" t="s">
        <v>348</v>
      </c>
      <c r="W87">
        <v>0</v>
      </c>
      <c r="X87">
        <v>0</v>
      </c>
      <c r="Y87">
        <v>0</v>
      </c>
      <c r="Z87">
        <v>89.327933999999999</v>
      </c>
      <c r="AA87">
        <v>325.10247800000002</v>
      </c>
      <c r="AB87">
        <v>0.72523099999999996</v>
      </c>
      <c r="AC87">
        <v>0.5</v>
      </c>
      <c r="AD87">
        <v>0.8</v>
      </c>
      <c r="AE87">
        <v>133.391266</v>
      </c>
      <c r="AF87">
        <v>49.38</v>
      </c>
      <c r="AG87">
        <v>46.9</v>
      </c>
      <c r="AH87">
        <v>33.53</v>
      </c>
      <c r="AI87">
        <v>31.83</v>
      </c>
      <c r="AJ87">
        <v>95.24</v>
      </c>
      <c r="AK87">
        <v>156.19999999999999</v>
      </c>
      <c r="AL87">
        <v>147.1</v>
      </c>
      <c r="AM87">
        <v>5.8</v>
      </c>
      <c r="AN87">
        <v>460</v>
      </c>
      <c r="AO87">
        <v>4.0209999999999999</v>
      </c>
      <c r="AP87" s="3">
        <v>0.57130787037037034</v>
      </c>
      <c r="AQ87" s="1">
        <v>45133</v>
      </c>
      <c r="AR87">
        <v>-0.03</v>
      </c>
      <c r="AS87">
        <v>3.0000000000000001E-3</v>
      </c>
      <c r="AT87">
        <v>4.0000000000000001E-3</v>
      </c>
      <c r="AU87">
        <v>1.0999999999999999E-2</v>
      </c>
      <c r="AV87">
        <v>0.42799999999999999</v>
      </c>
      <c r="AW87">
        <v>0.24399999999999999</v>
      </c>
      <c r="AX87">
        <v>0.06</v>
      </c>
      <c r="AY87">
        <v>1</v>
      </c>
      <c r="AZ87">
        <v>150</v>
      </c>
      <c r="BA87">
        <v>5.0000000000000001E-3</v>
      </c>
      <c r="BB87">
        <v>2</v>
      </c>
      <c r="BC87">
        <v>0</v>
      </c>
      <c r="BD87" t="s">
        <v>200</v>
      </c>
      <c r="BE87">
        <v>7000</v>
      </c>
      <c r="BF87">
        <v>500</v>
      </c>
      <c r="BG87">
        <v>5</v>
      </c>
      <c r="BH87">
        <v>2</v>
      </c>
      <c r="BI87">
        <v>300</v>
      </c>
      <c r="BJ87">
        <v>300</v>
      </c>
      <c r="BK87">
        <v>300</v>
      </c>
      <c r="BL87">
        <v>295.71853599999997</v>
      </c>
      <c r="BM87">
        <v>25</v>
      </c>
      <c r="BN87">
        <v>-21.246143</v>
      </c>
      <c r="BO87">
        <v>296.820404</v>
      </c>
      <c r="BP87">
        <v>294.62896699999999</v>
      </c>
      <c r="BQ87">
        <v>2.1914370000000001</v>
      </c>
      <c r="BR87">
        <v>2.4163169999999998</v>
      </c>
      <c r="BS87">
        <v>2.4870359999999998</v>
      </c>
      <c r="BT87">
        <v>1.5869819999999999</v>
      </c>
      <c r="BU87">
        <v>0.96976099999999998</v>
      </c>
      <c r="BV87">
        <v>0.194715</v>
      </c>
      <c r="BW87">
        <v>-2.2100000000000002E-2</v>
      </c>
      <c r="BX87">
        <v>0.18415899999999999</v>
      </c>
      <c r="BY87">
        <v>0.515073</v>
      </c>
      <c r="BZ87">
        <v>89.327933999999999</v>
      </c>
      <c r="CA87">
        <v>3.4900000000000003E-4</v>
      </c>
      <c r="CB87">
        <v>2.3486280000000002</v>
      </c>
      <c r="CC87">
        <v>-5.1E-5</v>
      </c>
      <c r="CD87">
        <v>1</v>
      </c>
      <c r="CE87">
        <v>2.4109430000000001</v>
      </c>
      <c r="CF87">
        <v>-5.7000000000000003E-5</v>
      </c>
      <c r="CG87">
        <v>1</v>
      </c>
      <c r="CH87">
        <v>0.60051900000000002</v>
      </c>
      <c r="CI87">
        <v>0.60216099999999995</v>
      </c>
      <c r="CJ87">
        <v>0.107265</v>
      </c>
      <c r="CK87">
        <v>0</v>
      </c>
      <c r="CL87" t="s">
        <v>348</v>
      </c>
      <c r="CM87" t="s">
        <v>201</v>
      </c>
      <c r="CN87" t="s">
        <v>202</v>
      </c>
      <c r="CO87" t="s">
        <v>203</v>
      </c>
      <c r="CP87" t="s">
        <v>204</v>
      </c>
      <c r="CQ87" t="s">
        <v>205</v>
      </c>
      <c r="CR87" t="s">
        <v>206</v>
      </c>
    </row>
    <row r="88" spans="1:96">
      <c r="A88">
        <v>3</v>
      </c>
      <c r="B88" s="3">
        <v>0.57174768518518515</v>
      </c>
      <c r="C88" s="1">
        <v>45133</v>
      </c>
      <c r="D88" t="s">
        <v>196</v>
      </c>
      <c r="E88" t="s">
        <v>197</v>
      </c>
      <c r="G88">
        <v>3</v>
      </c>
      <c r="J88">
        <v>0.121449</v>
      </c>
      <c r="K88">
        <v>2.9199480000000002</v>
      </c>
      <c r="L88">
        <v>0.11659899999999999</v>
      </c>
      <c r="M88">
        <v>3.4029159999999998</v>
      </c>
      <c r="N88">
        <v>2.5983900000000002</v>
      </c>
      <c r="O88">
        <v>2.509382</v>
      </c>
      <c r="P88">
        <v>5.2634249999999998</v>
      </c>
      <c r="Q88">
        <v>2.665035</v>
      </c>
      <c r="R88">
        <v>26.346045</v>
      </c>
      <c r="S88">
        <v>27.280546000000001</v>
      </c>
      <c r="T88">
        <v>55.260792000000002</v>
      </c>
      <c r="U88">
        <v>0.44178600000000001</v>
      </c>
      <c r="V88" t="s">
        <v>349</v>
      </c>
      <c r="W88">
        <v>0</v>
      </c>
      <c r="X88">
        <v>0</v>
      </c>
      <c r="Y88">
        <v>0</v>
      </c>
      <c r="Z88">
        <v>107.280136</v>
      </c>
      <c r="AA88">
        <v>221.87835699999999</v>
      </c>
      <c r="AB88">
        <v>0.51649100000000003</v>
      </c>
      <c r="AC88">
        <v>0.5</v>
      </c>
      <c r="AD88">
        <v>0.8</v>
      </c>
      <c r="AE88">
        <v>269.99652099999997</v>
      </c>
      <c r="AF88">
        <v>49.92</v>
      </c>
      <c r="AG88">
        <v>48.21</v>
      </c>
      <c r="AH88">
        <v>33.53</v>
      </c>
      <c r="AI88">
        <v>33.729999999999997</v>
      </c>
      <c r="AJ88">
        <v>95.25</v>
      </c>
      <c r="AK88">
        <v>156.5</v>
      </c>
      <c r="AL88">
        <v>147</v>
      </c>
      <c r="AM88">
        <v>6</v>
      </c>
      <c r="AN88">
        <v>1307</v>
      </c>
      <c r="AO88">
        <v>4.0199999999999996</v>
      </c>
      <c r="AP88" s="3">
        <v>0.57130787037037034</v>
      </c>
      <c r="AQ88" s="1">
        <v>45133</v>
      </c>
      <c r="AR88">
        <v>-0.03</v>
      </c>
      <c r="AS88">
        <v>0</v>
      </c>
      <c r="AT88">
        <v>0</v>
      </c>
      <c r="AU88">
        <v>8.9999999999999993E-3</v>
      </c>
      <c r="AV88">
        <v>-2.4089999999999998</v>
      </c>
      <c r="AW88">
        <v>-4.4640000000000004</v>
      </c>
      <c r="AX88">
        <v>-2.395</v>
      </c>
      <c r="AY88">
        <v>1</v>
      </c>
      <c r="AZ88">
        <v>150</v>
      </c>
      <c r="BA88">
        <v>5.0000000000000001E-3</v>
      </c>
      <c r="BB88">
        <v>2</v>
      </c>
      <c r="BC88">
        <v>0</v>
      </c>
      <c r="BD88" t="s">
        <v>200</v>
      </c>
      <c r="BE88">
        <v>7000</v>
      </c>
      <c r="BF88">
        <v>500</v>
      </c>
      <c r="BG88">
        <v>5</v>
      </c>
      <c r="BH88">
        <v>2</v>
      </c>
      <c r="BI88">
        <v>300</v>
      </c>
      <c r="BJ88">
        <v>300</v>
      </c>
      <c r="BK88">
        <v>300</v>
      </c>
      <c r="BL88">
        <v>192.634827</v>
      </c>
      <c r="BM88">
        <v>25</v>
      </c>
      <c r="BN88">
        <v>-21.939444000000002</v>
      </c>
      <c r="BO88">
        <v>184.12184099999999</v>
      </c>
      <c r="BP88">
        <v>190.41044600000001</v>
      </c>
      <c r="BQ88">
        <v>-6.2886050000000004</v>
      </c>
      <c r="BR88">
        <v>2.4179529999999998</v>
      </c>
      <c r="BS88">
        <v>2.4877500000000001</v>
      </c>
      <c r="BT88">
        <v>1.589038</v>
      </c>
      <c r="BU88">
        <v>0.96941600000000006</v>
      </c>
      <c r="BV88">
        <v>0.19469900000000001</v>
      </c>
      <c r="BW88">
        <v>2.2699999999999999E-3</v>
      </c>
      <c r="BX88">
        <v>0.18625800000000001</v>
      </c>
      <c r="BY88">
        <v>1.2663089999999999</v>
      </c>
      <c r="BZ88">
        <v>107.280136</v>
      </c>
      <c r="CA88">
        <v>3.4400000000000001E-4</v>
      </c>
      <c r="CB88">
        <v>2.3486280000000002</v>
      </c>
      <c r="CC88">
        <v>-5.1E-5</v>
      </c>
      <c r="CD88">
        <v>1</v>
      </c>
      <c r="CE88">
        <v>2.4109430000000001</v>
      </c>
      <c r="CF88">
        <v>-5.7000000000000003E-5</v>
      </c>
      <c r="CG88">
        <v>1</v>
      </c>
      <c r="CH88">
        <v>0.60051900000000002</v>
      </c>
      <c r="CI88">
        <v>0.60216099999999995</v>
      </c>
      <c r="CJ88">
        <v>0.107265</v>
      </c>
      <c r="CK88">
        <v>0</v>
      </c>
      <c r="CL88" t="s">
        <v>349</v>
      </c>
      <c r="CM88" t="s">
        <v>201</v>
      </c>
      <c r="CN88" t="s">
        <v>202</v>
      </c>
      <c r="CO88" t="s">
        <v>203</v>
      </c>
      <c r="CP88" t="s">
        <v>204</v>
      </c>
      <c r="CQ88" t="s">
        <v>205</v>
      </c>
      <c r="CR88" t="s">
        <v>206</v>
      </c>
    </row>
    <row r="89" spans="1:96">
      <c r="A89">
        <v>4</v>
      </c>
      <c r="B89" s="3">
        <v>0.5718981481481481</v>
      </c>
      <c r="C89" s="1">
        <v>45133</v>
      </c>
      <c r="D89" t="s">
        <v>196</v>
      </c>
      <c r="E89" t="s">
        <v>197</v>
      </c>
      <c r="G89">
        <v>4</v>
      </c>
      <c r="J89">
        <v>0.25050299999999998</v>
      </c>
      <c r="K89">
        <v>2.9175239999999998</v>
      </c>
      <c r="L89">
        <v>0.23069600000000001</v>
      </c>
      <c r="M89">
        <v>5.70505</v>
      </c>
      <c r="N89">
        <v>2.6296349999999999</v>
      </c>
      <c r="O89">
        <v>2.4801730000000002</v>
      </c>
      <c r="P89">
        <v>4.8920979999999998</v>
      </c>
      <c r="Q89">
        <v>2.2624629999999999</v>
      </c>
      <c r="R89">
        <v>26.039042999999999</v>
      </c>
      <c r="S89">
        <v>27.608222999999999</v>
      </c>
      <c r="T89">
        <v>51.361548999999997</v>
      </c>
      <c r="U89">
        <v>0.44178600000000001</v>
      </c>
      <c r="V89" t="s">
        <v>350</v>
      </c>
      <c r="W89">
        <v>0</v>
      </c>
      <c r="X89">
        <v>0</v>
      </c>
      <c r="Y89">
        <v>0</v>
      </c>
      <c r="Z89">
        <v>94.424842999999996</v>
      </c>
      <c r="AA89">
        <v>269.33621199999999</v>
      </c>
      <c r="AB89">
        <v>0.64941700000000002</v>
      </c>
      <c r="AC89">
        <v>0.5</v>
      </c>
      <c r="AD89">
        <v>0.8</v>
      </c>
      <c r="AE89">
        <v>161.56582599999999</v>
      </c>
      <c r="AF89">
        <v>50.51</v>
      </c>
      <c r="AG89">
        <v>47.64</v>
      </c>
      <c r="AH89">
        <v>33.54</v>
      </c>
      <c r="AI89">
        <v>32.43</v>
      </c>
      <c r="AJ89">
        <v>95.25</v>
      </c>
      <c r="AK89">
        <v>156.19999999999999</v>
      </c>
      <c r="AL89">
        <v>147.30000000000001</v>
      </c>
      <c r="AM89">
        <v>5.7</v>
      </c>
      <c r="AN89">
        <v>622</v>
      </c>
      <c r="AO89">
        <v>4.0199999999999996</v>
      </c>
      <c r="AP89" s="3">
        <v>0.57130787037037034</v>
      </c>
      <c r="AQ89" s="1">
        <v>45133</v>
      </c>
      <c r="AR89">
        <v>-0.03</v>
      </c>
      <c r="AS89">
        <v>1E-3</v>
      </c>
      <c r="AT89">
        <v>4.0000000000000001E-3</v>
      </c>
      <c r="AU89">
        <v>1E-3</v>
      </c>
      <c r="AV89">
        <v>-0.48099999999999998</v>
      </c>
      <c r="AW89">
        <v>-1.276</v>
      </c>
      <c r="AX89">
        <v>-5.5220000000000002</v>
      </c>
      <c r="AY89">
        <v>1</v>
      </c>
      <c r="AZ89">
        <v>150</v>
      </c>
      <c r="BA89">
        <v>5.0000000000000001E-3</v>
      </c>
      <c r="BB89">
        <v>2</v>
      </c>
      <c r="BC89">
        <v>0</v>
      </c>
      <c r="BD89" t="s">
        <v>200</v>
      </c>
      <c r="BE89">
        <v>7000</v>
      </c>
      <c r="BF89">
        <v>500</v>
      </c>
      <c r="BG89">
        <v>5</v>
      </c>
      <c r="BH89">
        <v>2</v>
      </c>
      <c r="BI89">
        <v>300</v>
      </c>
      <c r="BJ89">
        <v>300</v>
      </c>
      <c r="BK89">
        <v>300</v>
      </c>
      <c r="BL89">
        <v>241.99854999999999</v>
      </c>
      <c r="BM89">
        <v>25</v>
      </c>
      <c r="BN89">
        <v>-19.329156999999999</v>
      </c>
      <c r="BO89">
        <v>241.11485300000001</v>
      </c>
      <c r="BP89">
        <v>241.61225899999999</v>
      </c>
      <c r="BQ89">
        <v>-0.49740600000000001</v>
      </c>
      <c r="BR89">
        <v>2.4172380000000002</v>
      </c>
      <c r="BS89">
        <v>2.4885440000000001</v>
      </c>
      <c r="BT89">
        <v>1.586695</v>
      </c>
      <c r="BU89">
        <v>0.97038199999999997</v>
      </c>
      <c r="BV89">
        <v>0.19467599999999999</v>
      </c>
      <c r="BW89">
        <v>-1.4552000000000001E-2</v>
      </c>
      <c r="BX89">
        <v>0.188023</v>
      </c>
      <c r="BY89">
        <v>0.65887399999999996</v>
      </c>
      <c r="BZ89">
        <v>94.424842999999996</v>
      </c>
      <c r="CA89">
        <v>3.48E-4</v>
      </c>
      <c r="CB89">
        <v>2.3486280000000002</v>
      </c>
      <c r="CC89">
        <v>-5.1E-5</v>
      </c>
      <c r="CD89">
        <v>1</v>
      </c>
      <c r="CE89">
        <v>2.4109430000000001</v>
      </c>
      <c r="CF89">
        <v>-5.7000000000000003E-5</v>
      </c>
      <c r="CG89">
        <v>1</v>
      </c>
      <c r="CH89">
        <v>0.60051900000000002</v>
      </c>
      <c r="CI89">
        <v>0.60216099999999995</v>
      </c>
      <c r="CJ89">
        <v>0.107265</v>
      </c>
      <c r="CK89">
        <v>0</v>
      </c>
      <c r="CL89" t="s">
        <v>350</v>
      </c>
      <c r="CM89" t="s">
        <v>201</v>
      </c>
      <c r="CN89" t="s">
        <v>202</v>
      </c>
      <c r="CO89" t="s">
        <v>203</v>
      </c>
      <c r="CP89" t="s">
        <v>204</v>
      </c>
      <c r="CQ89" t="s">
        <v>205</v>
      </c>
      <c r="CR89" t="s">
        <v>206</v>
      </c>
    </row>
    <row r="90" spans="1:96">
      <c r="A90">
        <v>1</v>
      </c>
      <c r="B90" s="3">
        <v>0.57767361111111104</v>
      </c>
      <c r="C90" s="1">
        <v>45133</v>
      </c>
      <c r="D90" t="s">
        <v>196</v>
      </c>
      <c r="E90" t="s">
        <v>197</v>
      </c>
      <c r="G90">
        <v>1</v>
      </c>
      <c r="J90">
        <v>0.40367900000000001</v>
      </c>
      <c r="K90">
        <v>2.9191669999999998</v>
      </c>
      <c r="L90">
        <v>0.35463800000000001</v>
      </c>
      <c r="M90">
        <v>11.363486</v>
      </c>
      <c r="N90">
        <v>2.6841029999999999</v>
      </c>
      <c r="O90">
        <v>2.3870469999999999</v>
      </c>
      <c r="P90">
        <v>5.6024779999999996</v>
      </c>
      <c r="Q90">
        <v>2.9183750000000002</v>
      </c>
      <c r="R90">
        <v>25.068363000000002</v>
      </c>
      <c r="S90">
        <v>28.187994</v>
      </c>
      <c r="T90">
        <v>58.836272999999998</v>
      </c>
      <c r="U90">
        <v>0.44178600000000001</v>
      </c>
      <c r="V90" t="s">
        <v>351</v>
      </c>
      <c r="W90">
        <v>0</v>
      </c>
      <c r="X90">
        <v>0</v>
      </c>
      <c r="Y90">
        <v>0</v>
      </c>
      <c r="Z90">
        <v>138.37086500000001</v>
      </c>
      <c r="AA90">
        <v>222.245285</v>
      </c>
      <c r="AB90">
        <v>0.37739600000000001</v>
      </c>
      <c r="AC90">
        <v>0.5</v>
      </c>
      <c r="AD90">
        <v>0.8</v>
      </c>
      <c r="AE90">
        <v>317.72854599999999</v>
      </c>
      <c r="AF90">
        <v>51.5</v>
      </c>
      <c r="AG90">
        <v>45.8</v>
      </c>
      <c r="AH90">
        <v>33.56</v>
      </c>
      <c r="AI90">
        <v>34.85</v>
      </c>
      <c r="AJ90">
        <v>95.22</v>
      </c>
      <c r="AK90">
        <v>156.4</v>
      </c>
      <c r="AL90">
        <v>147.5</v>
      </c>
      <c r="AM90">
        <v>5.7</v>
      </c>
      <c r="AN90">
        <v>2105</v>
      </c>
      <c r="AO90">
        <v>4.0199999999999996</v>
      </c>
      <c r="AP90" s="3">
        <v>0.57756944444444447</v>
      </c>
      <c r="AQ90" s="1">
        <v>45133</v>
      </c>
      <c r="AR90">
        <v>-7.0000000000000007E-2</v>
      </c>
      <c r="AS90">
        <v>-7.0000000000000001E-3</v>
      </c>
      <c r="AT90">
        <v>-4.0000000000000001E-3</v>
      </c>
      <c r="AU90">
        <v>2.5000000000000001E-2</v>
      </c>
      <c r="AV90">
        <v>-0.27</v>
      </c>
      <c r="AW90">
        <v>-0.97199999999999998</v>
      </c>
      <c r="AX90">
        <v>-0.81399999999999995</v>
      </c>
      <c r="AY90">
        <v>1</v>
      </c>
      <c r="AZ90">
        <v>150</v>
      </c>
      <c r="BA90">
        <v>5.0000000000000001E-3</v>
      </c>
      <c r="BB90">
        <v>2</v>
      </c>
      <c r="BC90">
        <v>0</v>
      </c>
      <c r="BD90" t="s">
        <v>200</v>
      </c>
      <c r="BE90">
        <v>7000</v>
      </c>
      <c r="BF90">
        <v>500</v>
      </c>
      <c r="BG90">
        <v>5</v>
      </c>
      <c r="BH90">
        <v>2</v>
      </c>
      <c r="BI90">
        <v>300</v>
      </c>
      <c r="BJ90">
        <v>300</v>
      </c>
      <c r="BK90">
        <v>300</v>
      </c>
      <c r="BL90">
        <v>212.49139400000001</v>
      </c>
      <c r="BM90">
        <v>25</v>
      </c>
      <c r="BN90">
        <v>-6.726648</v>
      </c>
      <c r="BO90">
        <v>214.536316</v>
      </c>
      <c r="BP90">
        <v>212.59719799999999</v>
      </c>
      <c r="BQ90">
        <v>1.939117</v>
      </c>
      <c r="BR90">
        <v>2.414917</v>
      </c>
      <c r="BS90">
        <v>2.4899209999999998</v>
      </c>
      <c r="BT90">
        <v>1.588282</v>
      </c>
      <c r="BU90">
        <v>0.97087400000000001</v>
      </c>
      <c r="BV90">
        <v>0.194522</v>
      </c>
      <c r="BW90">
        <v>1.6608000000000001E-2</v>
      </c>
      <c r="BX90">
        <v>0.18732299999999999</v>
      </c>
      <c r="BY90">
        <v>1.9739199999999999</v>
      </c>
      <c r="BZ90">
        <v>138.37086500000001</v>
      </c>
      <c r="CA90">
        <v>3.4400000000000001E-4</v>
      </c>
      <c r="CB90">
        <v>2.3486280000000002</v>
      </c>
      <c r="CC90">
        <v>-5.1E-5</v>
      </c>
      <c r="CD90">
        <v>1</v>
      </c>
      <c r="CE90">
        <v>2.4109430000000001</v>
      </c>
      <c r="CF90">
        <v>-5.7000000000000003E-5</v>
      </c>
      <c r="CG90">
        <v>1</v>
      </c>
      <c r="CH90">
        <v>0.60051900000000002</v>
      </c>
      <c r="CI90">
        <v>0.60216099999999995</v>
      </c>
      <c r="CJ90">
        <v>0.107265</v>
      </c>
      <c r="CK90">
        <v>0</v>
      </c>
      <c r="CL90" t="s">
        <v>351</v>
      </c>
      <c r="CM90" t="s">
        <v>201</v>
      </c>
      <c r="CN90" t="s">
        <v>202</v>
      </c>
      <c r="CO90" t="s">
        <v>203</v>
      </c>
      <c r="CP90" t="s">
        <v>204</v>
      </c>
      <c r="CQ90" t="s">
        <v>205</v>
      </c>
      <c r="CR90" t="s">
        <v>206</v>
      </c>
    </row>
    <row r="91" spans="1:96">
      <c r="A91">
        <v>2</v>
      </c>
      <c r="B91" s="3">
        <v>0.57781249999999995</v>
      </c>
      <c r="C91" s="1">
        <v>45133</v>
      </c>
      <c r="D91" t="s">
        <v>196</v>
      </c>
      <c r="E91" t="s">
        <v>197</v>
      </c>
      <c r="G91">
        <v>2</v>
      </c>
      <c r="J91">
        <v>0.14230400000000001</v>
      </c>
      <c r="K91">
        <v>2.9195739999999999</v>
      </c>
      <c r="L91">
        <v>0.13569000000000001</v>
      </c>
      <c r="M91">
        <v>4.933516</v>
      </c>
      <c r="N91">
        <v>2.6245470000000002</v>
      </c>
      <c r="O91">
        <v>2.4955440000000002</v>
      </c>
      <c r="P91">
        <v>5.9309529999999997</v>
      </c>
      <c r="Q91">
        <v>3.306406</v>
      </c>
      <c r="R91">
        <v>26.209225</v>
      </c>
      <c r="S91">
        <v>27.564062</v>
      </c>
      <c r="T91">
        <v>62.289290999999999</v>
      </c>
      <c r="U91">
        <v>0.44178600000000001</v>
      </c>
      <c r="V91" t="s">
        <v>352</v>
      </c>
      <c r="W91">
        <v>0</v>
      </c>
      <c r="X91">
        <v>0</v>
      </c>
      <c r="Y91">
        <v>0</v>
      </c>
      <c r="Z91">
        <v>358.92568999999997</v>
      </c>
      <c r="AA91">
        <v>423.37350500000002</v>
      </c>
      <c r="AB91">
        <v>0.152224</v>
      </c>
      <c r="AC91">
        <v>0.5</v>
      </c>
      <c r="AD91">
        <v>0.8</v>
      </c>
      <c r="AE91">
        <v>126.397499</v>
      </c>
      <c r="AF91">
        <v>50.25</v>
      </c>
      <c r="AG91">
        <v>47.78</v>
      </c>
      <c r="AH91">
        <v>33.590000000000003</v>
      </c>
      <c r="AI91">
        <v>35.880000000000003</v>
      </c>
      <c r="AJ91">
        <v>95.22</v>
      </c>
      <c r="AK91">
        <v>156.4</v>
      </c>
      <c r="AL91">
        <v>146.69999999999999</v>
      </c>
      <c r="AM91">
        <v>6.2</v>
      </c>
      <c r="AN91">
        <v>2076</v>
      </c>
      <c r="AO91">
        <v>4.0190000000000001</v>
      </c>
      <c r="AP91" s="3">
        <v>0.57756944444444447</v>
      </c>
      <c r="AQ91" s="1">
        <v>45133</v>
      </c>
      <c r="AR91">
        <v>-7.0000000000000007E-2</v>
      </c>
      <c r="AS91">
        <v>1E-3</v>
      </c>
      <c r="AT91">
        <v>-2E-3</v>
      </c>
      <c r="AU91">
        <v>-9999</v>
      </c>
      <c r="AV91">
        <v>-2.097</v>
      </c>
      <c r="AW91">
        <v>-4.2290000000000001</v>
      </c>
      <c r="AX91">
        <v>-9999</v>
      </c>
      <c r="AY91">
        <v>1</v>
      </c>
      <c r="AZ91">
        <v>150</v>
      </c>
      <c r="BA91">
        <v>5.0000000000000001E-3</v>
      </c>
      <c r="BB91">
        <v>2</v>
      </c>
      <c r="BC91">
        <v>0</v>
      </c>
      <c r="BD91" t="s">
        <v>200</v>
      </c>
      <c r="BE91">
        <v>7000</v>
      </c>
      <c r="BF91">
        <v>500</v>
      </c>
      <c r="BG91">
        <v>5</v>
      </c>
      <c r="BH91">
        <v>2</v>
      </c>
      <c r="BI91">
        <v>300</v>
      </c>
      <c r="BJ91">
        <v>300</v>
      </c>
      <c r="BK91">
        <v>300</v>
      </c>
      <c r="BL91">
        <v>415.72882099999998</v>
      </c>
      <c r="BM91">
        <v>25</v>
      </c>
      <c r="BN91">
        <v>-6.25962</v>
      </c>
      <c r="BO91">
        <v>412.78839099999999</v>
      </c>
      <c r="BP91">
        <v>414.39529399999998</v>
      </c>
      <c r="BQ91">
        <v>-1.606903</v>
      </c>
      <c r="BR91">
        <v>2.417411</v>
      </c>
      <c r="BS91">
        <v>2.4882499999999999</v>
      </c>
      <c r="BT91">
        <v>1.588676</v>
      </c>
      <c r="BU91">
        <v>0.96849399999999997</v>
      </c>
      <c r="BV91">
        <v>0.19425700000000001</v>
      </c>
      <c r="BW91">
        <v>2.9783E-2</v>
      </c>
      <c r="BX91">
        <v>0.18906200000000001</v>
      </c>
      <c r="BY91">
        <v>1.948286</v>
      </c>
      <c r="BZ91">
        <v>358.92568999999997</v>
      </c>
      <c r="CA91">
        <v>3.4299999999999999E-4</v>
      </c>
      <c r="CB91">
        <v>2.3486280000000002</v>
      </c>
      <c r="CC91">
        <v>-5.1E-5</v>
      </c>
      <c r="CD91">
        <v>1</v>
      </c>
      <c r="CE91">
        <v>2.4109430000000001</v>
      </c>
      <c r="CF91">
        <v>-5.7000000000000003E-5</v>
      </c>
      <c r="CG91">
        <v>1</v>
      </c>
      <c r="CH91">
        <v>0.60051900000000002</v>
      </c>
      <c r="CI91">
        <v>0.60216099999999995</v>
      </c>
      <c r="CJ91">
        <v>0.107265</v>
      </c>
      <c r="CK91">
        <v>0</v>
      </c>
      <c r="CL91" t="s">
        <v>352</v>
      </c>
      <c r="CM91" t="s">
        <v>201</v>
      </c>
      <c r="CN91" t="s">
        <v>202</v>
      </c>
      <c r="CO91" t="s">
        <v>203</v>
      </c>
      <c r="CP91" t="s">
        <v>204</v>
      </c>
      <c r="CQ91" t="s">
        <v>205</v>
      </c>
      <c r="CR91" t="s">
        <v>206</v>
      </c>
    </row>
    <row r="92" spans="1:96">
      <c r="A92">
        <v>3</v>
      </c>
      <c r="B92" s="3">
        <v>0.57792824074074078</v>
      </c>
      <c r="C92" s="1">
        <v>45133</v>
      </c>
      <c r="D92" t="s">
        <v>196</v>
      </c>
      <c r="E92" t="s">
        <v>197</v>
      </c>
      <c r="G92">
        <v>3</v>
      </c>
      <c r="J92">
        <v>0.33033699999999999</v>
      </c>
      <c r="K92">
        <v>2.9202370000000002</v>
      </c>
      <c r="L92">
        <v>0.296767</v>
      </c>
      <c r="M92">
        <v>10.457853</v>
      </c>
      <c r="N92">
        <v>2.7641399999999998</v>
      </c>
      <c r="O92">
        <v>2.4912550000000002</v>
      </c>
      <c r="P92">
        <v>5.9655180000000003</v>
      </c>
      <c r="Q92">
        <v>3.2013780000000001</v>
      </c>
      <c r="R92">
        <v>26.165413000000001</v>
      </c>
      <c r="S92">
        <v>29.031504000000002</v>
      </c>
      <c r="T92">
        <v>62.655276999999998</v>
      </c>
      <c r="U92">
        <v>0.44178600000000001</v>
      </c>
      <c r="V92" t="s">
        <v>353</v>
      </c>
      <c r="W92">
        <v>0</v>
      </c>
      <c r="X92">
        <v>0</v>
      </c>
      <c r="Y92">
        <v>0</v>
      </c>
      <c r="Z92">
        <v>126.83058200000001</v>
      </c>
      <c r="AA92">
        <v>206.77162200000001</v>
      </c>
      <c r="AB92">
        <v>0.38661499999999999</v>
      </c>
      <c r="AC92">
        <v>0.5</v>
      </c>
      <c r="AD92">
        <v>0.8</v>
      </c>
      <c r="AE92">
        <v>330.32449300000002</v>
      </c>
      <c r="AF92">
        <v>52.85</v>
      </c>
      <c r="AG92">
        <v>47.63</v>
      </c>
      <c r="AH92">
        <v>33.619999999999997</v>
      </c>
      <c r="AI92">
        <v>35.99</v>
      </c>
      <c r="AJ92">
        <v>95.21</v>
      </c>
      <c r="AK92">
        <v>156.5</v>
      </c>
      <c r="AL92">
        <v>147.6</v>
      </c>
      <c r="AM92">
        <v>5.7</v>
      </c>
      <c r="AN92">
        <v>2136</v>
      </c>
      <c r="AO92">
        <v>4.01</v>
      </c>
      <c r="AP92" s="3">
        <v>0.57756944444444447</v>
      </c>
      <c r="AQ92" s="1">
        <v>45133</v>
      </c>
      <c r="AR92">
        <v>-7.0000000000000007E-2</v>
      </c>
      <c r="AS92">
        <v>-1E-3</v>
      </c>
      <c r="AT92">
        <v>0</v>
      </c>
      <c r="AU92">
        <v>3.1E-2</v>
      </c>
      <c r="AV92">
        <v>0.90400000000000003</v>
      </c>
      <c r="AW92">
        <v>2.4390000000000001</v>
      </c>
      <c r="AX92">
        <v>2.956</v>
      </c>
      <c r="AY92">
        <v>1</v>
      </c>
      <c r="AZ92">
        <v>150</v>
      </c>
      <c r="BA92">
        <v>5.0000000000000001E-3</v>
      </c>
      <c r="BB92">
        <v>2</v>
      </c>
      <c r="BC92">
        <v>0</v>
      </c>
      <c r="BD92" t="s">
        <v>200</v>
      </c>
      <c r="BE92">
        <v>7000</v>
      </c>
      <c r="BF92">
        <v>500</v>
      </c>
      <c r="BG92">
        <v>5</v>
      </c>
      <c r="BH92">
        <v>2</v>
      </c>
      <c r="BI92">
        <v>300</v>
      </c>
      <c r="BJ92">
        <v>300</v>
      </c>
      <c r="BK92">
        <v>300</v>
      </c>
      <c r="BL92">
        <v>196.774002</v>
      </c>
      <c r="BM92">
        <v>25</v>
      </c>
      <c r="BN92">
        <v>-6.8388799999999996</v>
      </c>
      <c r="BO92">
        <v>198.90832499999999</v>
      </c>
      <c r="BP92">
        <v>196.96257</v>
      </c>
      <c r="BQ92">
        <v>1.9457549999999999</v>
      </c>
      <c r="BR92">
        <v>2.4172099999999999</v>
      </c>
      <c r="BS92">
        <v>2.491711</v>
      </c>
      <c r="BT92">
        <v>1.589318</v>
      </c>
      <c r="BU92">
        <v>0.97108700000000003</v>
      </c>
      <c r="BV92">
        <v>0.194049</v>
      </c>
      <c r="BW92">
        <v>3.083E-2</v>
      </c>
      <c r="BX92">
        <v>0.19047500000000001</v>
      </c>
      <c r="BY92">
        <v>2.0016430000000001</v>
      </c>
      <c r="BZ92">
        <v>126.83058200000001</v>
      </c>
      <c r="CA92">
        <v>3.4499999999999998E-4</v>
      </c>
      <c r="CB92">
        <v>2.3486280000000002</v>
      </c>
      <c r="CC92">
        <v>-5.1E-5</v>
      </c>
      <c r="CD92">
        <v>1</v>
      </c>
      <c r="CE92">
        <v>2.4109430000000001</v>
      </c>
      <c r="CF92">
        <v>-5.7000000000000003E-5</v>
      </c>
      <c r="CG92">
        <v>1</v>
      </c>
      <c r="CH92">
        <v>0.60051900000000002</v>
      </c>
      <c r="CI92">
        <v>0.60216099999999995</v>
      </c>
      <c r="CJ92">
        <v>0.107265</v>
      </c>
      <c r="CK92">
        <v>0</v>
      </c>
      <c r="CL92" t="s">
        <v>353</v>
      </c>
      <c r="CM92" t="s">
        <v>201</v>
      </c>
      <c r="CN92" t="s">
        <v>202</v>
      </c>
      <c r="CO92" t="s">
        <v>203</v>
      </c>
      <c r="CP92" t="s">
        <v>204</v>
      </c>
      <c r="CQ92" t="s">
        <v>205</v>
      </c>
      <c r="CR92" t="s">
        <v>206</v>
      </c>
    </row>
    <row r="93" spans="1:96">
      <c r="A93">
        <v>4</v>
      </c>
      <c r="B93" s="3">
        <v>0.57803240740740736</v>
      </c>
      <c r="C93" s="1">
        <v>45133</v>
      </c>
      <c r="D93" t="s">
        <v>196</v>
      </c>
      <c r="E93" t="s">
        <v>197</v>
      </c>
      <c r="G93">
        <v>4</v>
      </c>
      <c r="J93">
        <v>0.23405100000000001</v>
      </c>
      <c r="K93">
        <v>2.9188049999999999</v>
      </c>
      <c r="L93">
        <v>0.21667600000000001</v>
      </c>
      <c r="M93">
        <v>7.8559029999999996</v>
      </c>
      <c r="N93">
        <v>2.7334649999999998</v>
      </c>
      <c r="O93">
        <v>2.5281639999999999</v>
      </c>
      <c r="P93">
        <v>6.0268600000000001</v>
      </c>
      <c r="Q93">
        <v>3.293396</v>
      </c>
      <c r="R93">
        <v>26.551812999999999</v>
      </c>
      <c r="S93">
        <v>28.707964</v>
      </c>
      <c r="T93">
        <v>63.296554999999998</v>
      </c>
      <c r="U93">
        <v>0.44178600000000001</v>
      </c>
      <c r="V93" t="s">
        <v>354</v>
      </c>
      <c r="W93">
        <v>0</v>
      </c>
      <c r="X93">
        <v>0</v>
      </c>
      <c r="Y93">
        <v>0</v>
      </c>
      <c r="Z93">
        <v>157.64201399999999</v>
      </c>
      <c r="AA93">
        <v>230.063278</v>
      </c>
      <c r="AB93">
        <v>0.31478800000000001</v>
      </c>
      <c r="AC93">
        <v>0.5</v>
      </c>
      <c r="AD93">
        <v>0.8</v>
      </c>
      <c r="AE93">
        <v>276.43859900000001</v>
      </c>
      <c r="AF93">
        <v>52.19</v>
      </c>
      <c r="AG93">
        <v>48.27</v>
      </c>
      <c r="AH93">
        <v>33.64</v>
      </c>
      <c r="AI93">
        <v>36.18</v>
      </c>
      <c r="AJ93">
        <v>95.22</v>
      </c>
      <c r="AK93">
        <v>156.30000000000001</v>
      </c>
      <c r="AL93">
        <v>147.30000000000001</v>
      </c>
      <c r="AM93">
        <v>5.8</v>
      </c>
      <c r="AN93">
        <v>2195</v>
      </c>
      <c r="AO93">
        <v>4.0190000000000001</v>
      </c>
      <c r="AP93" s="3">
        <v>0.57756944444444447</v>
      </c>
      <c r="AQ93" s="1">
        <v>45133</v>
      </c>
      <c r="AR93">
        <v>-7.0000000000000007E-2</v>
      </c>
      <c r="AS93">
        <v>-2E-3</v>
      </c>
      <c r="AT93">
        <v>-4.0000000000000001E-3</v>
      </c>
      <c r="AU93">
        <v>-9999</v>
      </c>
      <c r="AV93">
        <v>-0.80300000000000005</v>
      </c>
      <c r="AW93">
        <v>-0.20399999999999999</v>
      </c>
      <c r="AX93">
        <v>-9999</v>
      </c>
      <c r="AY93">
        <v>1</v>
      </c>
      <c r="AZ93">
        <v>150</v>
      </c>
      <c r="BA93">
        <v>5.0000000000000001E-3</v>
      </c>
      <c r="BB93">
        <v>2</v>
      </c>
      <c r="BC93">
        <v>0</v>
      </c>
      <c r="BD93" t="s">
        <v>200</v>
      </c>
      <c r="BE93">
        <v>7000</v>
      </c>
      <c r="BF93">
        <v>500</v>
      </c>
      <c r="BG93">
        <v>5</v>
      </c>
      <c r="BH93">
        <v>2</v>
      </c>
      <c r="BI93">
        <v>300</v>
      </c>
      <c r="BJ93">
        <v>300</v>
      </c>
      <c r="BK93">
        <v>300</v>
      </c>
      <c r="BL93">
        <v>220.51370199999999</v>
      </c>
      <c r="BM93">
        <v>25</v>
      </c>
      <c r="BN93">
        <v>-6.5673519999999996</v>
      </c>
      <c r="BO93">
        <v>222.36013800000001</v>
      </c>
      <c r="BP93">
        <v>220.643677</v>
      </c>
      <c r="BQ93">
        <v>1.716461</v>
      </c>
      <c r="BR93">
        <v>2.4180090000000001</v>
      </c>
      <c r="BS93">
        <v>2.4908290000000002</v>
      </c>
      <c r="BT93">
        <v>1.5879319999999999</v>
      </c>
      <c r="BU93">
        <v>0.97037899999999999</v>
      </c>
      <c r="BV93">
        <v>0.19386900000000001</v>
      </c>
      <c r="BW93">
        <v>3.3000000000000002E-2</v>
      </c>
      <c r="BX93">
        <v>0.19164700000000001</v>
      </c>
      <c r="BY93">
        <v>2.0543490000000002</v>
      </c>
      <c r="BZ93">
        <v>157.64201399999999</v>
      </c>
      <c r="CA93">
        <v>3.4499999999999998E-4</v>
      </c>
      <c r="CB93">
        <v>2.3486280000000002</v>
      </c>
      <c r="CC93">
        <v>-5.1E-5</v>
      </c>
      <c r="CD93">
        <v>1</v>
      </c>
      <c r="CE93">
        <v>2.4109430000000001</v>
      </c>
      <c r="CF93">
        <v>-5.7000000000000003E-5</v>
      </c>
      <c r="CG93">
        <v>1</v>
      </c>
      <c r="CH93">
        <v>0.60051900000000002</v>
      </c>
      <c r="CI93">
        <v>0.60216099999999995</v>
      </c>
      <c r="CJ93">
        <v>0.107265</v>
      </c>
      <c r="CK93">
        <v>0</v>
      </c>
      <c r="CL93" t="s">
        <v>354</v>
      </c>
      <c r="CM93" t="s">
        <v>201</v>
      </c>
      <c r="CN93" t="s">
        <v>202</v>
      </c>
      <c r="CO93" t="s">
        <v>203</v>
      </c>
      <c r="CP93" t="s">
        <v>204</v>
      </c>
      <c r="CQ93" t="s">
        <v>205</v>
      </c>
      <c r="CR93" t="s">
        <v>206</v>
      </c>
    </row>
    <row r="94" spans="1:96">
      <c r="A94">
        <v>1</v>
      </c>
      <c r="B94" s="3">
        <v>0.58276620370370369</v>
      </c>
      <c r="C94" s="1">
        <v>45133</v>
      </c>
      <c r="D94" t="s">
        <v>196</v>
      </c>
      <c r="E94" t="s">
        <v>197</v>
      </c>
      <c r="G94">
        <v>1</v>
      </c>
      <c r="J94">
        <v>0.16927200000000001</v>
      </c>
      <c r="K94">
        <v>2.9192040000000001</v>
      </c>
      <c r="L94">
        <v>0.159995</v>
      </c>
      <c r="M94">
        <v>3.8405680000000002</v>
      </c>
      <c r="N94">
        <v>2.5297909999999999</v>
      </c>
      <c r="O94">
        <v>2.4292509999999998</v>
      </c>
      <c r="P94">
        <v>4.7279280000000004</v>
      </c>
      <c r="Q94">
        <v>2.198137</v>
      </c>
      <c r="R94">
        <v>25.516943000000001</v>
      </c>
      <c r="S94">
        <v>26.573018999999999</v>
      </c>
      <c r="T94">
        <v>49.662331000000002</v>
      </c>
      <c r="U94">
        <v>0.44178600000000001</v>
      </c>
      <c r="V94" t="s">
        <v>355</v>
      </c>
      <c r="W94">
        <v>0</v>
      </c>
      <c r="X94">
        <v>0</v>
      </c>
      <c r="Y94">
        <v>0</v>
      </c>
      <c r="Z94">
        <v>102.601646</v>
      </c>
      <c r="AA94">
        <v>362.50585899999999</v>
      </c>
      <c r="AB94">
        <v>0.71696599999999999</v>
      </c>
      <c r="AC94">
        <v>0.5</v>
      </c>
      <c r="AD94">
        <v>0.8</v>
      </c>
      <c r="AE94">
        <v>107.792824</v>
      </c>
      <c r="AF94">
        <v>47.98</v>
      </c>
      <c r="AG94">
        <v>46.08</v>
      </c>
      <c r="AH94">
        <v>33.76</v>
      </c>
      <c r="AI94">
        <v>31.82</v>
      </c>
      <c r="AJ94">
        <v>95.2</v>
      </c>
      <c r="AK94">
        <v>156.4</v>
      </c>
      <c r="AL94">
        <v>147.19999999999999</v>
      </c>
      <c r="AM94">
        <v>5.9</v>
      </c>
      <c r="AN94">
        <v>376</v>
      </c>
      <c r="AO94">
        <v>3.9780000000000002</v>
      </c>
      <c r="AP94" s="3">
        <v>0.5826041666666667</v>
      </c>
      <c r="AQ94" s="1">
        <v>45133</v>
      </c>
      <c r="AR94">
        <v>-7.0000000000000007E-2</v>
      </c>
      <c r="AS94">
        <v>2E-3</v>
      </c>
      <c r="AT94">
        <v>-1E-3</v>
      </c>
      <c r="AU94">
        <v>0.02</v>
      </c>
      <c r="AV94">
        <v>1.3180000000000001</v>
      </c>
      <c r="AW94">
        <v>2.9260000000000002</v>
      </c>
      <c r="AX94">
        <v>4.28</v>
      </c>
      <c r="AY94">
        <v>1</v>
      </c>
      <c r="AZ94">
        <v>150</v>
      </c>
      <c r="BA94">
        <v>5.0000000000000001E-3</v>
      </c>
      <c r="BB94">
        <v>2</v>
      </c>
      <c r="BC94">
        <v>0</v>
      </c>
      <c r="BD94" t="s">
        <v>200</v>
      </c>
      <c r="BE94">
        <v>7000</v>
      </c>
      <c r="BF94">
        <v>500</v>
      </c>
      <c r="BG94">
        <v>5</v>
      </c>
      <c r="BH94">
        <v>2</v>
      </c>
      <c r="BI94">
        <v>300</v>
      </c>
      <c r="BJ94">
        <v>300</v>
      </c>
      <c r="BK94">
        <v>300</v>
      </c>
      <c r="BL94">
        <v>339.75576799999999</v>
      </c>
      <c r="BM94">
        <v>25</v>
      </c>
      <c r="BN94">
        <v>-16.925229999999999</v>
      </c>
      <c r="BO94">
        <v>339.63525399999997</v>
      </c>
      <c r="BP94">
        <v>338.22985799999998</v>
      </c>
      <c r="BQ94">
        <v>1.4053960000000001</v>
      </c>
      <c r="BR94">
        <v>2.4152269999999998</v>
      </c>
      <c r="BS94">
        <v>2.48515</v>
      </c>
      <c r="BT94">
        <v>1.588317</v>
      </c>
      <c r="BU94">
        <v>0.96995200000000004</v>
      </c>
      <c r="BV94">
        <v>0.19298000000000001</v>
      </c>
      <c r="BW94">
        <v>-2.5152999999999998E-2</v>
      </c>
      <c r="BX94">
        <v>0.179617</v>
      </c>
      <c r="BY94">
        <v>0.440612</v>
      </c>
      <c r="BZ94">
        <v>102.601646</v>
      </c>
      <c r="CA94">
        <v>3.59E-4</v>
      </c>
      <c r="CB94">
        <v>2.3486280000000002</v>
      </c>
      <c r="CC94">
        <v>-5.1E-5</v>
      </c>
      <c r="CD94">
        <v>1</v>
      </c>
      <c r="CE94">
        <v>2.4109430000000001</v>
      </c>
      <c r="CF94">
        <v>-5.7000000000000003E-5</v>
      </c>
      <c r="CG94">
        <v>1</v>
      </c>
      <c r="CH94">
        <v>0.60051900000000002</v>
      </c>
      <c r="CI94">
        <v>0.60216099999999995</v>
      </c>
      <c r="CJ94">
        <v>0.107265</v>
      </c>
      <c r="CK94">
        <v>0</v>
      </c>
      <c r="CL94" t="s">
        <v>355</v>
      </c>
      <c r="CM94" t="s">
        <v>201</v>
      </c>
      <c r="CN94" t="s">
        <v>202</v>
      </c>
      <c r="CO94" t="s">
        <v>203</v>
      </c>
      <c r="CP94" t="s">
        <v>204</v>
      </c>
      <c r="CQ94" t="s">
        <v>205</v>
      </c>
      <c r="CR94" t="s">
        <v>206</v>
      </c>
    </row>
    <row r="95" spans="1:96">
      <c r="A95">
        <v>2</v>
      </c>
      <c r="B95" s="3">
        <v>0.58289351851851856</v>
      </c>
      <c r="C95" s="1">
        <v>45133</v>
      </c>
      <c r="D95" t="s">
        <v>196</v>
      </c>
      <c r="E95" t="s">
        <v>197</v>
      </c>
      <c r="G95">
        <v>2</v>
      </c>
      <c r="J95">
        <v>0.119606</v>
      </c>
      <c r="K95">
        <v>2.9183840000000001</v>
      </c>
      <c r="L95">
        <v>0.114897</v>
      </c>
      <c r="M95">
        <v>3.0368050000000002</v>
      </c>
      <c r="N95">
        <v>2.574201</v>
      </c>
      <c r="O95">
        <v>2.4946820000000001</v>
      </c>
      <c r="P95">
        <v>4.9906969999999999</v>
      </c>
      <c r="Q95">
        <v>2.416496</v>
      </c>
      <c r="R95">
        <v>26.201817999999999</v>
      </c>
      <c r="S95">
        <v>27.037019999999998</v>
      </c>
      <c r="T95">
        <v>52.417648</v>
      </c>
      <c r="U95">
        <v>0.44178600000000001</v>
      </c>
      <c r="V95" t="s">
        <v>356</v>
      </c>
      <c r="W95">
        <v>0</v>
      </c>
      <c r="X95">
        <v>0</v>
      </c>
      <c r="Y95">
        <v>0</v>
      </c>
      <c r="Z95">
        <v>90.310333</v>
      </c>
      <c r="AA95">
        <v>257.28131100000002</v>
      </c>
      <c r="AB95">
        <v>0.64898199999999995</v>
      </c>
      <c r="AC95">
        <v>0.5</v>
      </c>
      <c r="AD95">
        <v>0.8</v>
      </c>
      <c r="AE95">
        <v>166.63299599999999</v>
      </c>
      <c r="AF95">
        <v>48.82</v>
      </c>
      <c r="AG95">
        <v>47.31</v>
      </c>
      <c r="AH95">
        <v>33.76</v>
      </c>
      <c r="AI95">
        <v>32.78</v>
      </c>
      <c r="AJ95">
        <v>95.21</v>
      </c>
      <c r="AK95">
        <v>156.30000000000001</v>
      </c>
      <c r="AL95">
        <v>147</v>
      </c>
      <c r="AM95">
        <v>5.9</v>
      </c>
      <c r="AN95">
        <v>642</v>
      </c>
      <c r="AO95">
        <v>4.0170000000000003</v>
      </c>
      <c r="AP95" s="3">
        <v>0.5826041666666667</v>
      </c>
      <c r="AQ95" s="1">
        <v>45133</v>
      </c>
      <c r="AR95">
        <v>-7.0000000000000007E-2</v>
      </c>
      <c r="AS95">
        <v>4.0000000000000001E-3</v>
      </c>
      <c r="AT95">
        <v>4.0000000000000001E-3</v>
      </c>
      <c r="AU95">
        <v>-9999</v>
      </c>
      <c r="AV95">
        <v>0.69199999999999995</v>
      </c>
      <c r="AW95">
        <v>0.878</v>
      </c>
      <c r="AX95">
        <v>-9999</v>
      </c>
      <c r="AY95">
        <v>1</v>
      </c>
      <c r="AZ95">
        <v>150</v>
      </c>
      <c r="BA95">
        <v>5.0000000000000001E-3</v>
      </c>
      <c r="BB95">
        <v>2</v>
      </c>
      <c r="BC95">
        <v>0</v>
      </c>
      <c r="BD95" t="s">
        <v>200</v>
      </c>
      <c r="BE95">
        <v>7000</v>
      </c>
      <c r="BF95">
        <v>500</v>
      </c>
      <c r="BG95">
        <v>5</v>
      </c>
      <c r="BH95">
        <v>2</v>
      </c>
      <c r="BI95">
        <v>300</v>
      </c>
      <c r="BJ95">
        <v>300</v>
      </c>
      <c r="BK95">
        <v>300</v>
      </c>
      <c r="BL95">
        <v>231.23538199999999</v>
      </c>
      <c r="BM95">
        <v>25</v>
      </c>
      <c r="BN95">
        <v>-18.103660999999999</v>
      </c>
      <c r="BO95">
        <v>230.67533900000001</v>
      </c>
      <c r="BP95">
        <v>231.31509399999999</v>
      </c>
      <c r="BQ95">
        <v>-0.63975499999999996</v>
      </c>
      <c r="BR95">
        <v>2.4167809999999998</v>
      </c>
      <c r="BS95">
        <v>2.4862760000000002</v>
      </c>
      <c r="BT95">
        <v>1.5875250000000001</v>
      </c>
      <c r="BU95">
        <v>0.96942399999999995</v>
      </c>
      <c r="BV95">
        <v>0.192963</v>
      </c>
      <c r="BW95">
        <v>-1.2947999999999999E-2</v>
      </c>
      <c r="BX95">
        <v>0.181144</v>
      </c>
      <c r="BY95">
        <v>0.67655399999999999</v>
      </c>
      <c r="BZ95">
        <v>90.310333</v>
      </c>
      <c r="CA95">
        <v>3.5100000000000002E-4</v>
      </c>
      <c r="CB95">
        <v>2.3486280000000002</v>
      </c>
      <c r="CC95">
        <v>-5.1E-5</v>
      </c>
      <c r="CD95">
        <v>1</v>
      </c>
      <c r="CE95">
        <v>2.4109430000000001</v>
      </c>
      <c r="CF95">
        <v>-5.7000000000000003E-5</v>
      </c>
      <c r="CG95">
        <v>1</v>
      </c>
      <c r="CH95">
        <v>0.60051900000000002</v>
      </c>
      <c r="CI95">
        <v>0.60216099999999995</v>
      </c>
      <c r="CJ95">
        <v>0.107265</v>
      </c>
      <c r="CK95">
        <v>0</v>
      </c>
      <c r="CL95" t="s">
        <v>356</v>
      </c>
      <c r="CM95" t="s">
        <v>201</v>
      </c>
      <c r="CN95" t="s">
        <v>202</v>
      </c>
      <c r="CO95" t="s">
        <v>203</v>
      </c>
      <c r="CP95" t="s">
        <v>204</v>
      </c>
      <c r="CQ95" t="s">
        <v>205</v>
      </c>
      <c r="CR95" t="s">
        <v>206</v>
      </c>
    </row>
    <row r="96" spans="1:96">
      <c r="A96">
        <v>3</v>
      </c>
      <c r="B96" s="3">
        <v>0.58302083333333332</v>
      </c>
      <c r="C96" s="1">
        <v>45133</v>
      </c>
      <c r="D96" t="s">
        <v>196</v>
      </c>
      <c r="E96" t="s">
        <v>197</v>
      </c>
      <c r="G96">
        <v>3</v>
      </c>
      <c r="J96">
        <v>0.11681900000000001</v>
      </c>
      <c r="K96">
        <v>2.9212189999999998</v>
      </c>
      <c r="L96">
        <v>0.112327</v>
      </c>
      <c r="M96">
        <v>2.766699</v>
      </c>
      <c r="N96">
        <v>2.6802709999999998</v>
      </c>
      <c r="O96">
        <v>2.6080709999999998</v>
      </c>
      <c r="P96">
        <v>4.9315670000000003</v>
      </c>
      <c r="Q96">
        <v>2.251296</v>
      </c>
      <c r="R96">
        <v>27.393476</v>
      </c>
      <c r="S96">
        <v>28.151819</v>
      </c>
      <c r="T96">
        <v>51.797958000000001</v>
      </c>
      <c r="U96">
        <v>0.44178600000000001</v>
      </c>
      <c r="V96" t="s">
        <v>357</v>
      </c>
      <c r="W96">
        <v>0</v>
      </c>
      <c r="X96">
        <v>0</v>
      </c>
      <c r="Y96">
        <v>0</v>
      </c>
      <c r="Z96">
        <v>98.207474000000005</v>
      </c>
      <c r="AA96">
        <v>339.67001299999998</v>
      </c>
      <c r="AB96">
        <v>0.71087400000000001</v>
      </c>
      <c r="AC96">
        <v>0.5</v>
      </c>
      <c r="AD96">
        <v>0.8</v>
      </c>
      <c r="AE96">
        <v>126.539413</v>
      </c>
      <c r="AF96">
        <v>50.83</v>
      </c>
      <c r="AG96">
        <v>49.46</v>
      </c>
      <c r="AH96">
        <v>33.76</v>
      </c>
      <c r="AI96">
        <v>32.57</v>
      </c>
      <c r="AJ96">
        <v>95.21</v>
      </c>
      <c r="AK96">
        <v>156.6</v>
      </c>
      <c r="AL96">
        <v>147.1</v>
      </c>
      <c r="AM96">
        <v>6.1</v>
      </c>
      <c r="AN96">
        <v>445</v>
      </c>
      <c r="AO96">
        <v>4.0170000000000003</v>
      </c>
      <c r="AP96" s="3">
        <v>0.5826041666666667</v>
      </c>
      <c r="AQ96" s="1">
        <v>45133</v>
      </c>
      <c r="AR96">
        <v>-7.0000000000000007E-2</v>
      </c>
      <c r="AS96">
        <v>2E-3</v>
      </c>
      <c r="AT96">
        <v>0</v>
      </c>
      <c r="AU96">
        <v>-9999</v>
      </c>
      <c r="AV96">
        <v>5.2999999999999999E-2</v>
      </c>
      <c r="AW96">
        <v>-8.6999999999999994E-2</v>
      </c>
      <c r="AX96">
        <v>-9999</v>
      </c>
      <c r="AY96">
        <v>1</v>
      </c>
      <c r="AZ96">
        <v>150</v>
      </c>
      <c r="BA96">
        <v>5.0000000000000001E-3</v>
      </c>
      <c r="BB96">
        <v>2</v>
      </c>
      <c r="BC96">
        <v>0</v>
      </c>
      <c r="BD96" t="s">
        <v>200</v>
      </c>
      <c r="BE96">
        <v>7000</v>
      </c>
      <c r="BF96">
        <v>500</v>
      </c>
      <c r="BG96">
        <v>5</v>
      </c>
      <c r="BH96">
        <v>2</v>
      </c>
      <c r="BI96">
        <v>300</v>
      </c>
      <c r="BJ96">
        <v>300</v>
      </c>
      <c r="BK96">
        <v>300</v>
      </c>
      <c r="BL96">
        <v>314.560181</v>
      </c>
      <c r="BM96">
        <v>25</v>
      </c>
      <c r="BN96">
        <v>-17.689129000000001</v>
      </c>
      <c r="BO96">
        <v>313.69363399999997</v>
      </c>
      <c r="BP96">
        <v>314.29836999999998</v>
      </c>
      <c r="BQ96">
        <v>-0.60473600000000005</v>
      </c>
      <c r="BR96">
        <v>2.419476</v>
      </c>
      <c r="BS96">
        <v>2.4889770000000002</v>
      </c>
      <c r="BT96">
        <v>1.590271</v>
      </c>
      <c r="BU96">
        <v>0.96945499999999996</v>
      </c>
      <c r="BV96">
        <v>0.192965</v>
      </c>
      <c r="BW96">
        <v>-1.5658999999999999E-2</v>
      </c>
      <c r="BX96">
        <v>0.18256700000000001</v>
      </c>
      <c r="BY96">
        <v>0.50193900000000002</v>
      </c>
      <c r="BZ96">
        <v>98.207474000000005</v>
      </c>
      <c r="CA96">
        <v>3.5799999999999997E-4</v>
      </c>
      <c r="CB96">
        <v>2.3486280000000002</v>
      </c>
      <c r="CC96">
        <v>-5.1E-5</v>
      </c>
      <c r="CD96">
        <v>1</v>
      </c>
      <c r="CE96">
        <v>2.4109430000000001</v>
      </c>
      <c r="CF96">
        <v>-5.7000000000000003E-5</v>
      </c>
      <c r="CG96">
        <v>1</v>
      </c>
      <c r="CH96">
        <v>0.60051900000000002</v>
      </c>
      <c r="CI96">
        <v>0.60216099999999995</v>
      </c>
      <c r="CJ96">
        <v>0.107265</v>
      </c>
      <c r="CK96">
        <v>0</v>
      </c>
      <c r="CL96" t="s">
        <v>357</v>
      </c>
      <c r="CM96" t="s">
        <v>201</v>
      </c>
      <c r="CN96" t="s">
        <v>202</v>
      </c>
      <c r="CO96" t="s">
        <v>203</v>
      </c>
      <c r="CP96" t="s">
        <v>204</v>
      </c>
      <c r="CQ96" t="s">
        <v>205</v>
      </c>
      <c r="CR96" t="s">
        <v>206</v>
      </c>
    </row>
    <row r="97" spans="1:96">
      <c r="A97">
        <v>4</v>
      </c>
      <c r="B97" s="3">
        <v>0.58315972222222223</v>
      </c>
      <c r="C97" s="1">
        <v>45133</v>
      </c>
      <c r="D97" t="s">
        <v>196</v>
      </c>
      <c r="E97" t="s">
        <v>197</v>
      </c>
      <c r="G97">
        <v>4</v>
      </c>
      <c r="J97">
        <v>0.198212</v>
      </c>
      <c r="K97">
        <v>2.9191950000000002</v>
      </c>
      <c r="L97">
        <v>0.185609</v>
      </c>
      <c r="M97">
        <v>4.6195890000000004</v>
      </c>
      <c r="N97">
        <v>2.6715870000000002</v>
      </c>
      <c r="O97">
        <v>2.5508250000000001</v>
      </c>
      <c r="P97">
        <v>4.9464610000000002</v>
      </c>
      <c r="Q97">
        <v>2.2748740000000001</v>
      </c>
      <c r="R97">
        <v>26.791429999999998</v>
      </c>
      <c r="S97">
        <v>28.05979</v>
      </c>
      <c r="T97">
        <v>51.952896000000003</v>
      </c>
      <c r="U97">
        <v>0.44178600000000001</v>
      </c>
      <c r="V97" t="s">
        <v>358</v>
      </c>
      <c r="W97">
        <v>0</v>
      </c>
      <c r="X97">
        <v>0</v>
      </c>
      <c r="Y97">
        <v>0</v>
      </c>
      <c r="Z97">
        <v>90.481635999999995</v>
      </c>
      <c r="AA97">
        <v>266.66482500000001</v>
      </c>
      <c r="AB97">
        <v>0.66069199999999995</v>
      </c>
      <c r="AC97">
        <v>0.5</v>
      </c>
      <c r="AD97">
        <v>0.8</v>
      </c>
      <c r="AE97">
        <v>158.01681500000001</v>
      </c>
      <c r="AF97">
        <v>50.67</v>
      </c>
      <c r="AG97">
        <v>48.38</v>
      </c>
      <c r="AH97">
        <v>33.76</v>
      </c>
      <c r="AI97">
        <v>32.619999999999997</v>
      </c>
      <c r="AJ97">
        <v>95.21</v>
      </c>
      <c r="AK97">
        <v>156.4</v>
      </c>
      <c r="AL97">
        <v>147</v>
      </c>
      <c r="AM97">
        <v>6</v>
      </c>
      <c r="AN97">
        <v>598</v>
      </c>
      <c r="AO97">
        <v>4.016</v>
      </c>
      <c r="AP97" s="3">
        <v>0.5826041666666667</v>
      </c>
      <c r="AQ97" s="1">
        <v>45133</v>
      </c>
      <c r="AR97">
        <v>-7.0000000000000007E-2</v>
      </c>
      <c r="AS97">
        <v>2E-3</v>
      </c>
      <c r="AT97">
        <v>2E-3</v>
      </c>
      <c r="AU97">
        <v>1.7999999999999999E-2</v>
      </c>
      <c r="AV97">
        <v>0.317</v>
      </c>
      <c r="AW97">
        <v>0.66100000000000003</v>
      </c>
      <c r="AX97">
        <v>0.77400000000000002</v>
      </c>
      <c r="AY97">
        <v>1</v>
      </c>
      <c r="AZ97">
        <v>150</v>
      </c>
      <c r="BA97">
        <v>5.0000000000000001E-3</v>
      </c>
      <c r="BB97">
        <v>2</v>
      </c>
      <c r="BC97">
        <v>0</v>
      </c>
      <c r="BD97" t="s">
        <v>200</v>
      </c>
      <c r="BE97">
        <v>7000</v>
      </c>
      <c r="BF97">
        <v>500</v>
      </c>
      <c r="BG97">
        <v>5</v>
      </c>
      <c r="BH97">
        <v>2</v>
      </c>
      <c r="BI97">
        <v>300</v>
      </c>
      <c r="BJ97">
        <v>300</v>
      </c>
      <c r="BK97">
        <v>300</v>
      </c>
      <c r="BL97">
        <v>239.748718</v>
      </c>
      <c r="BM97">
        <v>25</v>
      </c>
      <c r="BN97">
        <v>-18.822306000000001</v>
      </c>
      <c r="BO97">
        <v>239.79377700000001</v>
      </c>
      <c r="BP97">
        <v>239.66784699999999</v>
      </c>
      <c r="BQ97">
        <v>0.12593099999999999</v>
      </c>
      <c r="BR97">
        <v>2.4181240000000002</v>
      </c>
      <c r="BS97">
        <v>2.4887640000000002</v>
      </c>
      <c r="BT97">
        <v>1.5883080000000001</v>
      </c>
      <c r="BU97">
        <v>0.96943999999999997</v>
      </c>
      <c r="BV97">
        <v>0.19298000000000001</v>
      </c>
      <c r="BW97">
        <v>-1.4947999999999999E-2</v>
      </c>
      <c r="BX97">
        <v>0.18413099999999999</v>
      </c>
      <c r="BY97">
        <v>0.63754999999999995</v>
      </c>
      <c r="BZ97">
        <v>90.481635999999995</v>
      </c>
      <c r="CA97">
        <v>3.5500000000000001E-4</v>
      </c>
      <c r="CB97">
        <v>2.3486280000000002</v>
      </c>
      <c r="CC97">
        <v>-5.1E-5</v>
      </c>
      <c r="CD97">
        <v>1</v>
      </c>
      <c r="CE97">
        <v>2.4109430000000001</v>
      </c>
      <c r="CF97">
        <v>-5.7000000000000003E-5</v>
      </c>
      <c r="CG97">
        <v>1</v>
      </c>
      <c r="CH97">
        <v>0.60051900000000002</v>
      </c>
      <c r="CI97">
        <v>0.60216099999999995</v>
      </c>
      <c r="CJ97">
        <v>0.107265</v>
      </c>
      <c r="CK97">
        <v>0</v>
      </c>
      <c r="CL97" t="s">
        <v>358</v>
      </c>
      <c r="CM97" t="s">
        <v>201</v>
      </c>
      <c r="CN97" t="s">
        <v>202</v>
      </c>
      <c r="CO97" t="s">
        <v>203</v>
      </c>
      <c r="CP97" t="s">
        <v>204</v>
      </c>
      <c r="CQ97" t="s">
        <v>205</v>
      </c>
      <c r="CR97" t="s">
        <v>206</v>
      </c>
    </row>
    <row r="98" spans="1:96">
      <c r="A98">
        <v>1</v>
      </c>
      <c r="B98" s="3">
        <v>0.59149305555555554</v>
      </c>
      <c r="C98" s="1">
        <v>45133</v>
      </c>
      <c r="D98" t="s">
        <v>196</v>
      </c>
      <c r="E98" t="s">
        <v>197</v>
      </c>
      <c r="G98">
        <v>1</v>
      </c>
      <c r="J98">
        <v>3.2314000000000002E-2</v>
      </c>
      <c r="K98">
        <v>2.920283</v>
      </c>
      <c r="L98">
        <v>3.1960000000000002E-2</v>
      </c>
      <c r="M98">
        <v>1.488639</v>
      </c>
      <c r="N98">
        <v>2.3430780000000002</v>
      </c>
      <c r="O98">
        <v>2.3041100000000001</v>
      </c>
      <c r="P98">
        <v>6.5645769999999999</v>
      </c>
      <c r="Q98">
        <v>4.2214989999999997</v>
      </c>
      <c r="R98">
        <v>24.231472</v>
      </c>
      <c r="S98">
        <v>24.641279000000001</v>
      </c>
      <c r="T98">
        <v>69.037223999999995</v>
      </c>
      <c r="U98">
        <v>0.44178600000000001</v>
      </c>
      <c r="V98" t="s">
        <v>359</v>
      </c>
      <c r="W98">
        <v>0</v>
      </c>
      <c r="X98">
        <v>0</v>
      </c>
      <c r="Y98">
        <v>0</v>
      </c>
      <c r="Z98">
        <v>89.201690999999997</v>
      </c>
      <c r="AA98">
        <v>119.495453</v>
      </c>
      <c r="AB98">
        <v>0.25351400000000002</v>
      </c>
      <c r="AC98">
        <v>0.5</v>
      </c>
      <c r="AD98">
        <v>0.8</v>
      </c>
      <c r="AE98">
        <v>218.172516</v>
      </c>
      <c r="AF98">
        <v>44.44</v>
      </c>
      <c r="AG98">
        <v>43.7</v>
      </c>
      <c r="AH98">
        <v>33.76</v>
      </c>
      <c r="AI98">
        <v>37.74</v>
      </c>
      <c r="AJ98">
        <v>95.09</v>
      </c>
      <c r="AK98">
        <v>156.5</v>
      </c>
      <c r="AL98">
        <v>147</v>
      </c>
      <c r="AM98">
        <v>6.1</v>
      </c>
      <c r="AN98">
        <v>2151</v>
      </c>
      <c r="AO98">
        <v>4.0170000000000003</v>
      </c>
      <c r="AP98" s="3">
        <v>0.59137731481481481</v>
      </c>
      <c r="AQ98" s="1">
        <v>45133</v>
      </c>
      <c r="AR98">
        <v>-7.0000000000000007E-2</v>
      </c>
      <c r="AS98">
        <v>1E-3</v>
      </c>
      <c r="AT98">
        <v>2E-3</v>
      </c>
      <c r="AU98">
        <v>-9999</v>
      </c>
      <c r="AV98">
        <v>-0.66400000000000003</v>
      </c>
      <c r="AW98">
        <v>-0.755</v>
      </c>
      <c r="AX98">
        <v>-9999</v>
      </c>
      <c r="AY98">
        <v>1</v>
      </c>
      <c r="AZ98">
        <v>150</v>
      </c>
      <c r="BA98">
        <v>5.0000000000000001E-3</v>
      </c>
      <c r="BB98">
        <v>2</v>
      </c>
      <c r="BC98">
        <v>0</v>
      </c>
      <c r="BD98" t="s">
        <v>200</v>
      </c>
      <c r="BE98">
        <v>7000</v>
      </c>
      <c r="BF98">
        <v>500</v>
      </c>
      <c r="BG98">
        <v>5</v>
      </c>
      <c r="BH98">
        <v>2</v>
      </c>
      <c r="BI98">
        <v>300</v>
      </c>
      <c r="BJ98">
        <v>300</v>
      </c>
      <c r="BK98">
        <v>300</v>
      </c>
      <c r="BL98">
        <v>115.715858</v>
      </c>
      <c r="BM98">
        <v>25</v>
      </c>
      <c r="BN98">
        <v>-2.5550760000000001</v>
      </c>
      <c r="BO98">
        <v>116.629242</v>
      </c>
      <c r="BP98">
        <v>115.83068799999999</v>
      </c>
      <c r="BQ98">
        <v>0.79855299999999996</v>
      </c>
      <c r="BR98">
        <v>2.4122270000000001</v>
      </c>
      <c r="BS98">
        <v>2.4803549999999999</v>
      </c>
      <c r="BT98">
        <v>1.5893619999999999</v>
      </c>
      <c r="BU98">
        <v>0.96915300000000004</v>
      </c>
      <c r="BV98">
        <v>0.19298199999999999</v>
      </c>
      <c r="BW98">
        <v>5.2523E-2</v>
      </c>
      <c r="BX98">
        <v>0.16596</v>
      </c>
      <c r="BY98">
        <v>2.0153729999999999</v>
      </c>
      <c r="BZ98">
        <v>89.201690999999997</v>
      </c>
      <c r="CA98">
        <v>3.3500000000000001E-4</v>
      </c>
      <c r="CB98">
        <v>2.3486280000000002</v>
      </c>
      <c r="CC98">
        <v>-5.1E-5</v>
      </c>
      <c r="CD98">
        <v>1</v>
      </c>
      <c r="CE98">
        <v>2.4109430000000001</v>
      </c>
      <c r="CF98">
        <v>-5.7000000000000003E-5</v>
      </c>
      <c r="CG98">
        <v>1</v>
      </c>
      <c r="CH98">
        <v>0.60051900000000002</v>
      </c>
      <c r="CI98">
        <v>0.60216099999999995</v>
      </c>
      <c r="CJ98">
        <v>0.107265</v>
      </c>
      <c r="CK98">
        <v>0</v>
      </c>
      <c r="CL98" t="s">
        <v>359</v>
      </c>
      <c r="CM98" t="s">
        <v>201</v>
      </c>
      <c r="CN98" t="s">
        <v>202</v>
      </c>
      <c r="CO98" t="s">
        <v>203</v>
      </c>
      <c r="CP98" t="s">
        <v>204</v>
      </c>
      <c r="CQ98" t="s">
        <v>205</v>
      </c>
      <c r="CR98" t="s">
        <v>206</v>
      </c>
    </row>
    <row r="99" spans="1:96">
      <c r="A99">
        <v>2</v>
      </c>
      <c r="B99" s="3">
        <v>0.59165509259259264</v>
      </c>
      <c r="C99" s="1">
        <v>45133</v>
      </c>
      <c r="D99" t="s">
        <v>196</v>
      </c>
      <c r="E99" t="s">
        <v>197</v>
      </c>
      <c r="G99">
        <v>2</v>
      </c>
      <c r="J99">
        <v>9.4324000000000005E-2</v>
      </c>
      <c r="K99">
        <v>2.9184909999999999</v>
      </c>
      <c r="L99">
        <v>9.1370999999999994E-2</v>
      </c>
      <c r="M99">
        <v>3.822797</v>
      </c>
      <c r="N99">
        <v>2.3959890000000001</v>
      </c>
      <c r="O99">
        <v>2.2958280000000002</v>
      </c>
      <c r="P99">
        <v>6.1948639999999999</v>
      </c>
      <c r="Q99">
        <v>3.7988749999999998</v>
      </c>
      <c r="R99">
        <v>24.142467</v>
      </c>
      <c r="S99">
        <v>25.195737999999999</v>
      </c>
      <c r="T99">
        <v>65.143951000000001</v>
      </c>
      <c r="U99">
        <v>0.44178600000000001</v>
      </c>
      <c r="V99" t="s">
        <v>360</v>
      </c>
      <c r="W99">
        <v>0</v>
      </c>
      <c r="X99">
        <v>0</v>
      </c>
      <c r="Y99">
        <v>0</v>
      </c>
      <c r="Z99">
        <v>210.48580899999999</v>
      </c>
      <c r="AA99">
        <v>267.01409899999999</v>
      </c>
      <c r="AB99">
        <v>0.211705</v>
      </c>
      <c r="AC99">
        <v>0.5</v>
      </c>
      <c r="AD99">
        <v>0.8</v>
      </c>
      <c r="AE99">
        <v>178.318253</v>
      </c>
      <c r="AF99">
        <v>45.32</v>
      </c>
      <c r="AG99">
        <v>43.42</v>
      </c>
      <c r="AH99">
        <v>33.81</v>
      </c>
      <c r="AI99">
        <v>36.68</v>
      </c>
      <c r="AJ99">
        <v>95.1</v>
      </c>
      <c r="AK99">
        <v>156.30000000000001</v>
      </c>
      <c r="AL99">
        <v>147.1</v>
      </c>
      <c r="AM99">
        <v>5.9</v>
      </c>
      <c r="AN99">
        <v>2106</v>
      </c>
      <c r="AO99">
        <v>4.016</v>
      </c>
      <c r="AP99" s="3">
        <v>0.59137731481481481</v>
      </c>
      <c r="AQ99" s="1">
        <v>45133</v>
      </c>
      <c r="AR99">
        <v>-7.0000000000000007E-2</v>
      </c>
      <c r="AS99">
        <v>-1E-3</v>
      </c>
      <c r="AT99">
        <v>0</v>
      </c>
      <c r="AU99">
        <v>0.01</v>
      </c>
      <c r="AV99">
        <v>-1.927</v>
      </c>
      <c r="AW99">
        <v>-3.968</v>
      </c>
      <c r="AX99">
        <v>-10.007999999999999</v>
      </c>
      <c r="AY99">
        <v>1</v>
      </c>
      <c r="AZ99">
        <v>150</v>
      </c>
      <c r="BA99">
        <v>5.0000000000000001E-3</v>
      </c>
      <c r="BB99">
        <v>2</v>
      </c>
      <c r="BC99">
        <v>0</v>
      </c>
      <c r="BD99" t="s">
        <v>200</v>
      </c>
      <c r="BE99">
        <v>7000</v>
      </c>
      <c r="BF99">
        <v>500</v>
      </c>
      <c r="BG99">
        <v>5</v>
      </c>
      <c r="BH99">
        <v>2</v>
      </c>
      <c r="BI99">
        <v>300</v>
      </c>
      <c r="BJ99">
        <v>300</v>
      </c>
      <c r="BK99">
        <v>300</v>
      </c>
      <c r="BL99">
        <v>263.26025399999997</v>
      </c>
      <c r="BM99">
        <v>25</v>
      </c>
      <c r="BN99">
        <v>-2.5143469999999999</v>
      </c>
      <c r="BO99">
        <v>266.73138399999999</v>
      </c>
      <c r="BP99">
        <v>263.40774499999998</v>
      </c>
      <c r="BQ99">
        <v>3.323639</v>
      </c>
      <c r="BR99">
        <v>2.4118590000000002</v>
      </c>
      <c r="BS99">
        <v>2.4815320000000001</v>
      </c>
      <c r="BT99">
        <v>1.587628</v>
      </c>
      <c r="BU99">
        <v>0.96958500000000003</v>
      </c>
      <c r="BV99">
        <v>0.19259699999999999</v>
      </c>
      <c r="BW99">
        <v>3.7505999999999998E-2</v>
      </c>
      <c r="BX99">
        <v>0.16814399999999999</v>
      </c>
      <c r="BY99">
        <v>1.974801</v>
      </c>
      <c r="BZ99">
        <v>210.48580899999999</v>
      </c>
      <c r="CA99">
        <v>3.4200000000000002E-4</v>
      </c>
      <c r="CB99">
        <v>2.3486280000000002</v>
      </c>
      <c r="CC99">
        <v>-5.1E-5</v>
      </c>
      <c r="CD99">
        <v>1</v>
      </c>
      <c r="CE99">
        <v>2.4109430000000001</v>
      </c>
      <c r="CF99">
        <v>-5.7000000000000003E-5</v>
      </c>
      <c r="CG99">
        <v>1</v>
      </c>
      <c r="CH99">
        <v>0.60051900000000002</v>
      </c>
      <c r="CI99">
        <v>0.60216099999999995</v>
      </c>
      <c r="CJ99">
        <v>0.107265</v>
      </c>
      <c r="CK99">
        <v>0</v>
      </c>
      <c r="CL99" t="s">
        <v>360</v>
      </c>
      <c r="CM99" t="s">
        <v>201</v>
      </c>
      <c r="CN99" t="s">
        <v>202</v>
      </c>
      <c r="CO99" t="s">
        <v>203</v>
      </c>
      <c r="CP99" t="s">
        <v>204</v>
      </c>
      <c r="CQ99" t="s">
        <v>205</v>
      </c>
      <c r="CR99" t="s">
        <v>206</v>
      </c>
    </row>
    <row r="100" spans="1:96">
      <c r="A100">
        <v>3</v>
      </c>
      <c r="B100" s="3">
        <v>0.59184027777777781</v>
      </c>
      <c r="C100" s="1">
        <v>45133</v>
      </c>
      <c r="D100" t="s">
        <v>196</v>
      </c>
      <c r="E100" t="s">
        <v>197</v>
      </c>
      <c r="G100">
        <v>3</v>
      </c>
      <c r="J100">
        <v>5.9339999999999997E-2</v>
      </c>
      <c r="K100">
        <v>2.9193349999999998</v>
      </c>
      <c r="L100">
        <v>5.8158000000000001E-2</v>
      </c>
      <c r="M100">
        <v>2.6156790000000001</v>
      </c>
      <c r="N100">
        <v>2.4139170000000001</v>
      </c>
      <c r="O100">
        <v>2.3454380000000001</v>
      </c>
      <c r="P100">
        <v>6.4909290000000004</v>
      </c>
      <c r="Q100">
        <v>4.0770119999999999</v>
      </c>
      <c r="R100">
        <v>24.66234</v>
      </c>
      <c r="S100">
        <v>25.382401999999999</v>
      </c>
      <c r="T100">
        <v>68.252289000000005</v>
      </c>
      <c r="U100">
        <v>0.44178600000000001</v>
      </c>
      <c r="V100" t="s">
        <v>361</v>
      </c>
      <c r="W100">
        <v>0</v>
      </c>
      <c r="X100">
        <v>0</v>
      </c>
      <c r="Y100">
        <v>0</v>
      </c>
      <c r="Z100">
        <v>113.862633</v>
      </c>
      <c r="AA100">
        <v>173.374313</v>
      </c>
      <c r="AB100">
        <v>0.34325499999999998</v>
      </c>
      <c r="AC100">
        <v>0.5</v>
      </c>
      <c r="AD100">
        <v>0.8</v>
      </c>
      <c r="AE100">
        <v>266.26953099999997</v>
      </c>
      <c r="AF100">
        <v>45.52</v>
      </c>
      <c r="AG100">
        <v>44.23</v>
      </c>
      <c r="AH100">
        <v>33.869999999999997</v>
      </c>
      <c r="AI100">
        <v>37.53</v>
      </c>
      <c r="AJ100">
        <v>95.1</v>
      </c>
      <c r="AK100">
        <v>156.4</v>
      </c>
      <c r="AL100">
        <v>146.9</v>
      </c>
      <c r="AM100">
        <v>6.1</v>
      </c>
      <c r="AN100">
        <v>1939</v>
      </c>
      <c r="AO100">
        <v>4.0149999999999997</v>
      </c>
      <c r="AP100" s="3">
        <v>0.59137731481481481</v>
      </c>
      <c r="AQ100" s="1">
        <v>45133</v>
      </c>
      <c r="AR100">
        <v>-7.0000000000000007E-2</v>
      </c>
      <c r="AS100">
        <v>-1E-3</v>
      </c>
      <c r="AT100">
        <v>0</v>
      </c>
      <c r="AU100">
        <v>8.9999999999999993E-3</v>
      </c>
      <c r="AV100">
        <v>-0.505</v>
      </c>
      <c r="AW100">
        <v>-1.8169999999999999</v>
      </c>
      <c r="AX100">
        <v>-6.7809999999999997</v>
      </c>
      <c r="AY100">
        <v>1</v>
      </c>
      <c r="AZ100">
        <v>150</v>
      </c>
      <c r="BA100">
        <v>5.0000000000000001E-3</v>
      </c>
      <c r="BB100">
        <v>2</v>
      </c>
      <c r="BC100">
        <v>0</v>
      </c>
      <c r="BD100" t="s">
        <v>200</v>
      </c>
      <c r="BE100">
        <v>7000</v>
      </c>
      <c r="BF100">
        <v>500</v>
      </c>
      <c r="BG100">
        <v>5</v>
      </c>
      <c r="BH100">
        <v>2</v>
      </c>
      <c r="BI100">
        <v>300</v>
      </c>
      <c r="BJ100">
        <v>300</v>
      </c>
      <c r="BK100">
        <v>300</v>
      </c>
      <c r="BL100">
        <v>167.604446</v>
      </c>
      <c r="BM100">
        <v>25</v>
      </c>
      <c r="BN100">
        <v>-3.9054739999999999</v>
      </c>
      <c r="BO100">
        <v>170.508026</v>
      </c>
      <c r="BP100">
        <v>167.772659</v>
      </c>
      <c r="BQ100">
        <v>2.7353670000000001</v>
      </c>
      <c r="BR100">
        <v>2.4128669999999999</v>
      </c>
      <c r="BS100">
        <v>2.481792</v>
      </c>
      <c r="BT100">
        <v>1.588444</v>
      </c>
      <c r="BU100">
        <v>0.96891700000000003</v>
      </c>
      <c r="BV100">
        <v>0.19219</v>
      </c>
      <c r="BW100">
        <v>4.8327000000000002E-2</v>
      </c>
      <c r="BX100">
        <v>0.170649</v>
      </c>
      <c r="BY100">
        <v>1.8271869999999999</v>
      </c>
      <c r="BZ100">
        <v>113.862633</v>
      </c>
      <c r="CA100">
        <v>3.4900000000000003E-4</v>
      </c>
      <c r="CB100">
        <v>2.3486280000000002</v>
      </c>
      <c r="CC100">
        <v>-5.1E-5</v>
      </c>
      <c r="CD100">
        <v>1</v>
      </c>
      <c r="CE100">
        <v>2.4109430000000001</v>
      </c>
      <c r="CF100">
        <v>-5.7000000000000003E-5</v>
      </c>
      <c r="CG100">
        <v>1</v>
      </c>
      <c r="CH100">
        <v>0.60051900000000002</v>
      </c>
      <c r="CI100">
        <v>0.60216099999999995</v>
      </c>
      <c r="CJ100">
        <v>0.107265</v>
      </c>
      <c r="CK100">
        <v>0</v>
      </c>
      <c r="CL100" t="s">
        <v>361</v>
      </c>
      <c r="CM100" t="s">
        <v>201</v>
      </c>
      <c r="CN100" t="s">
        <v>202</v>
      </c>
      <c r="CO100" t="s">
        <v>203</v>
      </c>
      <c r="CP100" t="s">
        <v>204</v>
      </c>
      <c r="CQ100" t="s">
        <v>205</v>
      </c>
      <c r="CR100" t="s">
        <v>206</v>
      </c>
    </row>
    <row r="101" spans="1:96">
      <c r="A101">
        <v>4</v>
      </c>
      <c r="B101" s="3">
        <v>0.59197916666666661</v>
      </c>
      <c r="C101" s="1">
        <v>45133</v>
      </c>
      <c r="D101" t="s">
        <v>196</v>
      </c>
      <c r="E101" t="s">
        <v>197</v>
      </c>
      <c r="G101">
        <v>4</v>
      </c>
      <c r="J101">
        <v>3.5118999999999997E-2</v>
      </c>
      <c r="K101">
        <v>2.918787</v>
      </c>
      <c r="L101">
        <v>3.4701000000000003E-2</v>
      </c>
      <c r="M101">
        <v>1.513571</v>
      </c>
      <c r="N101">
        <v>2.363235</v>
      </c>
      <c r="O101">
        <v>2.323572</v>
      </c>
      <c r="P101">
        <v>6.3217059999999998</v>
      </c>
      <c r="Q101">
        <v>3.9584709999999999</v>
      </c>
      <c r="R101">
        <v>24.433572999999999</v>
      </c>
      <c r="S101">
        <v>24.850646999999999</v>
      </c>
      <c r="T101">
        <v>66.476044000000002</v>
      </c>
      <c r="U101">
        <v>0.44178600000000001</v>
      </c>
      <c r="V101" t="s">
        <v>362</v>
      </c>
      <c r="W101">
        <v>0</v>
      </c>
      <c r="X101">
        <v>0</v>
      </c>
      <c r="Y101">
        <v>0</v>
      </c>
      <c r="Z101">
        <v>91.402175999999997</v>
      </c>
      <c r="AA101">
        <v>144.088898</v>
      </c>
      <c r="AB101">
        <v>0.36565399999999998</v>
      </c>
      <c r="AC101">
        <v>0.5</v>
      </c>
      <c r="AD101">
        <v>0.8</v>
      </c>
      <c r="AE101">
        <v>270.68490600000001</v>
      </c>
      <c r="AF101">
        <v>44.48</v>
      </c>
      <c r="AG101">
        <v>43.73</v>
      </c>
      <c r="AH101">
        <v>33.9</v>
      </c>
      <c r="AI101">
        <v>37.049999999999997</v>
      </c>
      <c r="AJ101">
        <v>95.1</v>
      </c>
      <c r="AK101">
        <v>156.30000000000001</v>
      </c>
      <c r="AL101">
        <v>146.9</v>
      </c>
      <c r="AM101">
        <v>6</v>
      </c>
      <c r="AN101">
        <v>1851</v>
      </c>
      <c r="AO101">
        <v>4.0149999999999997</v>
      </c>
      <c r="AP101" s="3">
        <v>0.59137731481481481</v>
      </c>
      <c r="AQ101" s="1">
        <v>45133</v>
      </c>
      <c r="AR101">
        <v>-7.0000000000000007E-2</v>
      </c>
      <c r="AS101">
        <v>1E-3</v>
      </c>
      <c r="AT101">
        <v>1E-3</v>
      </c>
      <c r="AU101">
        <v>-9999</v>
      </c>
      <c r="AV101">
        <v>-1.9079999999999999</v>
      </c>
      <c r="AW101">
        <v>-4.165</v>
      </c>
      <c r="AX101">
        <v>-9999</v>
      </c>
      <c r="AY101">
        <v>1</v>
      </c>
      <c r="AZ101">
        <v>150</v>
      </c>
      <c r="BA101">
        <v>5.0000000000000001E-3</v>
      </c>
      <c r="BB101">
        <v>2</v>
      </c>
      <c r="BC101">
        <v>0</v>
      </c>
      <c r="BD101" t="s">
        <v>200</v>
      </c>
      <c r="BE101">
        <v>7000</v>
      </c>
      <c r="BF101">
        <v>500</v>
      </c>
      <c r="BG101">
        <v>5</v>
      </c>
      <c r="BH101">
        <v>2</v>
      </c>
      <c r="BI101">
        <v>300</v>
      </c>
      <c r="BJ101">
        <v>300</v>
      </c>
      <c r="BK101">
        <v>300</v>
      </c>
      <c r="BL101">
        <v>134.081131</v>
      </c>
      <c r="BM101">
        <v>25</v>
      </c>
      <c r="BN101">
        <v>-7.1248880000000003</v>
      </c>
      <c r="BO101">
        <v>133.69238300000001</v>
      </c>
      <c r="BP101">
        <v>133.86961400000001</v>
      </c>
      <c r="BQ101">
        <v>-0.177231</v>
      </c>
      <c r="BR101">
        <v>2.412236</v>
      </c>
      <c r="BS101">
        <v>2.4803760000000001</v>
      </c>
      <c r="BT101">
        <v>1.587915</v>
      </c>
      <c r="BU101">
        <v>0.96907500000000002</v>
      </c>
      <c r="BV101">
        <v>0.191945</v>
      </c>
      <c r="BW101">
        <v>4.1350999999999999E-2</v>
      </c>
      <c r="BX101">
        <v>0.17230200000000001</v>
      </c>
      <c r="BY101">
        <v>1.748604</v>
      </c>
      <c r="BZ101">
        <v>91.402175999999997</v>
      </c>
      <c r="CA101">
        <v>3.4900000000000003E-4</v>
      </c>
      <c r="CB101">
        <v>2.3486280000000002</v>
      </c>
      <c r="CC101">
        <v>-5.1E-5</v>
      </c>
      <c r="CD101">
        <v>1</v>
      </c>
      <c r="CE101">
        <v>2.4109430000000001</v>
      </c>
      <c r="CF101">
        <v>-5.7000000000000003E-5</v>
      </c>
      <c r="CG101">
        <v>1</v>
      </c>
      <c r="CH101">
        <v>0.60051900000000002</v>
      </c>
      <c r="CI101">
        <v>0.60216099999999995</v>
      </c>
      <c r="CJ101">
        <v>0.107265</v>
      </c>
      <c r="CK101">
        <v>0</v>
      </c>
      <c r="CL101" t="s">
        <v>362</v>
      </c>
      <c r="CM101" t="s">
        <v>201</v>
      </c>
      <c r="CN101" t="s">
        <v>202</v>
      </c>
      <c r="CO101" t="s">
        <v>203</v>
      </c>
      <c r="CP101" t="s">
        <v>204</v>
      </c>
      <c r="CQ101" t="s">
        <v>205</v>
      </c>
      <c r="CR101" t="s">
        <v>206</v>
      </c>
    </row>
    <row r="102" spans="1:96">
      <c r="A102">
        <v>5</v>
      </c>
      <c r="B102" s="3">
        <v>0.59232638888888889</v>
      </c>
      <c r="C102" s="1">
        <v>45133</v>
      </c>
      <c r="D102" t="s">
        <v>196</v>
      </c>
      <c r="E102" t="s">
        <v>197</v>
      </c>
      <c r="G102">
        <v>5</v>
      </c>
      <c r="J102">
        <v>6.9265999999999994E-2</v>
      </c>
      <c r="K102">
        <v>2.9196339999999998</v>
      </c>
      <c r="L102">
        <v>6.7660999999999999E-2</v>
      </c>
      <c r="M102">
        <v>3.1632340000000001</v>
      </c>
      <c r="N102">
        <v>2.40387</v>
      </c>
      <c r="O102">
        <v>2.321069</v>
      </c>
      <c r="P102">
        <v>6.6384800000000004</v>
      </c>
      <c r="Q102">
        <v>4.2346110000000001</v>
      </c>
      <c r="R102">
        <v>24.406932999999999</v>
      </c>
      <c r="S102">
        <v>25.277618</v>
      </c>
      <c r="T102">
        <v>69.806183000000004</v>
      </c>
      <c r="U102">
        <v>0.44178600000000001</v>
      </c>
      <c r="V102" t="s">
        <v>363</v>
      </c>
      <c r="W102">
        <v>0</v>
      </c>
      <c r="X102">
        <v>0</v>
      </c>
      <c r="Y102">
        <v>0</v>
      </c>
      <c r="Z102">
        <v>175.90498400000001</v>
      </c>
      <c r="AA102">
        <v>233.71160900000001</v>
      </c>
      <c r="AB102">
        <v>0.24734200000000001</v>
      </c>
      <c r="AC102">
        <v>0.5</v>
      </c>
      <c r="AD102">
        <v>0.8</v>
      </c>
      <c r="AE102">
        <v>221.712738</v>
      </c>
      <c r="AF102">
        <v>45.04</v>
      </c>
      <c r="AG102">
        <v>43.48</v>
      </c>
      <c r="AH102">
        <v>33.979999999999997</v>
      </c>
      <c r="AI102">
        <v>37.950000000000003</v>
      </c>
      <c r="AJ102">
        <v>95.1</v>
      </c>
      <c r="AK102">
        <v>156.4</v>
      </c>
      <c r="AL102">
        <v>147</v>
      </c>
      <c r="AM102">
        <v>6.1</v>
      </c>
      <c r="AN102">
        <v>2241</v>
      </c>
      <c r="AO102">
        <v>4.0129999999999999</v>
      </c>
      <c r="AP102" s="3">
        <v>0.59137731481481481</v>
      </c>
      <c r="AQ102" s="1">
        <v>45133</v>
      </c>
      <c r="AR102">
        <v>-7.0000000000000007E-2</v>
      </c>
      <c r="AS102">
        <v>-1E-3</v>
      </c>
      <c r="AT102">
        <v>0</v>
      </c>
      <c r="AU102">
        <v>-9999</v>
      </c>
      <c r="AV102">
        <v>-1.3180000000000001</v>
      </c>
      <c r="AW102">
        <v>-2.8279999999999998</v>
      </c>
      <c r="AX102">
        <v>-9999</v>
      </c>
      <c r="AY102">
        <v>1</v>
      </c>
      <c r="AZ102">
        <v>150</v>
      </c>
      <c r="BA102">
        <v>5.0000000000000001E-3</v>
      </c>
      <c r="BB102">
        <v>2</v>
      </c>
      <c r="BC102">
        <v>0</v>
      </c>
      <c r="BD102" t="s">
        <v>200</v>
      </c>
      <c r="BE102">
        <v>7000</v>
      </c>
      <c r="BF102">
        <v>500</v>
      </c>
      <c r="BG102">
        <v>5</v>
      </c>
      <c r="BH102">
        <v>2</v>
      </c>
      <c r="BI102">
        <v>300</v>
      </c>
      <c r="BJ102">
        <v>300</v>
      </c>
      <c r="BK102">
        <v>300</v>
      </c>
      <c r="BL102">
        <v>229.27271999999999</v>
      </c>
      <c r="BM102">
        <v>25</v>
      </c>
      <c r="BN102">
        <v>-2.9469810000000001</v>
      </c>
      <c r="BO102">
        <v>233.25419600000001</v>
      </c>
      <c r="BP102">
        <v>229.48472599999999</v>
      </c>
      <c r="BQ102">
        <v>3.7694700000000001</v>
      </c>
      <c r="BR102">
        <v>2.411902</v>
      </c>
      <c r="BS102">
        <v>2.481112</v>
      </c>
      <c r="BT102">
        <v>1.5887340000000001</v>
      </c>
      <c r="BU102">
        <v>0.96923700000000002</v>
      </c>
      <c r="BV102">
        <v>0.19132099999999999</v>
      </c>
      <c r="BW102">
        <v>5.2422000000000003E-2</v>
      </c>
      <c r="BX102">
        <v>0.17671899999999999</v>
      </c>
      <c r="BY102">
        <v>2.0947239999999998</v>
      </c>
      <c r="BZ102">
        <v>175.90498400000001</v>
      </c>
      <c r="CA102">
        <v>3.48E-4</v>
      </c>
      <c r="CB102">
        <v>2.3486280000000002</v>
      </c>
      <c r="CC102">
        <v>-5.1E-5</v>
      </c>
      <c r="CD102">
        <v>1</v>
      </c>
      <c r="CE102">
        <v>2.4109430000000001</v>
      </c>
      <c r="CF102">
        <v>-5.7000000000000003E-5</v>
      </c>
      <c r="CG102">
        <v>1</v>
      </c>
      <c r="CH102">
        <v>0.60051900000000002</v>
      </c>
      <c r="CI102">
        <v>0.60216099999999995</v>
      </c>
      <c r="CJ102">
        <v>0.107265</v>
      </c>
      <c r="CK102">
        <v>0</v>
      </c>
      <c r="CL102" t="s">
        <v>363</v>
      </c>
      <c r="CM102" t="s">
        <v>201</v>
      </c>
      <c r="CN102" t="s">
        <v>202</v>
      </c>
      <c r="CO102" t="s">
        <v>203</v>
      </c>
      <c r="CP102" t="s">
        <v>204</v>
      </c>
      <c r="CQ102" t="s">
        <v>205</v>
      </c>
      <c r="CR102" t="s">
        <v>206</v>
      </c>
    </row>
    <row r="103" spans="1:96">
      <c r="A103">
        <v>6</v>
      </c>
      <c r="B103" s="3">
        <v>0.59245370370370376</v>
      </c>
      <c r="C103" s="1">
        <v>45133</v>
      </c>
      <c r="D103" t="s">
        <v>196</v>
      </c>
      <c r="E103" t="s">
        <v>197</v>
      </c>
      <c r="G103">
        <v>6</v>
      </c>
      <c r="J103">
        <v>7.2473999999999997E-2</v>
      </c>
      <c r="K103">
        <v>2.920277</v>
      </c>
      <c r="L103">
        <v>7.0719000000000004E-2</v>
      </c>
      <c r="M103">
        <v>2.8967960000000001</v>
      </c>
      <c r="N103">
        <v>2.390361</v>
      </c>
      <c r="O103">
        <v>2.3145699999999998</v>
      </c>
      <c r="P103">
        <v>6.1112310000000001</v>
      </c>
      <c r="Q103">
        <v>3.7208700000000001</v>
      </c>
      <c r="R103">
        <v>24.341352000000001</v>
      </c>
      <c r="S103">
        <v>25.138411000000001</v>
      </c>
      <c r="T103">
        <v>64.269226000000003</v>
      </c>
      <c r="U103">
        <v>0.44178600000000001</v>
      </c>
      <c r="V103" t="s">
        <v>364</v>
      </c>
      <c r="W103">
        <v>0</v>
      </c>
      <c r="X103">
        <v>0</v>
      </c>
      <c r="Y103">
        <v>0</v>
      </c>
      <c r="Z103">
        <v>83.324791000000005</v>
      </c>
      <c r="AA103">
        <v>138.40454099999999</v>
      </c>
      <c r="AB103">
        <v>0.39796199999999998</v>
      </c>
      <c r="AC103">
        <v>0.5</v>
      </c>
      <c r="AD103">
        <v>0.8</v>
      </c>
      <c r="AE103">
        <v>219.701019</v>
      </c>
      <c r="AF103">
        <v>44.72</v>
      </c>
      <c r="AG103">
        <v>43.3</v>
      </c>
      <c r="AH103">
        <v>34.01</v>
      </c>
      <c r="AI103">
        <v>36.43</v>
      </c>
      <c r="AJ103">
        <v>95.09</v>
      </c>
      <c r="AK103">
        <v>156.5</v>
      </c>
      <c r="AL103">
        <v>146.9</v>
      </c>
      <c r="AM103">
        <v>6.1</v>
      </c>
      <c r="AN103">
        <v>1380</v>
      </c>
      <c r="AO103">
        <v>4.0129999999999999</v>
      </c>
      <c r="AP103" s="3">
        <v>0.59137731481481481</v>
      </c>
      <c r="AQ103" s="1">
        <v>45133</v>
      </c>
      <c r="AR103">
        <v>-7.0000000000000007E-2</v>
      </c>
      <c r="AS103">
        <v>1E-3</v>
      </c>
      <c r="AT103">
        <v>0</v>
      </c>
      <c r="AU103">
        <v>-2E-3</v>
      </c>
      <c r="AV103">
        <v>-1.0509999999999999</v>
      </c>
      <c r="AW103">
        <v>-3.173</v>
      </c>
      <c r="AX103">
        <v>-11.984999999999999</v>
      </c>
      <c r="AY103">
        <v>1</v>
      </c>
      <c r="AZ103">
        <v>150</v>
      </c>
      <c r="BA103">
        <v>5.0000000000000001E-3</v>
      </c>
      <c r="BB103">
        <v>2</v>
      </c>
      <c r="BC103">
        <v>0</v>
      </c>
      <c r="BD103" t="s">
        <v>200</v>
      </c>
      <c r="BE103">
        <v>7000</v>
      </c>
      <c r="BF103">
        <v>500</v>
      </c>
      <c r="BG103">
        <v>5</v>
      </c>
      <c r="BH103">
        <v>2</v>
      </c>
      <c r="BI103">
        <v>300</v>
      </c>
      <c r="BJ103">
        <v>300</v>
      </c>
      <c r="BK103">
        <v>300</v>
      </c>
      <c r="BL103">
        <v>128.66055299999999</v>
      </c>
      <c r="BM103">
        <v>25</v>
      </c>
      <c r="BN103">
        <v>-6.7221229999999998</v>
      </c>
      <c r="BO103">
        <v>127.86412</v>
      </c>
      <c r="BP103">
        <v>128.76295500000001</v>
      </c>
      <c r="BQ103">
        <v>-0.89883400000000002</v>
      </c>
      <c r="BR103">
        <v>2.4116590000000002</v>
      </c>
      <c r="BS103">
        <v>2.4806699999999999</v>
      </c>
      <c r="BT103">
        <v>1.589356</v>
      </c>
      <c r="BU103">
        <v>0.96905300000000005</v>
      </c>
      <c r="BV103">
        <v>0.19112100000000001</v>
      </c>
      <c r="BW103">
        <v>3.1605000000000001E-2</v>
      </c>
      <c r="BX103">
        <v>0.178259</v>
      </c>
      <c r="BY103">
        <v>1.331304</v>
      </c>
      <c r="BZ103">
        <v>83.324791000000005</v>
      </c>
      <c r="CA103">
        <v>3.4499999999999998E-4</v>
      </c>
      <c r="CB103">
        <v>2.3486280000000002</v>
      </c>
      <c r="CC103">
        <v>-5.1E-5</v>
      </c>
      <c r="CD103">
        <v>1</v>
      </c>
      <c r="CE103">
        <v>2.4109430000000001</v>
      </c>
      <c r="CF103">
        <v>-5.7000000000000003E-5</v>
      </c>
      <c r="CG103">
        <v>1</v>
      </c>
      <c r="CH103">
        <v>0.60051900000000002</v>
      </c>
      <c r="CI103">
        <v>0.60216099999999995</v>
      </c>
      <c r="CJ103">
        <v>0.107265</v>
      </c>
      <c r="CK103">
        <v>0</v>
      </c>
      <c r="CL103" t="s">
        <v>364</v>
      </c>
      <c r="CM103" t="s">
        <v>201</v>
      </c>
      <c r="CN103" t="s">
        <v>202</v>
      </c>
      <c r="CO103" t="s">
        <v>203</v>
      </c>
      <c r="CP103" t="s">
        <v>204</v>
      </c>
      <c r="CQ103" t="s">
        <v>205</v>
      </c>
      <c r="CR103" t="s">
        <v>206</v>
      </c>
    </row>
    <row r="104" spans="1:96">
      <c r="A104">
        <v>7</v>
      </c>
      <c r="B104" s="3">
        <v>0.59267361111111116</v>
      </c>
      <c r="C104" s="1">
        <v>45133</v>
      </c>
      <c r="D104" t="s">
        <v>196</v>
      </c>
      <c r="E104" t="s">
        <v>197</v>
      </c>
      <c r="G104">
        <v>7</v>
      </c>
      <c r="J104">
        <v>6.8927000000000002E-2</v>
      </c>
      <c r="K104">
        <v>2.9186369999999999</v>
      </c>
      <c r="L104">
        <v>6.7336999999999994E-2</v>
      </c>
      <c r="M104">
        <v>2.2343730000000002</v>
      </c>
      <c r="N104">
        <v>2.4173010000000001</v>
      </c>
      <c r="O104">
        <v>2.3587820000000002</v>
      </c>
      <c r="P104">
        <v>5.4421949999999999</v>
      </c>
      <c r="Q104">
        <v>3.0248940000000002</v>
      </c>
      <c r="R104">
        <v>24.805788</v>
      </c>
      <c r="S104">
        <v>25.421195999999998</v>
      </c>
      <c r="T104">
        <v>57.232047999999999</v>
      </c>
      <c r="U104">
        <v>0.44178600000000001</v>
      </c>
      <c r="V104" t="s">
        <v>365</v>
      </c>
      <c r="W104">
        <v>0</v>
      </c>
      <c r="X104">
        <v>0</v>
      </c>
      <c r="Y104">
        <v>0</v>
      </c>
      <c r="Z104">
        <v>127.582672</v>
      </c>
      <c r="AA104">
        <v>326.03949</v>
      </c>
      <c r="AB104">
        <v>0.60868900000000004</v>
      </c>
      <c r="AC104">
        <v>0.5</v>
      </c>
      <c r="AD104">
        <v>0.8</v>
      </c>
      <c r="AE104">
        <v>188.56857299999999</v>
      </c>
      <c r="AF104">
        <v>45.13</v>
      </c>
      <c r="AG104">
        <v>44.04</v>
      </c>
      <c r="AH104">
        <v>34.04</v>
      </c>
      <c r="AI104">
        <v>34.33</v>
      </c>
      <c r="AJ104">
        <v>95.09</v>
      </c>
      <c r="AK104">
        <v>156.30000000000001</v>
      </c>
      <c r="AL104">
        <v>147</v>
      </c>
      <c r="AM104">
        <v>6</v>
      </c>
      <c r="AN104">
        <v>774</v>
      </c>
      <c r="AO104">
        <v>4.0129999999999999</v>
      </c>
      <c r="AP104" s="3">
        <v>0.59137731481481481</v>
      </c>
      <c r="AQ104" s="1">
        <v>45133</v>
      </c>
      <c r="AR104">
        <v>-7.0000000000000007E-2</v>
      </c>
      <c r="AS104">
        <v>1E-3</v>
      </c>
      <c r="AT104">
        <v>-2E-3</v>
      </c>
      <c r="AU104">
        <v>1.0999999999999999E-2</v>
      </c>
      <c r="AV104">
        <v>4.6379999999999999</v>
      </c>
      <c r="AW104">
        <v>4.6020000000000003</v>
      </c>
      <c r="AX104">
        <v>6.3789999999999996</v>
      </c>
      <c r="AY104">
        <v>1</v>
      </c>
      <c r="AZ104">
        <v>150</v>
      </c>
      <c r="BA104">
        <v>5.0000000000000001E-3</v>
      </c>
      <c r="BB104">
        <v>2</v>
      </c>
      <c r="BC104">
        <v>0</v>
      </c>
      <c r="BD104" t="s">
        <v>200</v>
      </c>
      <c r="BE104">
        <v>7000</v>
      </c>
      <c r="BF104">
        <v>500</v>
      </c>
      <c r="BG104">
        <v>5</v>
      </c>
      <c r="BH104">
        <v>2</v>
      </c>
      <c r="BI104">
        <v>300</v>
      </c>
      <c r="BJ104">
        <v>300</v>
      </c>
      <c r="BK104">
        <v>300</v>
      </c>
      <c r="BL104">
        <v>297.91296399999999</v>
      </c>
      <c r="BM104">
        <v>25</v>
      </c>
      <c r="BN104">
        <v>-19.559049999999999</v>
      </c>
      <c r="BO104">
        <v>293.81417800000003</v>
      </c>
      <c r="BP104">
        <v>297.98580900000002</v>
      </c>
      <c r="BQ104">
        <v>-4.1716309999999996</v>
      </c>
      <c r="BR104">
        <v>2.4125920000000001</v>
      </c>
      <c r="BS104">
        <v>2.4812280000000002</v>
      </c>
      <c r="BT104">
        <v>1.587769</v>
      </c>
      <c r="BU104">
        <v>0.969333</v>
      </c>
      <c r="BV104">
        <v>0.190862</v>
      </c>
      <c r="BW104">
        <v>3.431E-3</v>
      </c>
      <c r="BX104">
        <v>0.18091499999999999</v>
      </c>
      <c r="BY104">
        <v>0.79414099999999999</v>
      </c>
      <c r="BZ104">
        <v>127.582672</v>
      </c>
      <c r="CA104">
        <v>3.5199999999999999E-4</v>
      </c>
      <c r="CB104">
        <v>2.3486280000000002</v>
      </c>
      <c r="CC104">
        <v>-5.1E-5</v>
      </c>
      <c r="CD104">
        <v>1</v>
      </c>
      <c r="CE104">
        <v>2.4109430000000001</v>
      </c>
      <c r="CF104">
        <v>-5.7000000000000003E-5</v>
      </c>
      <c r="CG104">
        <v>1</v>
      </c>
      <c r="CH104">
        <v>0.60051900000000002</v>
      </c>
      <c r="CI104">
        <v>0.60216099999999995</v>
      </c>
      <c r="CJ104">
        <v>0.107265</v>
      </c>
      <c r="CK104">
        <v>0</v>
      </c>
      <c r="CL104" t="s">
        <v>365</v>
      </c>
      <c r="CM104" t="s">
        <v>201</v>
      </c>
      <c r="CN104" t="s">
        <v>202</v>
      </c>
      <c r="CO104" t="s">
        <v>203</v>
      </c>
      <c r="CP104" t="s">
        <v>204</v>
      </c>
      <c r="CQ104" t="s">
        <v>205</v>
      </c>
      <c r="CR104" t="s">
        <v>206</v>
      </c>
    </row>
    <row r="105" spans="1:96">
      <c r="A105">
        <v>8</v>
      </c>
      <c r="B105" s="3">
        <v>0.59282407407407411</v>
      </c>
      <c r="C105" s="1">
        <v>45133</v>
      </c>
      <c r="D105" t="s">
        <v>196</v>
      </c>
      <c r="E105" t="s">
        <v>197</v>
      </c>
      <c r="G105">
        <v>8</v>
      </c>
      <c r="J105">
        <v>5.8023999999999999E-2</v>
      </c>
      <c r="K105">
        <v>2.9196260000000001</v>
      </c>
      <c r="L105">
        <v>5.6894E-2</v>
      </c>
      <c r="M105">
        <v>2.0736699999999999</v>
      </c>
      <c r="N105">
        <v>2.4161389999999998</v>
      </c>
      <c r="O105">
        <v>2.3618749999999999</v>
      </c>
      <c r="P105">
        <v>5.7332409999999996</v>
      </c>
      <c r="Q105">
        <v>3.3171010000000001</v>
      </c>
      <c r="R105">
        <v>24.840001999999998</v>
      </c>
      <c r="S105">
        <v>25.410709000000001</v>
      </c>
      <c r="T105">
        <v>60.296902000000003</v>
      </c>
      <c r="U105">
        <v>0.44178600000000001</v>
      </c>
      <c r="V105" t="s">
        <v>366</v>
      </c>
      <c r="W105">
        <v>0</v>
      </c>
      <c r="X105">
        <v>0</v>
      </c>
      <c r="Y105">
        <v>0</v>
      </c>
      <c r="Z105">
        <v>124.006744</v>
      </c>
      <c r="AA105">
        <v>236.630157</v>
      </c>
      <c r="AB105">
        <v>0.47594700000000001</v>
      </c>
      <c r="AC105">
        <v>0.5</v>
      </c>
      <c r="AD105">
        <v>0.8</v>
      </c>
      <c r="AE105">
        <v>233.11483799999999</v>
      </c>
      <c r="AF105">
        <v>45.06</v>
      </c>
      <c r="AG105">
        <v>44.05</v>
      </c>
      <c r="AH105">
        <v>34.06</v>
      </c>
      <c r="AI105">
        <v>35.270000000000003</v>
      </c>
      <c r="AJ105">
        <v>95.08</v>
      </c>
      <c r="AK105">
        <v>156.4</v>
      </c>
      <c r="AL105">
        <v>147.1</v>
      </c>
      <c r="AM105">
        <v>5.9</v>
      </c>
      <c r="AN105">
        <v>1224</v>
      </c>
      <c r="AO105">
        <v>4.0119999999999996</v>
      </c>
      <c r="AP105" s="3">
        <v>0.59137731481481481</v>
      </c>
      <c r="AQ105" s="1">
        <v>45133</v>
      </c>
      <c r="AR105">
        <v>-7.0000000000000007E-2</v>
      </c>
      <c r="AS105">
        <v>-4.0000000000000001E-3</v>
      </c>
      <c r="AT105">
        <v>-1E-3</v>
      </c>
      <c r="AU105">
        <v>8.0000000000000002E-3</v>
      </c>
      <c r="AV105">
        <v>-3.569</v>
      </c>
      <c r="AW105">
        <v>-4.5999999999999996</v>
      </c>
      <c r="AX105">
        <v>3.2629999999999999</v>
      </c>
      <c r="AY105">
        <v>1</v>
      </c>
      <c r="AZ105">
        <v>150</v>
      </c>
      <c r="BA105">
        <v>5.0000000000000001E-3</v>
      </c>
      <c r="BB105">
        <v>2</v>
      </c>
      <c r="BC105">
        <v>0</v>
      </c>
      <c r="BD105" t="s">
        <v>200</v>
      </c>
      <c r="BE105">
        <v>7000</v>
      </c>
      <c r="BF105">
        <v>500</v>
      </c>
      <c r="BG105">
        <v>5</v>
      </c>
      <c r="BH105">
        <v>2</v>
      </c>
      <c r="BI105">
        <v>300</v>
      </c>
      <c r="BJ105">
        <v>300</v>
      </c>
      <c r="BK105">
        <v>300</v>
      </c>
      <c r="BL105">
        <v>216.55690000000001</v>
      </c>
      <c r="BM105">
        <v>25</v>
      </c>
      <c r="BN105">
        <v>-14.575609999999999</v>
      </c>
      <c r="BO105">
        <v>213.25599700000001</v>
      </c>
      <c r="BP105">
        <v>215.724243</v>
      </c>
      <c r="BQ105">
        <v>-2.4682460000000002</v>
      </c>
      <c r="BR105">
        <v>2.4125999999999999</v>
      </c>
      <c r="BS105">
        <v>2.4811269999999999</v>
      </c>
      <c r="BT105">
        <v>1.5887260000000001</v>
      </c>
      <c r="BU105">
        <v>0.96974300000000002</v>
      </c>
      <c r="BV105">
        <v>0.19071399999999999</v>
      </c>
      <c r="BW105">
        <v>1.5495E-2</v>
      </c>
      <c r="BX105">
        <v>0.182585</v>
      </c>
      <c r="BY105">
        <v>1.1932309999999999</v>
      </c>
      <c r="BZ105">
        <v>124.006744</v>
      </c>
      <c r="CA105">
        <v>3.48E-4</v>
      </c>
      <c r="CB105">
        <v>2.3486280000000002</v>
      </c>
      <c r="CC105">
        <v>-5.1E-5</v>
      </c>
      <c r="CD105">
        <v>1</v>
      </c>
      <c r="CE105">
        <v>2.4109430000000001</v>
      </c>
      <c r="CF105">
        <v>-5.7000000000000003E-5</v>
      </c>
      <c r="CG105">
        <v>1</v>
      </c>
      <c r="CH105">
        <v>0.60051900000000002</v>
      </c>
      <c r="CI105">
        <v>0.60216099999999995</v>
      </c>
      <c r="CJ105">
        <v>0.107265</v>
      </c>
      <c r="CK105">
        <v>0</v>
      </c>
      <c r="CL105" t="s">
        <v>366</v>
      </c>
      <c r="CM105" t="s">
        <v>201</v>
      </c>
      <c r="CN105" t="s">
        <v>202</v>
      </c>
      <c r="CO105" t="s">
        <v>203</v>
      </c>
      <c r="CP105" t="s">
        <v>204</v>
      </c>
      <c r="CQ105" t="s">
        <v>205</v>
      </c>
      <c r="CR105" t="s">
        <v>206</v>
      </c>
    </row>
    <row r="106" spans="1:96">
      <c r="A106">
        <v>1</v>
      </c>
      <c r="B106" s="3">
        <v>0.72319444444444436</v>
      </c>
      <c r="C106" s="1">
        <v>45133</v>
      </c>
      <c r="D106" t="s">
        <v>196</v>
      </c>
      <c r="E106" t="s">
        <v>197</v>
      </c>
      <c r="G106">
        <v>1</v>
      </c>
      <c r="J106">
        <v>2.2891000000000002E-2</v>
      </c>
      <c r="K106">
        <v>2.9209779999999999</v>
      </c>
      <c r="L106">
        <v>2.2713000000000001E-2</v>
      </c>
      <c r="M106">
        <v>1.029887</v>
      </c>
      <c r="N106">
        <v>2.21014</v>
      </c>
      <c r="O106">
        <v>2.1831640000000001</v>
      </c>
      <c r="P106">
        <v>6.3269159999999998</v>
      </c>
      <c r="Q106">
        <v>4.1167759999999998</v>
      </c>
      <c r="R106">
        <v>22.965869999999999</v>
      </c>
      <c r="S106">
        <v>23.249638000000001</v>
      </c>
      <c r="T106">
        <v>66.556197999999995</v>
      </c>
      <c r="U106">
        <v>0.44178600000000001</v>
      </c>
      <c r="V106" t="s">
        <v>367</v>
      </c>
      <c r="W106">
        <v>0</v>
      </c>
      <c r="X106">
        <v>0</v>
      </c>
      <c r="Y106">
        <v>0</v>
      </c>
      <c r="Z106">
        <v>151.00479100000001</v>
      </c>
      <c r="AA106">
        <v>199.34887699999999</v>
      </c>
      <c r="AB106">
        <v>0.24251</v>
      </c>
      <c r="AC106">
        <v>0.5</v>
      </c>
      <c r="AD106">
        <v>0.8</v>
      </c>
      <c r="AE106">
        <v>180.66629</v>
      </c>
      <c r="AF106">
        <v>44.37</v>
      </c>
      <c r="AG106">
        <v>43.83</v>
      </c>
      <c r="AH106">
        <v>32.75</v>
      </c>
      <c r="AI106">
        <v>37.06</v>
      </c>
      <c r="AJ106">
        <v>95.06</v>
      </c>
      <c r="AK106">
        <v>156.6</v>
      </c>
      <c r="AL106">
        <v>147</v>
      </c>
      <c r="AM106">
        <v>6.1</v>
      </c>
      <c r="AN106">
        <v>1862</v>
      </c>
      <c r="AO106">
        <v>4.0140000000000002</v>
      </c>
      <c r="AP106" s="3">
        <v>0.72307870370370375</v>
      </c>
      <c r="AQ106" s="1">
        <v>45133</v>
      </c>
      <c r="AR106">
        <v>0.05</v>
      </c>
      <c r="AS106">
        <v>-1E-3</v>
      </c>
      <c r="AT106">
        <v>0</v>
      </c>
      <c r="AU106">
        <v>-1E-3</v>
      </c>
      <c r="AV106">
        <v>-1.4690000000000001</v>
      </c>
      <c r="AW106">
        <v>-3.8420000000000001</v>
      </c>
      <c r="AX106">
        <v>-11.885999999999999</v>
      </c>
      <c r="AY106">
        <v>1</v>
      </c>
      <c r="AZ106">
        <v>150</v>
      </c>
      <c r="BA106">
        <v>5.0000000000000001E-3</v>
      </c>
      <c r="BB106">
        <v>2</v>
      </c>
      <c r="BC106">
        <v>0</v>
      </c>
      <c r="BD106" t="s">
        <v>200</v>
      </c>
      <c r="BE106">
        <v>7000</v>
      </c>
      <c r="BF106">
        <v>500</v>
      </c>
      <c r="BG106">
        <v>5</v>
      </c>
      <c r="BH106">
        <v>2</v>
      </c>
      <c r="BI106">
        <v>300</v>
      </c>
      <c r="BJ106">
        <v>300</v>
      </c>
      <c r="BK106">
        <v>300</v>
      </c>
      <c r="BL106">
        <v>197.22640999999999</v>
      </c>
      <c r="BM106">
        <v>25</v>
      </c>
      <c r="BN106">
        <v>-1.404704</v>
      </c>
      <c r="BO106">
        <v>201.552277</v>
      </c>
      <c r="BP106">
        <v>197.33410599999999</v>
      </c>
      <c r="BQ106">
        <v>4.2181699999999998</v>
      </c>
      <c r="BR106">
        <v>2.4125909999999999</v>
      </c>
      <c r="BS106">
        <v>2.4803169999999999</v>
      </c>
      <c r="BT106">
        <v>1.5900369999999999</v>
      </c>
      <c r="BU106">
        <v>0.96931</v>
      </c>
      <c r="BV106">
        <v>0.20075399999999999</v>
      </c>
      <c r="BW106">
        <v>5.6533E-2</v>
      </c>
      <c r="BX106">
        <v>7.4889999999999998E-2</v>
      </c>
      <c r="BY106">
        <v>1.7590460000000001</v>
      </c>
      <c r="BZ106">
        <v>151.00479100000001</v>
      </c>
      <c r="CA106">
        <v>3.4699999999999998E-4</v>
      </c>
      <c r="CB106">
        <v>2.3486280000000002</v>
      </c>
      <c r="CC106">
        <v>-5.1E-5</v>
      </c>
      <c r="CD106">
        <v>1</v>
      </c>
      <c r="CE106">
        <v>2.4109430000000001</v>
      </c>
      <c r="CF106">
        <v>-5.7000000000000003E-5</v>
      </c>
      <c r="CG106">
        <v>1</v>
      </c>
      <c r="CH106">
        <v>0.60051900000000002</v>
      </c>
      <c r="CI106">
        <v>0.60216099999999995</v>
      </c>
      <c r="CJ106">
        <v>0.107265</v>
      </c>
      <c r="CK106">
        <v>0</v>
      </c>
      <c r="CL106" t="s">
        <v>367</v>
      </c>
      <c r="CM106" t="s">
        <v>201</v>
      </c>
      <c r="CN106" t="s">
        <v>202</v>
      </c>
      <c r="CO106" t="s">
        <v>203</v>
      </c>
      <c r="CP106" t="s">
        <v>204</v>
      </c>
      <c r="CQ106" t="s">
        <v>205</v>
      </c>
      <c r="CR106" t="s">
        <v>206</v>
      </c>
    </row>
    <row r="107" spans="1:96">
      <c r="A107">
        <v>2</v>
      </c>
      <c r="B107" s="3">
        <v>0.72334490740740742</v>
      </c>
      <c r="C107" s="1">
        <v>45133</v>
      </c>
      <c r="D107" t="s">
        <v>196</v>
      </c>
      <c r="E107" t="s">
        <v>197</v>
      </c>
      <c r="G107">
        <v>2</v>
      </c>
      <c r="J107">
        <v>5.9080000000000001E-2</v>
      </c>
      <c r="K107">
        <v>2.9189240000000001</v>
      </c>
      <c r="L107">
        <v>5.7908000000000001E-2</v>
      </c>
      <c r="M107">
        <v>2.5304220000000002</v>
      </c>
      <c r="N107">
        <v>2.2476080000000001</v>
      </c>
      <c r="O107">
        <v>2.1812520000000002</v>
      </c>
      <c r="P107">
        <v>6.2165039999999996</v>
      </c>
      <c r="Q107">
        <v>3.968896</v>
      </c>
      <c r="R107">
        <v>22.946413</v>
      </c>
      <c r="S107">
        <v>23.644476000000001</v>
      </c>
      <c r="T107">
        <v>65.396614</v>
      </c>
      <c r="U107">
        <v>0.44178600000000001</v>
      </c>
      <c r="V107" t="s">
        <v>368</v>
      </c>
      <c r="W107">
        <v>0</v>
      </c>
      <c r="X107">
        <v>0</v>
      </c>
      <c r="Y107">
        <v>0</v>
      </c>
      <c r="Z107">
        <v>94.408394000000001</v>
      </c>
      <c r="AA107">
        <v>123.330467</v>
      </c>
      <c r="AB107">
        <v>0.234509</v>
      </c>
      <c r="AC107">
        <v>0.5</v>
      </c>
      <c r="AD107">
        <v>0.8</v>
      </c>
      <c r="AE107">
        <v>171.282791</v>
      </c>
      <c r="AF107">
        <v>45</v>
      </c>
      <c r="AG107">
        <v>43.67</v>
      </c>
      <c r="AH107">
        <v>32.799999999999997</v>
      </c>
      <c r="AI107">
        <v>36.74</v>
      </c>
      <c r="AJ107">
        <v>95.06</v>
      </c>
      <c r="AK107">
        <v>156.4</v>
      </c>
      <c r="AL107">
        <v>147.19999999999999</v>
      </c>
      <c r="AM107">
        <v>5.9</v>
      </c>
      <c r="AN107">
        <v>1826</v>
      </c>
      <c r="AO107">
        <v>4.0119999999999996</v>
      </c>
      <c r="AP107" s="3">
        <v>0.72307870370370375</v>
      </c>
      <c r="AQ107" s="1">
        <v>45133</v>
      </c>
      <c r="AR107">
        <v>0.05</v>
      </c>
      <c r="AS107">
        <v>-3.0000000000000001E-3</v>
      </c>
      <c r="AT107">
        <v>-3.0000000000000001E-3</v>
      </c>
      <c r="AU107">
        <v>8.9999999999999993E-3</v>
      </c>
      <c r="AV107">
        <v>-0.55800000000000005</v>
      </c>
      <c r="AW107">
        <v>-1.472</v>
      </c>
      <c r="AX107">
        <v>-4.1580000000000004</v>
      </c>
      <c r="AY107">
        <v>1</v>
      </c>
      <c r="AZ107">
        <v>150</v>
      </c>
      <c r="BA107">
        <v>5.0000000000000001E-3</v>
      </c>
      <c r="BB107">
        <v>2</v>
      </c>
      <c r="BC107">
        <v>0</v>
      </c>
      <c r="BD107" t="s">
        <v>200</v>
      </c>
      <c r="BE107">
        <v>7000</v>
      </c>
      <c r="BF107">
        <v>500</v>
      </c>
      <c r="BG107">
        <v>5</v>
      </c>
      <c r="BH107">
        <v>2</v>
      </c>
      <c r="BI107">
        <v>300</v>
      </c>
      <c r="BJ107">
        <v>300</v>
      </c>
      <c r="BK107">
        <v>300</v>
      </c>
      <c r="BL107">
        <v>122.026566</v>
      </c>
      <c r="BM107">
        <v>25</v>
      </c>
      <c r="BN107">
        <v>-0.83811599999999997</v>
      </c>
      <c r="BO107">
        <v>124.70591</v>
      </c>
      <c r="BP107">
        <v>122.128349</v>
      </c>
      <c r="BQ107">
        <v>2.5775600000000001</v>
      </c>
      <c r="BR107">
        <v>2.4123800000000002</v>
      </c>
      <c r="BS107">
        <v>2.4811640000000001</v>
      </c>
      <c r="BT107">
        <v>1.5880460000000001</v>
      </c>
      <c r="BU107">
        <v>0.96978500000000001</v>
      </c>
      <c r="BV107">
        <v>0.20037199999999999</v>
      </c>
      <c r="BW107">
        <v>5.1555999999999998E-2</v>
      </c>
      <c r="BX107">
        <v>7.6909000000000005E-2</v>
      </c>
      <c r="BY107">
        <v>1.726685</v>
      </c>
      <c r="BZ107">
        <v>94.408394000000001</v>
      </c>
      <c r="CA107">
        <v>3.4200000000000002E-4</v>
      </c>
      <c r="CB107">
        <v>2.3486280000000002</v>
      </c>
      <c r="CC107">
        <v>-5.1E-5</v>
      </c>
      <c r="CD107">
        <v>1</v>
      </c>
      <c r="CE107">
        <v>2.4109430000000001</v>
      </c>
      <c r="CF107">
        <v>-5.7000000000000003E-5</v>
      </c>
      <c r="CG107">
        <v>1</v>
      </c>
      <c r="CH107">
        <v>0.60051900000000002</v>
      </c>
      <c r="CI107">
        <v>0.60216099999999995</v>
      </c>
      <c r="CJ107">
        <v>0.107265</v>
      </c>
      <c r="CK107">
        <v>0</v>
      </c>
      <c r="CL107" t="s">
        <v>368</v>
      </c>
      <c r="CM107" t="s">
        <v>201</v>
      </c>
      <c r="CN107" t="s">
        <v>202</v>
      </c>
      <c r="CO107" t="s">
        <v>203</v>
      </c>
      <c r="CP107" t="s">
        <v>204</v>
      </c>
      <c r="CQ107" t="s">
        <v>205</v>
      </c>
      <c r="CR107" t="s">
        <v>206</v>
      </c>
    </row>
    <row r="108" spans="1:96">
      <c r="A108">
        <v>3</v>
      </c>
      <c r="B108" s="3">
        <v>0.72344907407407411</v>
      </c>
      <c r="C108" s="1">
        <v>45133</v>
      </c>
      <c r="D108" t="s">
        <v>196</v>
      </c>
      <c r="E108" t="s">
        <v>197</v>
      </c>
      <c r="G108">
        <v>3</v>
      </c>
      <c r="J108">
        <v>5.4545999999999997E-2</v>
      </c>
      <c r="K108">
        <v>2.9193159999999998</v>
      </c>
      <c r="L108">
        <v>5.3545000000000002E-2</v>
      </c>
      <c r="M108">
        <v>2.4155700000000002</v>
      </c>
      <c r="N108">
        <v>2.236513</v>
      </c>
      <c r="O108">
        <v>2.1731780000000001</v>
      </c>
      <c r="P108">
        <v>6.3317170000000003</v>
      </c>
      <c r="Q108">
        <v>4.0952039999999998</v>
      </c>
      <c r="R108">
        <v>22.860755999999999</v>
      </c>
      <c r="S108">
        <v>23.527007999999999</v>
      </c>
      <c r="T108">
        <v>66.606528999999995</v>
      </c>
      <c r="U108">
        <v>0.44178600000000001</v>
      </c>
      <c r="V108" t="s">
        <v>369</v>
      </c>
      <c r="W108">
        <v>0</v>
      </c>
      <c r="X108">
        <v>0</v>
      </c>
      <c r="Y108">
        <v>0</v>
      </c>
      <c r="Z108">
        <v>118.074776</v>
      </c>
      <c r="AA108">
        <v>164.89975000000001</v>
      </c>
      <c r="AB108">
        <v>0.28395999999999999</v>
      </c>
      <c r="AC108">
        <v>0.5</v>
      </c>
      <c r="AD108">
        <v>0.8</v>
      </c>
      <c r="AE108">
        <v>207.48291</v>
      </c>
      <c r="AF108">
        <v>44.69</v>
      </c>
      <c r="AG108">
        <v>43.42</v>
      </c>
      <c r="AH108">
        <v>32.83</v>
      </c>
      <c r="AI108">
        <v>37.08</v>
      </c>
      <c r="AJ108">
        <v>95.06</v>
      </c>
      <c r="AK108">
        <v>156.4</v>
      </c>
      <c r="AL108">
        <v>147</v>
      </c>
      <c r="AM108">
        <v>6</v>
      </c>
      <c r="AN108">
        <v>1827</v>
      </c>
      <c r="AO108">
        <v>3.9740000000000002</v>
      </c>
      <c r="AP108" s="3">
        <v>0.72307870370370375</v>
      </c>
      <c r="AQ108" s="1">
        <v>45133</v>
      </c>
      <c r="AR108">
        <v>0.05</v>
      </c>
      <c r="AS108">
        <v>-1E-3</v>
      </c>
      <c r="AT108">
        <v>2E-3</v>
      </c>
      <c r="AU108">
        <v>-9999</v>
      </c>
      <c r="AV108">
        <v>-1.863</v>
      </c>
      <c r="AW108">
        <v>-3.7429999999999999</v>
      </c>
      <c r="AX108">
        <v>-9999</v>
      </c>
      <c r="AY108">
        <v>1</v>
      </c>
      <c r="AZ108">
        <v>150</v>
      </c>
      <c r="BA108">
        <v>5.0000000000000001E-3</v>
      </c>
      <c r="BB108">
        <v>2</v>
      </c>
      <c r="BC108">
        <v>0</v>
      </c>
      <c r="BD108" t="s">
        <v>200</v>
      </c>
      <c r="BE108">
        <v>7000</v>
      </c>
      <c r="BF108">
        <v>500</v>
      </c>
      <c r="BG108">
        <v>5</v>
      </c>
      <c r="BH108">
        <v>2</v>
      </c>
      <c r="BI108">
        <v>300</v>
      </c>
      <c r="BJ108">
        <v>300</v>
      </c>
      <c r="BK108">
        <v>300</v>
      </c>
      <c r="BL108">
        <v>161.54373200000001</v>
      </c>
      <c r="BM108">
        <v>25</v>
      </c>
      <c r="BN108">
        <v>-2.2582059999999999</v>
      </c>
      <c r="BO108">
        <v>164.914368</v>
      </c>
      <c r="BP108">
        <v>161.66078200000001</v>
      </c>
      <c r="BQ108">
        <v>3.2535859999999999</v>
      </c>
      <c r="BR108">
        <v>2.4120650000000001</v>
      </c>
      <c r="BS108">
        <v>2.4807399999999999</v>
      </c>
      <c r="BT108">
        <v>1.5884259999999999</v>
      </c>
      <c r="BU108">
        <v>0.96943100000000004</v>
      </c>
      <c r="BV108">
        <v>0.20011200000000001</v>
      </c>
      <c r="BW108">
        <v>5.5656999999999998E-2</v>
      </c>
      <c r="BX108">
        <v>7.8243999999999994E-2</v>
      </c>
      <c r="BY108">
        <v>1.727319</v>
      </c>
      <c r="BZ108">
        <v>118.074776</v>
      </c>
      <c r="CA108">
        <v>3.39E-4</v>
      </c>
      <c r="CB108">
        <v>2.3486280000000002</v>
      </c>
      <c r="CC108">
        <v>-5.1E-5</v>
      </c>
      <c r="CD108">
        <v>1</v>
      </c>
      <c r="CE108">
        <v>2.4109430000000001</v>
      </c>
      <c r="CF108">
        <v>-5.7000000000000003E-5</v>
      </c>
      <c r="CG108">
        <v>1</v>
      </c>
      <c r="CH108">
        <v>0.60051900000000002</v>
      </c>
      <c r="CI108">
        <v>0.60216099999999995</v>
      </c>
      <c r="CJ108">
        <v>0.107265</v>
      </c>
      <c r="CK108">
        <v>0</v>
      </c>
      <c r="CL108" t="s">
        <v>369</v>
      </c>
      <c r="CM108" t="s">
        <v>201</v>
      </c>
      <c r="CN108" t="s">
        <v>202</v>
      </c>
      <c r="CO108" t="s">
        <v>203</v>
      </c>
      <c r="CP108" t="s">
        <v>204</v>
      </c>
      <c r="CQ108" t="s">
        <v>205</v>
      </c>
      <c r="CR108" t="s">
        <v>206</v>
      </c>
    </row>
    <row r="109" spans="1:96">
      <c r="A109">
        <v>4</v>
      </c>
      <c r="B109" s="3">
        <v>0.72362268518518524</v>
      </c>
      <c r="C109" s="1">
        <v>45133</v>
      </c>
      <c r="D109" t="s">
        <v>196</v>
      </c>
      <c r="E109" t="s">
        <v>197</v>
      </c>
      <c r="G109">
        <v>4</v>
      </c>
      <c r="J109">
        <v>0.12889600000000001</v>
      </c>
      <c r="K109">
        <v>2.9194789999999999</v>
      </c>
      <c r="L109">
        <v>0.123446</v>
      </c>
      <c r="M109">
        <v>4.3391609999999998</v>
      </c>
      <c r="N109">
        <v>2.2729059999999999</v>
      </c>
      <c r="O109">
        <v>2.159208</v>
      </c>
      <c r="P109">
        <v>5.4777420000000001</v>
      </c>
      <c r="Q109">
        <v>3.2048359999999998</v>
      </c>
      <c r="R109">
        <v>22.716432999999999</v>
      </c>
      <c r="S109">
        <v>23.912614999999999</v>
      </c>
      <c r="T109">
        <v>57.629809999999999</v>
      </c>
      <c r="U109">
        <v>0.44178600000000001</v>
      </c>
      <c r="V109" t="s">
        <v>370</v>
      </c>
      <c r="W109">
        <v>0</v>
      </c>
      <c r="X109">
        <v>0</v>
      </c>
      <c r="Y109">
        <v>0</v>
      </c>
      <c r="Z109">
        <v>74.706672999999995</v>
      </c>
      <c r="AA109">
        <v>221.58831799999999</v>
      </c>
      <c r="AB109">
        <v>0.66285799999999995</v>
      </c>
      <c r="AC109">
        <v>0.5</v>
      </c>
      <c r="AD109">
        <v>0.8</v>
      </c>
      <c r="AE109">
        <v>130.34077500000001</v>
      </c>
      <c r="AF109">
        <v>45.28</v>
      </c>
      <c r="AG109">
        <v>43.01</v>
      </c>
      <c r="AH109">
        <v>32.89</v>
      </c>
      <c r="AI109">
        <v>34.450000000000003</v>
      </c>
      <c r="AJ109">
        <v>95.05</v>
      </c>
      <c r="AK109">
        <v>156.4</v>
      </c>
      <c r="AL109">
        <v>147.30000000000001</v>
      </c>
      <c r="AM109">
        <v>5.8</v>
      </c>
      <c r="AN109">
        <v>492</v>
      </c>
      <c r="AO109">
        <v>4.0119999999999996</v>
      </c>
      <c r="AP109" s="3">
        <v>0.72307870370370375</v>
      </c>
      <c r="AQ109" s="1">
        <v>45133</v>
      </c>
      <c r="AR109">
        <v>0.05</v>
      </c>
      <c r="AS109">
        <v>2E-3</v>
      </c>
      <c r="AT109">
        <v>-2E-3</v>
      </c>
      <c r="AU109">
        <v>4.0000000000000001E-3</v>
      </c>
      <c r="AV109">
        <v>2.1280000000000001</v>
      </c>
      <c r="AW109">
        <v>0.72799999999999998</v>
      </c>
      <c r="AX109">
        <v>-21.870999999999999</v>
      </c>
      <c r="AY109">
        <v>1</v>
      </c>
      <c r="AZ109">
        <v>150</v>
      </c>
      <c r="BA109">
        <v>5.0000000000000001E-3</v>
      </c>
      <c r="BB109">
        <v>2</v>
      </c>
      <c r="BC109">
        <v>0</v>
      </c>
      <c r="BD109" t="s">
        <v>200</v>
      </c>
      <c r="BE109">
        <v>7000</v>
      </c>
      <c r="BF109">
        <v>500</v>
      </c>
      <c r="BG109">
        <v>5</v>
      </c>
      <c r="BH109">
        <v>2</v>
      </c>
      <c r="BI109">
        <v>300</v>
      </c>
      <c r="BJ109">
        <v>300</v>
      </c>
      <c r="BK109">
        <v>300</v>
      </c>
      <c r="BL109">
        <v>203.92906199999999</v>
      </c>
      <c r="BM109">
        <v>25</v>
      </c>
      <c r="BN109">
        <v>-12.090225999999999</v>
      </c>
      <c r="BO109">
        <v>209.06066899999999</v>
      </c>
      <c r="BP109">
        <v>204.247208</v>
      </c>
      <c r="BQ109">
        <v>4.8134610000000002</v>
      </c>
      <c r="BR109">
        <v>2.411527</v>
      </c>
      <c r="BS109">
        <v>2.4815260000000001</v>
      </c>
      <c r="BT109">
        <v>1.5885830000000001</v>
      </c>
      <c r="BU109">
        <v>0.97026800000000002</v>
      </c>
      <c r="BV109">
        <v>0.19968</v>
      </c>
      <c r="BW109">
        <v>1.9966000000000001E-2</v>
      </c>
      <c r="BX109">
        <v>8.0531000000000005E-2</v>
      </c>
      <c r="BY109">
        <v>0.54324300000000003</v>
      </c>
      <c r="BZ109">
        <v>74.706672999999995</v>
      </c>
      <c r="CA109">
        <v>3.4499999999999998E-4</v>
      </c>
      <c r="CB109">
        <v>2.3486280000000002</v>
      </c>
      <c r="CC109">
        <v>-5.1E-5</v>
      </c>
      <c r="CD109">
        <v>1</v>
      </c>
      <c r="CE109">
        <v>2.4109430000000001</v>
      </c>
      <c r="CF109">
        <v>-5.7000000000000003E-5</v>
      </c>
      <c r="CG109">
        <v>1</v>
      </c>
      <c r="CH109">
        <v>0.60051900000000002</v>
      </c>
      <c r="CI109">
        <v>0.60216099999999995</v>
      </c>
      <c r="CJ109">
        <v>0.107265</v>
      </c>
      <c r="CK109">
        <v>0</v>
      </c>
      <c r="CL109" t="s">
        <v>370</v>
      </c>
      <c r="CM109" t="s">
        <v>201</v>
      </c>
      <c r="CN109" t="s">
        <v>202</v>
      </c>
      <c r="CO109" t="s">
        <v>203</v>
      </c>
      <c r="CP109" t="s">
        <v>204</v>
      </c>
      <c r="CQ109" t="s">
        <v>205</v>
      </c>
      <c r="CR109" t="s">
        <v>206</v>
      </c>
    </row>
    <row r="110" spans="1:96">
      <c r="A110">
        <v>1</v>
      </c>
      <c r="B110" s="3">
        <v>0.74096064814814822</v>
      </c>
      <c r="C110" s="1">
        <v>45133</v>
      </c>
      <c r="D110" t="s">
        <v>196</v>
      </c>
      <c r="E110" t="s">
        <v>197</v>
      </c>
      <c r="G110">
        <v>1</v>
      </c>
      <c r="J110">
        <v>5.8473999999999998E-2</v>
      </c>
      <c r="K110">
        <v>2.9177650000000002</v>
      </c>
      <c r="L110">
        <v>5.7326000000000002E-2</v>
      </c>
      <c r="M110">
        <v>1.6636740000000001</v>
      </c>
      <c r="N110">
        <v>2.2127949999999998</v>
      </c>
      <c r="O110">
        <v>2.1691159999999998</v>
      </c>
      <c r="P110">
        <v>4.8684760000000002</v>
      </c>
      <c r="Q110">
        <v>2.655681</v>
      </c>
      <c r="R110">
        <v>22.821269999999998</v>
      </c>
      <c r="S110">
        <v>23.280815</v>
      </c>
      <c r="T110">
        <v>51.221237000000002</v>
      </c>
      <c r="U110">
        <v>0.44178600000000001</v>
      </c>
      <c r="V110" t="s">
        <v>371</v>
      </c>
      <c r="W110">
        <v>0</v>
      </c>
      <c r="X110">
        <v>0</v>
      </c>
      <c r="Y110">
        <v>0</v>
      </c>
      <c r="Z110">
        <v>87.662102000000004</v>
      </c>
      <c r="AA110">
        <v>374.45849600000003</v>
      </c>
      <c r="AB110">
        <v>0.76589600000000002</v>
      </c>
      <c r="AC110">
        <v>0.5</v>
      </c>
      <c r="AD110">
        <v>0.8</v>
      </c>
      <c r="AE110">
        <v>42.631371000000001</v>
      </c>
      <c r="AF110">
        <v>43.65</v>
      </c>
      <c r="AG110">
        <v>42.79</v>
      </c>
      <c r="AH110">
        <v>33.06</v>
      </c>
      <c r="AI110">
        <v>32.340000000000003</v>
      </c>
      <c r="AJ110">
        <v>95.05</v>
      </c>
      <c r="AK110">
        <v>156.19999999999999</v>
      </c>
      <c r="AL110">
        <v>146.9</v>
      </c>
      <c r="AM110">
        <v>5.9</v>
      </c>
      <c r="AN110">
        <v>139</v>
      </c>
      <c r="AO110">
        <v>4.0110000000000001</v>
      </c>
      <c r="AP110" s="3">
        <v>0.74085648148148142</v>
      </c>
      <c r="AQ110" s="1">
        <v>45133</v>
      </c>
      <c r="AR110">
        <v>0.02</v>
      </c>
      <c r="AS110">
        <v>0</v>
      </c>
      <c r="AT110">
        <v>2E-3</v>
      </c>
      <c r="AU110">
        <v>1.9E-2</v>
      </c>
      <c r="AV110">
        <v>0.38100000000000001</v>
      </c>
      <c r="AW110">
        <v>0.40699999999999997</v>
      </c>
      <c r="AX110">
        <v>6.1280000000000001</v>
      </c>
      <c r="AY110">
        <v>1</v>
      </c>
      <c r="AZ110">
        <v>150</v>
      </c>
      <c r="BA110">
        <v>5.0000000000000001E-3</v>
      </c>
      <c r="BB110">
        <v>2</v>
      </c>
      <c r="BC110">
        <v>0</v>
      </c>
      <c r="BD110" t="s">
        <v>200</v>
      </c>
      <c r="BE110">
        <v>7000</v>
      </c>
      <c r="BF110">
        <v>500</v>
      </c>
      <c r="BG110">
        <v>5</v>
      </c>
      <c r="BH110">
        <v>2</v>
      </c>
      <c r="BI110">
        <v>300</v>
      </c>
      <c r="BJ110">
        <v>300</v>
      </c>
      <c r="BK110">
        <v>300</v>
      </c>
      <c r="BL110">
        <v>356.93121300000001</v>
      </c>
      <c r="BM110">
        <v>25</v>
      </c>
      <c r="BN110">
        <v>-11.983425</v>
      </c>
      <c r="BO110">
        <v>359.746826</v>
      </c>
      <c r="BP110">
        <v>357.27056900000002</v>
      </c>
      <c r="BQ110">
        <v>2.4762569999999999</v>
      </c>
      <c r="BR110">
        <v>2.4112049999999998</v>
      </c>
      <c r="BS110">
        <v>2.4793050000000001</v>
      </c>
      <c r="BT110">
        <v>1.5869279999999999</v>
      </c>
      <c r="BU110">
        <v>0.96912100000000001</v>
      </c>
      <c r="BV110">
        <v>0.198322</v>
      </c>
      <c r="BW110">
        <v>-9.5119999999999996E-3</v>
      </c>
      <c r="BX110">
        <v>0.14512800000000001</v>
      </c>
      <c r="BY110">
        <v>0.230679</v>
      </c>
      <c r="BZ110">
        <v>87.662102000000004</v>
      </c>
      <c r="CA110">
        <v>3.5199999999999999E-4</v>
      </c>
      <c r="CB110">
        <v>2.3486280000000002</v>
      </c>
      <c r="CC110">
        <v>-5.1E-5</v>
      </c>
      <c r="CD110">
        <v>1</v>
      </c>
      <c r="CE110">
        <v>2.4109430000000001</v>
      </c>
      <c r="CF110">
        <v>-5.7000000000000003E-5</v>
      </c>
      <c r="CG110">
        <v>1</v>
      </c>
      <c r="CH110">
        <v>0.60051900000000002</v>
      </c>
      <c r="CI110">
        <v>0.60216099999999995</v>
      </c>
      <c r="CJ110">
        <v>0.107265</v>
      </c>
      <c r="CK110">
        <v>0</v>
      </c>
      <c r="CL110" t="s">
        <v>371</v>
      </c>
      <c r="CM110" t="s">
        <v>201</v>
      </c>
      <c r="CN110" t="s">
        <v>202</v>
      </c>
      <c r="CO110" t="s">
        <v>203</v>
      </c>
      <c r="CP110" t="s">
        <v>204</v>
      </c>
      <c r="CQ110" t="s">
        <v>205</v>
      </c>
      <c r="CR110" t="s">
        <v>206</v>
      </c>
    </row>
    <row r="111" spans="1:96">
      <c r="A111">
        <v>2</v>
      </c>
      <c r="B111" s="3">
        <v>0.74111111111111105</v>
      </c>
      <c r="C111" s="1">
        <v>45133</v>
      </c>
      <c r="D111" t="s">
        <v>196</v>
      </c>
      <c r="E111" t="s">
        <v>197</v>
      </c>
      <c r="G111">
        <v>2</v>
      </c>
      <c r="J111">
        <v>9.6209000000000003E-2</v>
      </c>
      <c r="K111">
        <v>2.9185020000000002</v>
      </c>
      <c r="L111">
        <v>9.3139E-2</v>
      </c>
      <c r="M111">
        <v>3.7464279999999999</v>
      </c>
      <c r="N111">
        <v>2.27521</v>
      </c>
      <c r="O111">
        <v>2.176987</v>
      </c>
      <c r="P111">
        <v>5.9328329999999996</v>
      </c>
      <c r="Q111">
        <v>3.6576230000000001</v>
      </c>
      <c r="R111">
        <v>22.907209000000002</v>
      </c>
      <c r="S111">
        <v>23.940757999999999</v>
      </c>
      <c r="T111">
        <v>62.427867999999997</v>
      </c>
      <c r="U111">
        <v>0.44178600000000001</v>
      </c>
      <c r="V111" t="s">
        <v>372</v>
      </c>
      <c r="W111">
        <v>0</v>
      </c>
      <c r="X111">
        <v>0</v>
      </c>
      <c r="Y111">
        <v>0</v>
      </c>
      <c r="Z111">
        <v>85.963370999999995</v>
      </c>
      <c r="AA111">
        <v>145.61631800000001</v>
      </c>
      <c r="AB111">
        <v>0.40965800000000002</v>
      </c>
      <c r="AC111">
        <v>0.5</v>
      </c>
      <c r="AD111">
        <v>0.8</v>
      </c>
      <c r="AE111">
        <v>251.19982899999999</v>
      </c>
      <c r="AF111">
        <v>44.79</v>
      </c>
      <c r="AG111">
        <v>42.85</v>
      </c>
      <c r="AH111">
        <v>33.1</v>
      </c>
      <c r="AI111">
        <v>35.89</v>
      </c>
      <c r="AJ111">
        <v>95.04</v>
      </c>
      <c r="AK111">
        <v>156.30000000000001</v>
      </c>
      <c r="AL111">
        <v>147.19999999999999</v>
      </c>
      <c r="AM111">
        <v>5.8</v>
      </c>
      <c r="AN111">
        <v>1533</v>
      </c>
      <c r="AO111">
        <v>4.0110000000000001</v>
      </c>
      <c r="AP111" s="3">
        <v>0.74085648148148142</v>
      </c>
      <c r="AQ111" s="1">
        <v>45133</v>
      </c>
      <c r="AR111">
        <v>0.02</v>
      </c>
      <c r="AS111">
        <v>0</v>
      </c>
      <c r="AT111">
        <v>0</v>
      </c>
      <c r="AU111">
        <v>-9999</v>
      </c>
      <c r="AV111">
        <v>9.1999999999999998E-2</v>
      </c>
      <c r="AW111">
        <v>-0.88100000000000001</v>
      </c>
      <c r="AX111">
        <v>-9999</v>
      </c>
      <c r="AY111">
        <v>1</v>
      </c>
      <c r="AZ111">
        <v>150</v>
      </c>
      <c r="BA111">
        <v>5.0000000000000001E-3</v>
      </c>
      <c r="BB111">
        <v>2</v>
      </c>
      <c r="BC111">
        <v>0</v>
      </c>
      <c r="BD111" t="s">
        <v>200</v>
      </c>
      <c r="BE111">
        <v>7000</v>
      </c>
      <c r="BF111">
        <v>500</v>
      </c>
      <c r="BG111">
        <v>5</v>
      </c>
      <c r="BH111">
        <v>2</v>
      </c>
      <c r="BI111">
        <v>300</v>
      </c>
      <c r="BJ111">
        <v>300</v>
      </c>
      <c r="BK111">
        <v>300</v>
      </c>
      <c r="BL111">
        <v>133.583313</v>
      </c>
      <c r="BM111">
        <v>25</v>
      </c>
      <c r="BN111">
        <v>-8.4472280000000008</v>
      </c>
      <c r="BO111">
        <v>132.03656000000001</v>
      </c>
      <c r="BP111">
        <v>133.50039699999999</v>
      </c>
      <c r="BQ111">
        <v>-1.4638370000000001</v>
      </c>
      <c r="BR111">
        <v>2.4112809999999998</v>
      </c>
      <c r="BS111">
        <v>2.4808490000000001</v>
      </c>
      <c r="BT111">
        <v>1.587639</v>
      </c>
      <c r="BU111">
        <v>0.96992900000000004</v>
      </c>
      <c r="BV111">
        <v>0.19803399999999999</v>
      </c>
      <c r="BW111">
        <v>3.6269000000000003E-2</v>
      </c>
      <c r="BX111">
        <v>0.14713399999999999</v>
      </c>
      <c r="BY111">
        <v>1.4668369999999999</v>
      </c>
      <c r="BZ111">
        <v>85.963370999999995</v>
      </c>
      <c r="CA111">
        <v>3.4900000000000003E-4</v>
      </c>
      <c r="CB111">
        <v>2.3486280000000002</v>
      </c>
      <c r="CC111">
        <v>-5.1E-5</v>
      </c>
      <c r="CD111">
        <v>1</v>
      </c>
      <c r="CE111">
        <v>2.4109430000000001</v>
      </c>
      <c r="CF111">
        <v>-5.7000000000000003E-5</v>
      </c>
      <c r="CG111">
        <v>1</v>
      </c>
      <c r="CH111">
        <v>0.60051900000000002</v>
      </c>
      <c r="CI111">
        <v>0.60216099999999995</v>
      </c>
      <c r="CJ111">
        <v>0.107265</v>
      </c>
      <c r="CK111">
        <v>0</v>
      </c>
      <c r="CL111" t="s">
        <v>372</v>
      </c>
      <c r="CM111" t="s">
        <v>201</v>
      </c>
      <c r="CN111" t="s">
        <v>202</v>
      </c>
      <c r="CO111" t="s">
        <v>203</v>
      </c>
      <c r="CP111" t="s">
        <v>204</v>
      </c>
      <c r="CQ111" t="s">
        <v>205</v>
      </c>
      <c r="CR111" t="s">
        <v>206</v>
      </c>
    </row>
    <row r="112" spans="1:96">
      <c r="A112">
        <v>3</v>
      </c>
      <c r="B112" s="3">
        <v>0.74126157407407411</v>
      </c>
      <c r="C112" s="1">
        <v>45133</v>
      </c>
      <c r="D112" t="s">
        <v>196</v>
      </c>
      <c r="E112" t="s">
        <v>197</v>
      </c>
      <c r="G112">
        <v>3</v>
      </c>
      <c r="J112">
        <v>7.9489000000000004E-2</v>
      </c>
      <c r="K112">
        <v>2.9176790000000001</v>
      </c>
      <c r="L112">
        <v>7.7381000000000005E-2</v>
      </c>
      <c r="M112">
        <v>2.6266919999999998</v>
      </c>
      <c r="N112">
        <v>2.2813720000000002</v>
      </c>
      <c r="O112">
        <v>2.2124640000000002</v>
      </c>
      <c r="P112">
        <v>5.3773869999999997</v>
      </c>
      <c r="Q112">
        <v>3.096015</v>
      </c>
      <c r="R112">
        <v>23.280215999999999</v>
      </c>
      <c r="S112">
        <v>24.005279999999999</v>
      </c>
      <c r="T112">
        <v>56.582484999999998</v>
      </c>
      <c r="U112">
        <v>0.44178600000000001</v>
      </c>
      <c r="V112" t="s">
        <v>373</v>
      </c>
      <c r="W112">
        <v>0</v>
      </c>
      <c r="X112">
        <v>0</v>
      </c>
      <c r="Y112">
        <v>0</v>
      </c>
      <c r="Z112">
        <v>75.377944999999997</v>
      </c>
      <c r="AA112">
        <v>174.747513</v>
      </c>
      <c r="AB112">
        <v>0.56864700000000001</v>
      </c>
      <c r="AC112">
        <v>0.5</v>
      </c>
      <c r="AD112">
        <v>0.8</v>
      </c>
      <c r="AE112">
        <v>393.66662600000001</v>
      </c>
      <c r="AF112">
        <v>44.81</v>
      </c>
      <c r="AG112">
        <v>43.46</v>
      </c>
      <c r="AH112">
        <v>33.14</v>
      </c>
      <c r="AI112">
        <v>34.119999999999997</v>
      </c>
      <c r="AJ112">
        <v>95.04</v>
      </c>
      <c r="AK112">
        <v>156.19999999999999</v>
      </c>
      <c r="AL112">
        <v>147.19999999999999</v>
      </c>
      <c r="AM112">
        <v>5.8</v>
      </c>
      <c r="AN112">
        <v>1731</v>
      </c>
      <c r="AO112">
        <v>4.01</v>
      </c>
      <c r="AP112" s="3">
        <v>0.74085648148148142</v>
      </c>
      <c r="AQ112" s="1">
        <v>45133</v>
      </c>
      <c r="AR112">
        <v>0.02</v>
      </c>
      <c r="AS112">
        <v>1E-3</v>
      </c>
      <c r="AT112">
        <v>1E-3</v>
      </c>
      <c r="AU112">
        <v>-9999</v>
      </c>
      <c r="AV112">
        <v>-0.377</v>
      </c>
      <c r="AW112">
        <v>-0.499</v>
      </c>
      <c r="AX112">
        <v>-9999</v>
      </c>
      <c r="AY112">
        <v>1</v>
      </c>
      <c r="AZ112">
        <v>150</v>
      </c>
      <c r="BA112">
        <v>5.0000000000000001E-3</v>
      </c>
      <c r="BB112">
        <v>2</v>
      </c>
      <c r="BC112">
        <v>0</v>
      </c>
      <c r="BD112" t="s">
        <v>200</v>
      </c>
      <c r="BE112">
        <v>7000</v>
      </c>
      <c r="BF112">
        <v>500</v>
      </c>
      <c r="BG112">
        <v>5</v>
      </c>
      <c r="BH112">
        <v>2</v>
      </c>
      <c r="BI112">
        <v>300</v>
      </c>
      <c r="BJ112">
        <v>300</v>
      </c>
      <c r="BK112">
        <v>300</v>
      </c>
      <c r="BL112">
        <v>165.58062699999999</v>
      </c>
      <c r="BM112">
        <v>25</v>
      </c>
      <c r="BN112">
        <v>-6.2397080000000003</v>
      </c>
      <c r="BO112">
        <v>168.17486600000001</v>
      </c>
      <c r="BP112">
        <v>165.79785200000001</v>
      </c>
      <c r="BQ112">
        <v>2.377014</v>
      </c>
      <c r="BR112">
        <v>2.412045</v>
      </c>
      <c r="BS112">
        <v>2.480877</v>
      </c>
      <c r="BT112">
        <v>1.5868450000000001</v>
      </c>
      <c r="BU112">
        <v>0.96998399999999996</v>
      </c>
      <c r="BV112">
        <v>0.197742</v>
      </c>
      <c r="BW112">
        <v>1.2403000000000001E-2</v>
      </c>
      <c r="BX112">
        <v>0.14909</v>
      </c>
      <c r="BY112">
        <v>1.642204</v>
      </c>
      <c r="BZ112">
        <v>75.377944999999997</v>
      </c>
      <c r="CA112">
        <v>3.5199999999999999E-4</v>
      </c>
      <c r="CB112">
        <v>2.3486280000000002</v>
      </c>
      <c r="CC112">
        <v>-5.1E-5</v>
      </c>
      <c r="CD112">
        <v>1</v>
      </c>
      <c r="CE112">
        <v>2.4109430000000001</v>
      </c>
      <c r="CF112">
        <v>-5.7000000000000003E-5</v>
      </c>
      <c r="CG112">
        <v>1</v>
      </c>
      <c r="CH112">
        <v>0.60051900000000002</v>
      </c>
      <c r="CI112">
        <v>0.60216099999999995</v>
      </c>
      <c r="CJ112">
        <v>0.107265</v>
      </c>
      <c r="CK112">
        <v>0</v>
      </c>
      <c r="CL112" t="s">
        <v>373</v>
      </c>
      <c r="CM112" t="s">
        <v>201</v>
      </c>
      <c r="CN112" t="s">
        <v>202</v>
      </c>
      <c r="CO112" t="s">
        <v>203</v>
      </c>
      <c r="CP112" t="s">
        <v>204</v>
      </c>
      <c r="CQ112" t="s">
        <v>205</v>
      </c>
      <c r="CR112" t="s">
        <v>206</v>
      </c>
    </row>
    <row r="113" spans="1:96">
      <c r="A113">
        <v>4</v>
      </c>
      <c r="B113" s="3">
        <v>0.7415046296296296</v>
      </c>
      <c r="C113" s="1">
        <v>45133</v>
      </c>
      <c r="D113" t="s">
        <v>196</v>
      </c>
      <c r="E113" t="s">
        <v>197</v>
      </c>
      <c r="G113">
        <v>4</v>
      </c>
      <c r="J113">
        <v>5.9131999999999997E-2</v>
      </c>
      <c r="K113">
        <v>2.9196200000000001</v>
      </c>
      <c r="L113">
        <v>5.7958000000000003E-2</v>
      </c>
      <c r="M113">
        <v>2.1527980000000002</v>
      </c>
      <c r="N113">
        <v>2.1737350000000002</v>
      </c>
      <c r="O113">
        <v>2.1172770000000001</v>
      </c>
      <c r="P113">
        <v>5.5602830000000001</v>
      </c>
      <c r="Q113">
        <v>3.386549</v>
      </c>
      <c r="R113">
        <v>22.277515000000001</v>
      </c>
      <c r="S113">
        <v>22.871545999999999</v>
      </c>
      <c r="T113">
        <v>58.504047</v>
      </c>
      <c r="U113">
        <v>0.44178600000000001</v>
      </c>
      <c r="V113" t="s">
        <v>374</v>
      </c>
      <c r="W113">
        <v>0</v>
      </c>
      <c r="X113">
        <v>0</v>
      </c>
      <c r="Y113">
        <v>0</v>
      </c>
      <c r="Z113">
        <v>157.17243999999999</v>
      </c>
      <c r="AA113">
        <v>263.39553799999999</v>
      </c>
      <c r="AB113">
        <v>0.40328399999999998</v>
      </c>
      <c r="AC113">
        <v>0.5</v>
      </c>
      <c r="AD113">
        <v>0.8</v>
      </c>
      <c r="AE113">
        <v>161.693939</v>
      </c>
      <c r="AF113">
        <v>42.58</v>
      </c>
      <c r="AG113">
        <v>41.47</v>
      </c>
      <c r="AH113">
        <v>33.19</v>
      </c>
      <c r="AI113">
        <v>34.72</v>
      </c>
      <c r="AJ113">
        <v>95.04</v>
      </c>
      <c r="AK113">
        <v>156.4</v>
      </c>
      <c r="AL113">
        <v>147</v>
      </c>
      <c r="AM113">
        <v>6</v>
      </c>
      <c r="AN113">
        <v>1002</v>
      </c>
      <c r="AO113">
        <v>4.01</v>
      </c>
      <c r="AP113" s="3">
        <v>0.74085648148148142</v>
      </c>
      <c r="AQ113" s="1">
        <v>45133</v>
      </c>
      <c r="AR113">
        <v>0.02</v>
      </c>
      <c r="AS113">
        <v>-1E-3</v>
      </c>
      <c r="AT113">
        <v>-1E-3</v>
      </c>
      <c r="AU113">
        <v>1E-3</v>
      </c>
      <c r="AV113">
        <v>-2.6139999999999999</v>
      </c>
      <c r="AW113">
        <v>-4.234</v>
      </c>
      <c r="AX113">
        <v>-11.497</v>
      </c>
      <c r="AY113">
        <v>1</v>
      </c>
      <c r="AZ113">
        <v>150</v>
      </c>
      <c r="BA113">
        <v>5.0000000000000001E-3</v>
      </c>
      <c r="BB113">
        <v>2</v>
      </c>
      <c r="BC113">
        <v>0</v>
      </c>
      <c r="BD113" t="s">
        <v>200</v>
      </c>
      <c r="BE113">
        <v>7000</v>
      </c>
      <c r="BF113">
        <v>500</v>
      </c>
      <c r="BG113">
        <v>5</v>
      </c>
      <c r="BH113">
        <v>2</v>
      </c>
      <c r="BI113">
        <v>300</v>
      </c>
      <c r="BJ113">
        <v>300</v>
      </c>
      <c r="BK113">
        <v>300</v>
      </c>
      <c r="BL113">
        <v>260.217896</v>
      </c>
      <c r="BM113">
        <v>25</v>
      </c>
      <c r="BN113">
        <v>-2.0871430000000002</v>
      </c>
      <c r="BO113">
        <v>265.60055499999999</v>
      </c>
      <c r="BP113">
        <v>260.40194700000001</v>
      </c>
      <c r="BQ113">
        <v>5.1986080000000001</v>
      </c>
      <c r="BR113">
        <v>2.4095010000000001</v>
      </c>
      <c r="BS113">
        <v>2.4778120000000001</v>
      </c>
      <c r="BT113">
        <v>1.5887199999999999</v>
      </c>
      <c r="BU113">
        <v>0.96932700000000005</v>
      </c>
      <c r="BV113">
        <v>0.197357</v>
      </c>
      <c r="BW113">
        <v>1.9622000000000001E-2</v>
      </c>
      <c r="BX113">
        <v>0.15201700000000001</v>
      </c>
      <c r="BY113">
        <v>0.99623700000000004</v>
      </c>
      <c r="BZ113">
        <v>157.17243999999999</v>
      </c>
      <c r="CA113">
        <v>3.4699999999999998E-4</v>
      </c>
      <c r="CB113">
        <v>2.3486280000000002</v>
      </c>
      <c r="CC113">
        <v>-5.1E-5</v>
      </c>
      <c r="CD113">
        <v>1</v>
      </c>
      <c r="CE113">
        <v>2.4109430000000001</v>
      </c>
      <c r="CF113">
        <v>-5.7000000000000003E-5</v>
      </c>
      <c r="CG113">
        <v>1</v>
      </c>
      <c r="CH113">
        <v>0.60051900000000002</v>
      </c>
      <c r="CI113">
        <v>0.60216099999999995</v>
      </c>
      <c r="CJ113">
        <v>0.107265</v>
      </c>
      <c r="CK113">
        <v>0</v>
      </c>
      <c r="CL113" t="s">
        <v>374</v>
      </c>
      <c r="CM113" t="s">
        <v>201</v>
      </c>
      <c r="CN113" t="s">
        <v>202</v>
      </c>
      <c r="CO113" t="s">
        <v>203</v>
      </c>
      <c r="CP113" t="s">
        <v>204</v>
      </c>
      <c r="CQ113" t="s">
        <v>205</v>
      </c>
      <c r="CR113" t="s">
        <v>206</v>
      </c>
    </row>
    <row r="114" spans="1:96">
      <c r="A114">
        <v>1</v>
      </c>
      <c r="B114" s="3">
        <v>0.74877314814814822</v>
      </c>
      <c r="C114" s="1">
        <v>45133</v>
      </c>
      <c r="D114" t="s">
        <v>196</v>
      </c>
      <c r="E114" t="s">
        <v>197</v>
      </c>
      <c r="G114">
        <v>1</v>
      </c>
      <c r="J114">
        <v>0.171902</v>
      </c>
      <c r="K114">
        <v>2.920204</v>
      </c>
      <c r="L114">
        <v>0.16234599999999999</v>
      </c>
      <c r="M114">
        <v>6.0413759999999996</v>
      </c>
      <c r="N114">
        <v>2.3376070000000002</v>
      </c>
      <c r="O114">
        <v>2.1795079999999998</v>
      </c>
      <c r="P114">
        <v>5.7246940000000004</v>
      </c>
      <c r="Q114">
        <v>3.3870879999999999</v>
      </c>
      <c r="R114">
        <v>22.930122000000001</v>
      </c>
      <c r="S114">
        <v>24.593440999999999</v>
      </c>
      <c r="T114">
        <v>60.228240999999997</v>
      </c>
      <c r="U114">
        <v>0.44178600000000001</v>
      </c>
      <c r="V114" t="s">
        <v>375</v>
      </c>
      <c r="W114">
        <v>0</v>
      </c>
      <c r="X114">
        <v>0</v>
      </c>
      <c r="Y114">
        <v>0</v>
      </c>
      <c r="Z114">
        <v>145.86532600000001</v>
      </c>
      <c r="AA114">
        <v>216.24658199999999</v>
      </c>
      <c r="AB114">
        <v>0.32546799999999998</v>
      </c>
      <c r="AC114">
        <v>0.5</v>
      </c>
      <c r="AD114">
        <v>0.8</v>
      </c>
      <c r="AE114">
        <v>235.13476600000001</v>
      </c>
      <c r="AF114">
        <v>45.44</v>
      </c>
      <c r="AG114">
        <v>42.36</v>
      </c>
      <c r="AH114">
        <v>33.32</v>
      </c>
      <c r="AI114">
        <v>35.24</v>
      </c>
      <c r="AJ114">
        <v>95.05</v>
      </c>
      <c r="AK114">
        <v>156.5</v>
      </c>
      <c r="AL114">
        <v>147.30000000000001</v>
      </c>
      <c r="AM114">
        <v>5.9</v>
      </c>
      <c r="AN114">
        <v>1806</v>
      </c>
      <c r="AO114">
        <v>4.0090000000000003</v>
      </c>
      <c r="AP114" s="3">
        <v>0.74865740740740738</v>
      </c>
      <c r="AQ114" s="1">
        <v>45133</v>
      </c>
      <c r="AR114">
        <v>-0.02</v>
      </c>
      <c r="AS114">
        <v>1E-3</v>
      </c>
      <c r="AT114">
        <v>1E-3</v>
      </c>
      <c r="AU114">
        <v>-9999</v>
      </c>
      <c r="AV114">
        <v>-0.94399999999999995</v>
      </c>
      <c r="AW114">
        <v>1.1319999999999999</v>
      </c>
      <c r="AX114">
        <v>-9999</v>
      </c>
      <c r="AY114">
        <v>1</v>
      </c>
      <c r="AZ114">
        <v>150</v>
      </c>
      <c r="BA114">
        <v>5.0000000000000001E-3</v>
      </c>
      <c r="BB114">
        <v>2</v>
      </c>
      <c r="BC114">
        <v>0</v>
      </c>
      <c r="BD114" t="s">
        <v>200</v>
      </c>
      <c r="BE114">
        <v>7000</v>
      </c>
      <c r="BF114">
        <v>500</v>
      </c>
      <c r="BG114">
        <v>5</v>
      </c>
      <c r="BH114">
        <v>2</v>
      </c>
      <c r="BI114">
        <v>300</v>
      </c>
      <c r="BJ114">
        <v>300</v>
      </c>
      <c r="BK114">
        <v>300</v>
      </c>
      <c r="BL114">
        <v>205.41250600000001</v>
      </c>
      <c r="BM114">
        <v>25</v>
      </c>
      <c r="BN114">
        <v>-7.5611430000000004</v>
      </c>
      <c r="BO114">
        <v>205.218323</v>
      </c>
      <c r="BP114">
        <v>205.40158099999999</v>
      </c>
      <c r="BQ114">
        <v>-0.183258</v>
      </c>
      <c r="BR114">
        <v>2.4106130000000001</v>
      </c>
      <c r="BS114">
        <v>2.4817429999999998</v>
      </c>
      <c r="BT114">
        <v>1.589286</v>
      </c>
      <c r="BU114">
        <v>0.97015499999999999</v>
      </c>
      <c r="BV114">
        <v>0.19630300000000001</v>
      </c>
      <c r="BW114">
        <v>2.4771999999999999E-2</v>
      </c>
      <c r="BX114">
        <v>0.16761400000000001</v>
      </c>
      <c r="BY114">
        <v>1.7090860000000001</v>
      </c>
      <c r="BZ114">
        <v>145.86532600000001</v>
      </c>
      <c r="CA114">
        <v>3.4699999999999998E-4</v>
      </c>
      <c r="CB114">
        <v>2.3486280000000002</v>
      </c>
      <c r="CC114">
        <v>-5.1E-5</v>
      </c>
      <c r="CD114">
        <v>1</v>
      </c>
      <c r="CE114">
        <v>2.4109430000000001</v>
      </c>
      <c r="CF114">
        <v>-5.7000000000000003E-5</v>
      </c>
      <c r="CG114">
        <v>1</v>
      </c>
      <c r="CH114">
        <v>0.60051900000000002</v>
      </c>
      <c r="CI114">
        <v>0.60216099999999995</v>
      </c>
      <c r="CJ114">
        <v>0.107265</v>
      </c>
      <c r="CK114">
        <v>0</v>
      </c>
      <c r="CL114" t="s">
        <v>375</v>
      </c>
      <c r="CM114" t="s">
        <v>201</v>
      </c>
      <c r="CN114" t="s">
        <v>202</v>
      </c>
      <c r="CO114" t="s">
        <v>203</v>
      </c>
      <c r="CP114" t="s">
        <v>204</v>
      </c>
      <c r="CQ114" t="s">
        <v>205</v>
      </c>
      <c r="CR114" t="s">
        <v>206</v>
      </c>
    </row>
    <row r="115" spans="1:96">
      <c r="A115">
        <v>2</v>
      </c>
      <c r="B115" s="3">
        <v>0.74890046296296298</v>
      </c>
      <c r="C115" s="1">
        <v>45133</v>
      </c>
      <c r="D115" t="s">
        <v>196</v>
      </c>
      <c r="E115" t="s">
        <v>197</v>
      </c>
      <c r="G115">
        <v>2</v>
      </c>
      <c r="J115">
        <v>0.169627</v>
      </c>
      <c r="K115">
        <v>2.9184920000000001</v>
      </c>
      <c r="L115">
        <v>0.16030900000000001</v>
      </c>
      <c r="M115">
        <v>5.6080389999999998</v>
      </c>
      <c r="N115">
        <v>2.4763299999999999</v>
      </c>
      <c r="O115">
        <v>2.329583</v>
      </c>
      <c r="P115">
        <v>5.6593530000000003</v>
      </c>
      <c r="Q115">
        <v>3.1830229999999999</v>
      </c>
      <c r="R115">
        <v>24.507349000000001</v>
      </c>
      <c r="S115">
        <v>26.051138000000002</v>
      </c>
      <c r="T115">
        <v>59.536727999999997</v>
      </c>
      <c r="U115">
        <v>0.44178600000000001</v>
      </c>
      <c r="V115" t="s">
        <v>376</v>
      </c>
      <c r="W115">
        <v>0</v>
      </c>
      <c r="X115">
        <v>0</v>
      </c>
      <c r="Y115">
        <v>0</v>
      </c>
      <c r="Z115">
        <v>163.87760900000001</v>
      </c>
      <c r="AA115">
        <v>268.096924</v>
      </c>
      <c r="AB115">
        <v>0.388737</v>
      </c>
      <c r="AC115">
        <v>0.5</v>
      </c>
      <c r="AD115">
        <v>0.8</v>
      </c>
      <c r="AE115">
        <v>258.90628099999998</v>
      </c>
      <c r="AF115">
        <v>48.03</v>
      </c>
      <c r="AG115">
        <v>45.19</v>
      </c>
      <c r="AH115">
        <v>33.36</v>
      </c>
      <c r="AI115">
        <v>35.04</v>
      </c>
      <c r="AJ115">
        <v>95.06</v>
      </c>
      <c r="AK115">
        <v>156.30000000000001</v>
      </c>
      <c r="AL115">
        <v>147.19999999999999</v>
      </c>
      <c r="AM115">
        <v>5.8</v>
      </c>
      <c r="AN115">
        <v>1665</v>
      </c>
      <c r="AO115">
        <v>4.008</v>
      </c>
      <c r="AP115" s="3">
        <v>0.74865740740740738</v>
      </c>
      <c r="AQ115" s="1">
        <v>45133</v>
      </c>
      <c r="AR115">
        <v>-0.02</v>
      </c>
      <c r="AS115">
        <v>-3.0000000000000001E-3</v>
      </c>
      <c r="AT115">
        <v>-4.0000000000000001E-3</v>
      </c>
      <c r="AU115">
        <v>-9999</v>
      </c>
      <c r="AV115">
        <v>-2.2799999999999998</v>
      </c>
      <c r="AW115">
        <v>-2.157</v>
      </c>
      <c r="AX115">
        <v>-9999</v>
      </c>
      <c r="AY115">
        <v>1</v>
      </c>
      <c r="AZ115">
        <v>150</v>
      </c>
      <c r="BA115">
        <v>5.0000000000000001E-3</v>
      </c>
      <c r="BB115">
        <v>2</v>
      </c>
      <c r="BC115">
        <v>0</v>
      </c>
      <c r="BD115" t="s">
        <v>200</v>
      </c>
      <c r="BE115">
        <v>7000</v>
      </c>
      <c r="BF115">
        <v>500</v>
      </c>
      <c r="BG115">
        <v>5</v>
      </c>
      <c r="BH115">
        <v>2</v>
      </c>
      <c r="BI115">
        <v>300</v>
      </c>
      <c r="BJ115">
        <v>300</v>
      </c>
      <c r="BK115">
        <v>300</v>
      </c>
      <c r="BL115">
        <v>250.522614</v>
      </c>
      <c r="BM115">
        <v>25</v>
      </c>
      <c r="BN115">
        <v>-12.464934</v>
      </c>
      <c r="BO115">
        <v>248.95120199999999</v>
      </c>
      <c r="BP115">
        <v>250.218369</v>
      </c>
      <c r="BQ115">
        <v>-1.267166</v>
      </c>
      <c r="BR115">
        <v>2.4141900000000001</v>
      </c>
      <c r="BS115">
        <v>2.4852500000000002</v>
      </c>
      <c r="BT115">
        <v>1.5876300000000001</v>
      </c>
      <c r="BU115">
        <v>0.97004000000000001</v>
      </c>
      <c r="BV115">
        <v>0.196019</v>
      </c>
      <c r="BW115">
        <v>2.1555000000000001E-2</v>
      </c>
      <c r="BX115">
        <v>0.169297</v>
      </c>
      <c r="BY115">
        <v>1.583961</v>
      </c>
      <c r="BZ115">
        <v>163.87760900000001</v>
      </c>
      <c r="CA115">
        <v>3.48E-4</v>
      </c>
      <c r="CB115">
        <v>2.3486280000000002</v>
      </c>
      <c r="CC115">
        <v>-5.1E-5</v>
      </c>
      <c r="CD115">
        <v>1</v>
      </c>
      <c r="CE115">
        <v>2.4109430000000001</v>
      </c>
      <c r="CF115">
        <v>-5.7000000000000003E-5</v>
      </c>
      <c r="CG115">
        <v>1</v>
      </c>
      <c r="CH115">
        <v>0.60051900000000002</v>
      </c>
      <c r="CI115">
        <v>0.60216099999999995</v>
      </c>
      <c r="CJ115">
        <v>0.107265</v>
      </c>
      <c r="CK115">
        <v>0</v>
      </c>
      <c r="CL115" t="s">
        <v>376</v>
      </c>
      <c r="CM115" t="s">
        <v>201</v>
      </c>
      <c r="CN115" t="s">
        <v>202</v>
      </c>
      <c r="CO115" t="s">
        <v>203</v>
      </c>
      <c r="CP115" t="s">
        <v>204</v>
      </c>
      <c r="CQ115" t="s">
        <v>205</v>
      </c>
      <c r="CR115" t="s">
        <v>206</v>
      </c>
    </row>
    <row r="116" spans="1:96">
      <c r="A116">
        <v>3</v>
      </c>
      <c r="B116" s="3">
        <v>0.7490162037037037</v>
      </c>
      <c r="C116" s="1">
        <v>45133</v>
      </c>
      <c r="D116" t="s">
        <v>196</v>
      </c>
      <c r="E116" t="s">
        <v>197</v>
      </c>
      <c r="G116">
        <v>3</v>
      </c>
      <c r="J116">
        <v>6.7172999999999997E-2</v>
      </c>
      <c r="K116">
        <v>2.9205610000000002</v>
      </c>
      <c r="L116">
        <v>6.5661999999999998E-2</v>
      </c>
      <c r="M116">
        <v>3.1185260000000001</v>
      </c>
      <c r="N116">
        <v>2.3497620000000001</v>
      </c>
      <c r="O116">
        <v>2.268176</v>
      </c>
      <c r="P116">
        <v>6.6508250000000002</v>
      </c>
      <c r="Q116">
        <v>4.3010630000000001</v>
      </c>
      <c r="R116">
        <v>23.860025</v>
      </c>
      <c r="S116">
        <v>24.718268999999999</v>
      </c>
      <c r="T116">
        <v>69.963211000000001</v>
      </c>
      <c r="U116">
        <v>0.44178600000000001</v>
      </c>
      <c r="V116" t="s">
        <v>377</v>
      </c>
      <c r="W116">
        <v>0</v>
      </c>
      <c r="X116">
        <v>0</v>
      </c>
      <c r="Y116">
        <v>0</v>
      </c>
      <c r="Z116">
        <v>106.432198</v>
      </c>
      <c r="AA116">
        <v>167.717422</v>
      </c>
      <c r="AB116">
        <v>0.36540800000000001</v>
      </c>
      <c r="AC116">
        <v>0.5</v>
      </c>
      <c r="AD116">
        <v>0.8</v>
      </c>
      <c r="AE116">
        <v>250.58010899999999</v>
      </c>
      <c r="AF116">
        <v>45.5</v>
      </c>
      <c r="AG116">
        <v>43.92</v>
      </c>
      <c r="AH116">
        <v>33.39</v>
      </c>
      <c r="AI116">
        <v>37.979999999999997</v>
      </c>
      <c r="AJ116">
        <v>95.06</v>
      </c>
      <c r="AK116">
        <v>156.6</v>
      </c>
      <c r="AL116">
        <v>147.1</v>
      </c>
      <c r="AM116">
        <v>6</v>
      </c>
      <c r="AN116">
        <v>1714</v>
      </c>
      <c r="AO116">
        <v>4.0090000000000003</v>
      </c>
      <c r="AP116" s="3">
        <v>0.74865740740740738</v>
      </c>
      <c r="AQ116" s="1">
        <v>45133</v>
      </c>
      <c r="AR116">
        <v>-0.02</v>
      </c>
      <c r="AS116">
        <v>0</v>
      </c>
      <c r="AT116">
        <v>-2E-3</v>
      </c>
      <c r="AU116">
        <v>-9999</v>
      </c>
      <c r="AV116">
        <v>-0.104</v>
      </c>
      <c r="AW116">
        <v>0.85499999999999998</v>
      </c>
      <c r="AX116">
        <v>-9999</v>
      </c>
      <c r="AY116">
        <v>1</v>
      </c>
      <c r="AZ116">
        <v>150</v>
      </c>
      <c r="BA116">
        <v>5.0000000000000001E-3</v>
      </c>
      <c r="BB116">
        <v>2</v>
      </c>
      <c r="BC116">
        <v>0</v>
      </c>
      <c r="BD116" t="s">
        <v>200</v>
      </c>
      <c r="BE116">
        <v>7000</v>
      </c>
      <c r="BF116">
        <v>500</v>
      </c>
      <c r="BG116">
        <v>5</v>
      </c>
      <c r="BH116">
        <v>2</v>
      </c>
      <c r="BI116">
        <v>300</v>
      </c>
      <c r="BJ116">
        <v>300</v>
      </c>
      <c r="BK116">
        <v>300</v>
      </c>
      <c r="BL116">
        <v>156.83161899999999</v>
      </c>
      <c r="BM116">
        <v>25</v>
      </c>
      <c r="BN116">
        <v>-7.5466620000000004</v>
      </c>
      <c r="BO116">
        <v>156.24833699999999</v>
      </c>
      <c r="BP116">
        <v>156.89318800000001</v>
      </c>
      <c r="BQ116">
        <v>-0.64485199999999998</v>
      </c>
      <c r="BR116">
        <v>2.4125749999999999</v>
      </c>
      <c r="BS116">
        <v>2.4818090000000002</v>
      </c>
      <c r="BT116">
        <v>1.5896319999999999</v>
      </c>
      <c r="BU116">
        <v>0.96972800000000003</v>
      </c>
      <c r="BV116">
        <v>0.195774</v>
      </c>
      <c r="BW116">
        <v>6.0614000000000001E-2</v>
      </c>
      <c r="BX116">
        <v>0.17075799999999999</v>
      </c>
      <c r="BY116">
        <v>1.627721</v>
      </c>
      <c r="BZ116">
        <v>106.432198</v>
      </c>
      <c r="CA116">
        <v>3.4200000000000002E-4</v>
      </c>
      <c r="CB116">
        <v>2.3486280000000002</v>
      </c>
      <c r="CC116">
        <v>-5.1E-5</v>
      </c>
      <c r="CD116">
        <v>1</v>
      </c>
      <c r="CE116">
        <v>2.4109430000000001</v>
      </c>
      <c r="CF116">
        <v>-5.7000000000000003E-5</v>
      </c>
      <c r="CG116">
        <v>1</v>
      </c>
      <c r="CH116">
        <v>0.60051900000000002</v>
      </c>
      <c r="CI116">
        <v>0.60216099999999995</v>
      </c>
      <c r="CJ116">
        <v>0.107265</v>
      </c>
      <c r="CK116">
        <v>0</v>
      </c>
      <c r="CL116" t="s">
        <v>377</v>
      </c>
      <c r="CM116" t="s">
        <v>201</v>
      </c>
      <c r="CN116" t="s">
        <v>202</v>
      </c>
      <c r="CO116" t="s">
        <v>203</v>
      </c>
      <c r="CP116" t="s">
        <v>204</v>
      </c>
      <c r="CQ116" t="s">
        <v>205</v>
      </c>
      <c r="CR116" t="s">
        <v>206</v>
      </c>
    </row>
    <row r="117" spans="1:96">
      <c r="A117">
        <v>4</v>
      </c>
      <c r="B117" s="3">
        <v>0.74915509259259261</v>
      </c>
      <c r="C117" s="1">
        <v>45133</v>
      </c>
      <c r="D117" t="s">
        <v>196</v>
      </c>
      <c r="E117" t="s">
        <v>197</v>
      </c>
      <c r="G117">
        <v>4</v>
      </c>
      <c r="J117">
        <v>9.8557000000000006E-2</v>
      </c>
      <c r="K117">
        <v>2.91947</v>
      </c>
      <c r="L117">
        <v>9.5338999999999993E-2</v>
      </c>
      <c r="M117">
        <v>4.057099</v>
      </c>
      <c r="N117">
        <v>2.2831980000000001</v>
      </c>
      <c r="O117">
        <v>2.1768830000000001</v>
      </c>
      <c r="P117">
        <v>6.1493609999999999</v>
      </c>
      <c r="Q117">
        <v>3.8661620000000001</v>
      </c>
      <c r="R117">
        <v>22.898161000000002</v>
      </c>
      <c r="S117">
        <v>24.016476000000001</v>
      </c>
      <c r="T117">
        <v>64.683807000000002</v>
      </c>
      <c r="U117">
        <v>0.44178600000000001</v>
      </c>
      <c r="V117" t="s">
        <v>378</v>
      </c>
      <c r="W117">
        <v>0</v>
      </c>
      <c r="X117">
        <v>0</v>
      </c>
      <c r="Y117">
        <v>0</v>
      </c>
      <c r="Z117">
        <v>128.035065</v>
      </c>
      <c r="AA117">
        <v>196.247467</v>
      </c>
      <c r="AB117">
        <v>0.347584</v>
      </c>
      <c r="AC117">
        <v>0.5</v>
      </c>
      <c r="AD117">
        <v>0.8</v>
      </c>
      <c r="AE117">
        <v>249.456818</v>
      </c>
      <c r="AF117">
        <v>44.1</v>
      </c>
      <c r="AG117">
        <v>42.05</v>
      </c>
      <c r="AH117">
        <v>33.44</v>
      </c>
      <c r="AI117">
        <v>36.54</v>
      </c>
      <c r="AJ117">
        <v>95.07</v>
      </c>
      <c r="AK117">
        <v>156.4</v>
      </c>
      <c r="AL117">
        <v>147.30000000000001</v>
      </c>
      <c r="AM117">
        <v>5.9</v>
      </c>
      <c r="AN117">
        <v>1794</v>
      </c>
      <c r="AO117">
        <v>4.008</v>
      </c>
      <c r="AP117" s="3">
        <v>0.74865740740740738</v>
      </c>
      <c r="AQ117" s="1">
        <v>45133</v>
      </c>
      <c r="AR117">
        <v>-0.02</v>
      </c>
      <c r="AS117">
        <v>1E-3</v>
      </c>
      <c r="AT117">
        <v>-4.0000000000000001E-3</v>
      </c>
      <c r="AU117">
        <v>-9999</v>
      </c>
      <c r="AV117">
        <v>-0.58699999999999997</v>
      </c>
      <c r="AW117">
        <v>1.7330000000000001</v>
      </c>
      <c r="AX117">
        <v>-9999</v>
      </c>
      <c r="AY117">
        <v>1</v>
      </c>
      <c r="AZ117">
        <v>150</v>
      </c>
      <c r="BA117">
        <v>5.0000000000000001E-3</v>
      </c>
      <c r="BB117">
        <v>2</v>
      </c>
      <c r="BC117">
        <v>0</v>
      </c>
      <c r="BD117" t="s">
        <v>200</v>
      </c>
      <c r="BE117">
        <v>7000</v>
      </c>
      <c r="BF117">
        <v>500</v>
      </c>
      <c r="BG117">
        <v>5</v>
      </c>
      <c r="BH117">
        <v>2</v>
      </c>
      <c r="BI117">
        <v>300</v>
      </c>
      <c r="BJ117">
        <v>300</v>
      </c>
      <c r="BK117">
        <v>300</v>
      </c>
      <c r="BL117">
        <v>185.80806000000001</v>
      </c>
      <c r="BM117">
        <v>25</v>
      </c>
      <c r="BN117">
        <v>-7.2859949999999998</v>
      </c>
      <c r="BO117">
        <v>185.88816800000001</v>
      </c>
      <c r="BP117">
        <v>185.79710399999999</v>
      </c>
      <c r="BQ117">
        <v>9.1064000000000006E-2</v>
      </c>
      <c r="BR117">
        <v>2.4101870000000001</v>
      </c>
      <c r="BS117">
        <v>2.4799000000000002</v>
      </c>
      <c r="BT117">
        <v>1.5885750000000001</v>
      </c>
      <c r="BU117">
        <v>0.97012600000000004</v>
      </c>
      <c r="BV117">
        <v>0.19544500000000001</v>
      </c>
      <c r="BW117">
        <v>4.0606999999999997E-2</v>
      </c>
      <c r="BX117">
        <v>0.17255100000000001</v>
      </c>
      <c r="BY117">
        <v>1.6985239999999999</v>
      </c>
      <c r="BZ117">
        <v>128.035065</v>
      </c>
      <c r="CA117">
        <v>3.5300000000000002E-4</v>
      </c>
      <c r="CB117">
        <v>2.3486280000000002</v>
      </c>
      <c r="CC117">
        <v>-5.1E-5</v>
      </c>
      <c r="CD117">
        <v>1</v>
      </c>
      <c r="CE117">
        <v>2.4109430000000001</v>
      </c>
      <c r="CF117">
        <v>-5.7000000000000003E-5</v>
      </c>
      <c r="CG117">
        <v>1</v>
      </c>
      <c r="CH117">
        <v>0.60051900000000002</v>
      </c>
      <c r="CI117">
        <v>0.60216099999999995</v>
      </c>
      <c r="CJ117">
        <v>0.107265</v>
      </c>
      <c r="CK117">
        <v>0</v>
      </c>
      <c r="CL117" t="s">
        <v>378</v>
      </c>
      <c r="CM117" t="s">
        <v>201</v>
      </c>
      <c r="CN117" t="s">
        <v>202</v>
      </c>
      <c r="CO117" t="s">
        <v>203</v>
      </c>
      <c r="CP117" t="s">
        <v>204</v>
      </c>
      <c r="CQ117" t="s">
        <v>205</v>
      </c>
      <c r="CR117" t="s">
        <v>206</v>
      </c>
    </row>
    <row r="118" spans="1:96">
      <c r="A118">
        <v>1</v>
      </c>
      <c r="B118" s="3">
        <v>0.75613425925925926</v>
      </c>
      <c r="C118" s="1">
        <v>45133</v>
      </c>
      <c r="D118" t="s">
        <v>196</v>
      </c>
      <c r="E118" t="s">
        <v>197</v>
      </c>
      <c r="G118">
        <v>1</v>
      </c>
      <c r="J118">
        <v>0.112606</v>
      </c>
      <c r="K118">
        <v>2.9181910000000002</v>
      </c>
      <c r="L118">
        <v>0.108422</v>
      </c>
      <c r="M118">
        <v>4.165788</v>
      </c>
      <c r="N118">
        <v>2.377853</v>
      </c>
      <c r="O118">
        <v>2.2687339999999998</v>
      </c>
      <c r="P118">
        <v>5.8706769999999997</v>
      </c>
      <c r="Q118">
        <v>3.4928240000000002</v>
      </c>
      <c r="R118">
        <v>23.873491000000001</v>
      </c>
      <c r="S118">
        <v>25.021740000000001</v>
      </c>
      <c r="T118">
        <v>61.776119000000001</v>
      </c>
      <c r="U118">
        <v>0.44178600000000001</v>
      </c>
      <c r="V118" t="s">
        <v>379</v>
      </c>
      <c r="W118">
        <v>0</v>
      </c>
      <c r="X118">
        <v>0</v>
      </c>
      <c r="Y118">
        <v>0</v>
      </c>
      <c r="Z118">
        <v>112.573387</v>
      </c>
      <c r="AA118">
        <v>177.872131</v>
      </c>
      <c r="AB118">
        <v>0.36711100000000002</v>
      </c>
      <c r="AC118">
        <v>0.5</v>
      </c>
      <c r="AD118">
        <v>0.8</v>
      </c>
      <c r="AE118">
        <v>256.31094400000001</v>
      </c>
      <c r="AF118">
        <v>45.6</v>
      </c>
      <c r="AG118">
        <v>43.5</v>
      </c>
      <c r="AH118">
        <v>33.57</v>
      </c>
      <c r="AI118">
        <v>35.700000000000003</v>
      </c>
      <c r="AJ118">
        <v>95.03</v>
      </c>
      <c r="AK118">
        <v>156.30000000000001</v>
      </c>
      <c r="AL118">
        <v>147.1</v>
      </c>
      <c r="AM118">
        <v>5.8</v>
      </c>
      <c r="AN118">
        <v>1745</v>
      </c>
      <c r="AO118">
        <v>3.9689999999999999</v>
      </c>
      <c r="AP118" s="3">
        <v>0.75606481481481491</v>
      </c>
      <c r="AQ118" s="1">
        <v>45133</v>
      </c>
      <c r="AR118">
        <v>-0.04</v>
      </c>
      <c r="AS118">
        <v>5.0000000000000001E-3</v>
      </c>
      <c r="AT118">
        <v>5.0000000000000001E-3</v>
      </c>
      <c r="AU118">
        <v>-9999</v>
      </c>
      <c r="AV118">
        <v>-0.23300000000000001</v>
      </c>
      <c r="AW118">
        <v>2.2389999999999999</v>
      </c>
      <c r="AX118">
        <v>-9999</v>
      </c>
      <c r="AY118">
        <v>1</v>
      </c>
      <c r="AZ118">
        <v>150</v>
      </c>
      <c r="BA118">
        <v>5.0000000000000001E-3</v>
      </c>
      <c r="BB118">
        <v>2</v>
      </c>
      <c r="BC118">
        <v>0</v>
      </c>
      <c r="BD118" t="s">
        <v>200</v>
      </c>
      <c r="BE118">
        <v>7000</v>
      </c>
      <c r="BF118">
        <v>500</v>
      </c>
      <c r="BG118">
        <v>5</v>
      </c>
      <c r="BH118">
        <v>2</v>
      </c>
      <c r="BI118">
        <v>300</v>
      </c>
      <c r="BJ118">
        <v>300</v>
      </c>
      <c r="BK118">
        <v>300</v>
      </c>
      <c r="BL118">
        <v>161.069153</v>
      </c>
      <c r="BM118">
        <v>25</v>
      </c>
      <c r="BN118">
        <v>-12.775380999999999</v>
      </c>
      <c r="BO118">
        <v>156.23474100000001</v>
      </c>
      <c r="BP118">
        <v>159.54830899999999</v>
      </c>
      <c r="BQ118">
        <v>-3.3135680000000001</v>
      </c>
      <c r="BR118">
        <v>2.412013</v>
      </c>
      <c r="BS118">
        <v>2.4819249999999999</v>
      </c>
      <c r="BT118">
        <v>1.5873390000000001</v>
      </c>
      <c r="BU118">
        <v>0.969692</v>
      </c>
      <c r="BV118">
        <v>0.19445299999999999</v>
      </c>
      <c r="BW118">
        <v>2.7657000000000001E-2</v>
      </c>
      <c r="BX118">
        <v>0.16891600000000001</v>
      </c>
      <c r="BY118">
        <v>1.6552800000000001</v>
      </c>
      <c r="BZ118">
        <v>112.573387</v>
      </c>
      <c r="CA118">
        <v>3.48E-4</v>
      </c>
      <c r="CB118">
        <v>2.3486280000000002</v>
      </c>
      <c r="CC118">
        <v>-5.1E-5</v>
      </c>
      <c r="CD118">
        <v>1</v>
      </c>
      <c r="CE118">
        <v>2.4109430000000001</v>
      </c>
      <c r="CF118">
        <v>-5.7000000000000003E-5</v>
      </c>
      <c r="CG118">
        <v>1</v>
      </c>
      <c r="CH118">
        <v>0.60051900000000002</v>
      </c>
      <c r="CI118">
        <v>0.60216099999999995</v>
      </c>
      <c r="CJ118">
        <v>0.107265</v>
      </c>
      <c r="CK118">
        <v>0</v>
      </c>
      <c r="CL118" t="s">
        <v>379</v>
      </c>
      <c r="CM118" t="s">
        <v>201</v>
      </c>
      <c r="CN118" t="s">
        <v>202</v>
      </c>
      <c r="CO118" t="s">
        <v>203</v>
      </c>
      <c r="CP118" t="s">
        <v>204</v>
      </c>
      <c r="CQ118" t="s">
        <v>205</v>
      </c>
      <c r="CR118" t="s">
        <v>206</v>
      </c>
    </row>
    <row r="119" spans="1:96">
      <c r="A119">
        <v>2</v>
      </c>
      <c r="B119" s="3">
        <v>0.75638888888888889</v>
      </c>
      <c r="C119" s="1">
        <v>45133</v>
      </c>
      <c r="D119" t="s">
        <v>196</v>
      </c>
      <c r="E119" t="s">
        <v>197</v>
      </c>
      <c r="G119">
        <v>2</v>
      </c>
      <c r="J119">
        <v>0.11508</v>
      </c>
      <c r="K119">
        <v>2.919114</v>
      </c>
      <c r="L119">
        <v>0.11071499999999999</v>
      </c>
      <c r="M119">
        <v>4.3041919999999996</v>
      </c>
      <c r="N119">
        <v>2.340614</v>
      </c>
      <c r="O119">
        <v>2.2278959999999999</v>
      </c>
      <c r="P119">
        <v>5.8756839999999997</v>
      </c>
      <c r="Q119">
        <v>3.5350700000000002</v>
      </c>
      <c r="R119">
        <v>23.441793000000001</v>
      </c>
      <c r="S119">
        <v>24.627806</v>
      </c>
      <c r="T119">
        <v>61.823605000000001</v>
      </c>
      <c r="U119">
        <v>0.44178600000000001</v>
      </c>
      <c r="V119" t="s">
        <v>380</v>
      </c>
      <c r="W119">
        <v>0</v>
      </c>
      <c r="X119">
        <v>0</v>
      </c>
      <c r="Y119">
        <v>0</v>
      </c>
      <c r="Z119">
        <v>154.441956</v>
      </c>
      <c r="AA119">
        <v>201.66203300000001</v>
      </c>
      <c r="AB119">
        <v>0.234155</v>
      </c>
      <c r="AC119">
        <v>0.5</v>
      </c>
      <c r="AD119">
        <v>0.8</v>
      </c>
      <c r="AE119">
        <v>152.42083700000001</v>
      </c>
      <c r="AF119">
        <v>44.75</v>
      </c>
      <c r="AG119">
        <v>42.6</v>
      </c>
      <c r="AH119">
        <v>33.619999999999997</v>
      </c>
      <c r="AI119">
        <v>35.71</v>
      </c>
      <c r="AJ119">
        <v>95.04</v>
      </c>
      <c r="AK119">
        <v>156.4</v>
      </c>
      <c r="AL119">
        <v>147</v>
      </c>
      <c r="AM119">
        <v>6</v>
      </c>
      <c r="AN119">
        <v>1627</v>
      </c>
      <c r="AO119">
        <v>4.0010000000000003</v>
      </c>
      <c r="AP119" s="3">
        <v>0.75606481481481491</v>
      </c>
      <c r="AQ119" s="1">
        <v>45133</v>
      </c>
      <c r="AR119">
        <v>-0.04</v>
      </c>
      <c r="AS119">
        <v>-3.0000000000000001E-3</v>
      </c>
      <c r="AT119">
        <v>-4.0000000000000001E-3</v>
      </c>
      <c r="AU119">
        <v>5.0000000000000001E-3</v>
      </c>
      <c r="AV119">
        <v>-2.3090000000000002</v>
      </c>
      <c r="AW119">
        <v>-3.0070000000000001</v>
      </c>
      <c r="AX119">
        <v>-8.5350000000000001</v>
      </c>
      <c r="AY119">
        <v>1</v>
      </c>
      <c r="AZ119">
        <v>150</v>
      </c>
      <c r="BA119">
        <v>5.0000000000000001E-3</v>
      </c>
      <c r="BB119">
        <v>2</v>
      </c>
      <c r="BC119">
        <v>0</v>
      </c>
      <c r="BD119" t="s">
        <v>200</v>
      </c>
      <c r="BE119">
        <v>7000</v>
      </c>
      <c r="BF119">
        <v>500</v>
      </c>
      <c r="BG119">
        <v>5</v>
      </c>
      <c r="BH119">
        <v>2</v>
      </c>
      <c r="BI119">
        <v>300</v>
      </c>
      <c r="BJ119">
        <v>300</v>
      </c>
      <c r="BK119">
        <v>300</v>
      </c>
      <c r="BL119">
        <v>199.69189499999999</v>
      </c>
      <c r="BM119">
        <v>25</v>
      </c>
      <c r="BN119">
        <v>-1.2888520000000001</v>
      </c>
      <c r="BO119">
        <v>204.172256</v>
      </c>
      <c r="BP119">
        <v>199.81341599999999</v>
      </c>
      <c r="BQ119">
        <v>4.358841</v>
      </c>
      <c r="BR119">
        <v>2.4108520000000002</v>
      </c>
      <c r="BS119">
        <v>2.4807700000000001</v>
      </c>
      <c r="BT119">
        <v>1.58823</v>
      </c>
      <c r="BU119">
        <v>0.96938500000000005</v>
      </c>
      <c r="BV119">
        <v>0.19406699999999999</v>
      </c>
      <c r="BW119">
        <v>2.7199000000000001E-2</v>
      </c>
      <c r="BX119">
        <v>0.172236</v>
      </c>
      <c r="BY119">
        <v>1.550532</v>
      </c>
      <c r="BZ119">
        <v>154.441956</v>
      </c>
      <c r="CA119">
        <v>3.4400000000000001E-4</v>
      </c>
      <c r="CB119">
        <v>2.3486280000000002</v>
      </c>
      <c r="CC119">
        <v>-5.1E-5</v>
      </c>
      <c r="CD119">
        <v>1</v>
      </c>
      <c r="CE119">
        <v>2.4109430000000001</v>
      </c>
      <c r="CF119">
        <v>-5.7000000000000003E-5</v>
      </c>
      <c r="CG119">
        <v>1</v>
      </c>
      <c r="CH119">
        <v>0.60051900000000002</v>
      </c>
      <c r="CI119">
        <v>0.60216099999999995</v>
      </c>
      <c r="CJ119">
        <v>0.107265</v>
      </c>
      <c r="CK119">
        <v>0</v>
      </c>
      <c r="CL119" t="s">
        <v>380</v>
      </c>
      <c r="CM119" t="s">
        <v>201</v>
      </c>
      <c r="CN119" t="s">
        <v>202</v>
      </c>
      <c r="CO119" t="s">
        <v>203</v>
      </c>
      <c r="CP119" t="s">
        <v>204</v>
      </c>
      <c r="CQ119" t="s">
        <v>205</v>
      </c>
      <c r="CR119" t="s">
        <v>206</v>
      </c>
    </row>
    <row r="120" spans="1:96">
      <c r="A120">
        <v>3</v>
      </c>
      <c r="B120" s="3">
        <v>0.75649305555555557</v>
      </c>
      <c r="C120" s="1">
        <v>45133</v>
      </c>
      <c r="D120" t="s">
        <v>196</v>
      </c>
      <c r="E120" t="s">
        <v>197</v>
      </c>
      <c r="G120">
        <v>3</v>
      </c>
      <c r="J120">
        <v>0.12427100000000001</v>
      </c>
      <c r="K120">
        <v>2.918793</v>
      </c>
      <c r="L120">
        <v>0.119196</v>
      </c>
      <c r="M120">
        <v>4.3228080000000002</v>
      </c>
      <c r="N120">
        <v>2.349145</v>
      </c>
      <c r="O120">
        <v>2.2359290000000001</v>
      </c>
      <c r="P120">
        <v>5.6506080000000001</v>
      </c>
      <c r="Q120">
        <v>3.3014619999999999</v>
      </c>
      <c r="R120">
        <v>23.527730999999999</v>
      </c>
      <c r="S120">
        <v>24.719062999999998</v>
      </c>
      <c r="T120">
        <v>59.458958000000003</v>
      </c>
      <c r="U120">
        <v>0.44178600000000001</v>
      </c>
      <c r="V120" t="s">
        <v>381</v>
      </c>
      <c r="W120">
        <v>0</v>
      </c>
      <c r="X120">
        <v>0</v>
      </c>
      <c r="Y120">
        <v>0</v>
      </c>
      <c r="Z120">
        <v>206.67207300000001</v>
      </c>
      <c r="AA120">
        <v>284.33206200000001</v>
      </c>
      <c r="AB120">
        <v>0.27313100000000001</v>
      </c>
      <c r="AC120">
        <v>0.5</v>
      </c>
      <c r="AD120">
        <v>0.8</v>
      </c>
      <c r="AE120">
        <v>174.10652200000001</v>
      </c>
      <c r="AF120">
        <v>44.87</v>
      </c>
      <c r="AG120">
        <v>42.71</v>
      </c>
      <c r="AH120">
        <v>33.64</v>
      </c>
      <c r="AI120">
        <v>35.01</v>
      </c>
      <c r="AJ120">
        <v>95.03</v>
      </c>
      <c r="AK120">
        <v>156.30000000000001</v>
      </c>
      <c r="AL120">
        <v>147.30000000000001</v>
      </c>
      <c r="AM120">
        <v>5.8</v>
      </c>
      <c r="AN120">
        <v>1594</v>
      </c>
      <c r="AO120">
        <v>3.976</v>
      </c>
      <c r="AP120" s="3">
        <v>0.75606481481481491</v>
      </c>
      <c r="AQ120" s="1">
        <v>45133</v>
      </c>
      <c r="AR120">
        <v>-0.04</v>
      </c>
      <c r="AS120">
        <v>3.0000000000000001E-3</v>
      </c>
      <c r="AT120">
        <v>4.0000000000000001E-3</v>
      </c>
      <c r="AU120">
        <v>-9999</v>
      </c>
      <c r="AV120">
        <v>0.11</v>
      </c>
      <c r="AW120">
        <v>2.367</v>
      </c>
      <c r="AX120">
        <v>-9999</v>
      </c>
      <c r="AY120">
        <v>1</v>
      </c>
      <c r="AZ120">
        <v>150</v>
      </c>
      <c r="BA120">
        <v>5.0000000000000001E-3</v>
      </c>
      <c r="BB120">
        <v>2</v>
      </c>
      <c r="BC120">
        <v>0</v>
      </c>
      <c r="BD120" t="s">
        <v>200</v>
      </c>
      <c r="BE120">
        <v>7000</v>
      </c>
      <c r="BF120">
        <v>500</v>
      </c>
      <c r="BG120">
        <v>5</v>
      </c>
      <c r="BH120">
        <v>2</v>
      </c>
      <c r="BI120">
        <v>300</v>
      </c>
      <c r="BJ120">
        <v>300</v>
      </c>
      <c r="BK120">
        <v>300</v>
      </c>
      <c r="BL120">
        <v>277.845032</v>
      </c>
      <c r="BM120">
        <v>25</v>
      </c>
      <c r="BN120">
        <v>-4.4403839999999999</v>
      </c>
      <c r="BO120">
        <v>280.24111900000003</v>
      </c>
      <c r="BP120">
        <v>277.96319599999998</v>
      </c>
      <c r="BQ120">
        <v>2.2779240000000001</v>
      </c>
      <c r="BR120">
        <v>2.410984</v>
      </c>
      <c r="BS120">
        <v>2.4809199999999998</v>
      </c>
      <c r="BT120">
        <v>1.58792</v>
      </c>
      <c r="BU120">
        <v>0.970167</v>
      </c>
      <c r="BV120">
        <v>0.19391800000000001</v>
      </c>
      <c r="BW120">
        <v>1.7603000000000001E-2</v>
      </c>
      <c r="BX120">
        <v>0.17358299999999999</v>
      </c>
      <c r="BY120">
        <v>1.52061</v>
      </c>
      <c r="BZ120">
        <v>206.67207300000001</v>
      </c>
      <c r="CA120">
        <v>3.48E-4</v>
      </c>
      <c r="CB120">
        <v>2.3486280000000002</v>
      </c>
      <c r="CC120">
        <v>-5.1E-5</v>
      </c>
      <c r="CD120">
        <v>1</v>
      </c>
      <c r="CE120">
        <v>2.4109430000000001</v>
      </c>
      <c r="CF120">
        <v>-5.7000000000000003E-5</v>
      </c>
      <c r="CG120">
        <v>1</v>
      </c>
      <c r="CH120">
        <v>0.60051900000000002</v>
      </c>
      <c r="CI120">
        <v>0.60216099999999995</v>
      </c>
      <c r="CJ120">
        <v>0.107265</v>
      </c>
      <c r="CK120">
        <v>0</v>
      </c>
      <c r="CL120" t="s">
        <v>381</v>
      </c>
      <c r="CM120" t="s">
        <v>201</v>
      </c>
      <c r="CN120" t="s">
        <v>202</v>
      </c>
      <c r="CO120" t="s">
        <v>203</v>
      </c>
      <c r="CP120" t="s">
        <v>204</v>
      </c>
      <c r="CQ120" t="s">
        <v>205</v>
      </c>
      <c r="CR120" t="s">
        <v>206</v>
      </c>
    </row>
    <row r="121" spans="1:96">
      <c r="A121">
        <v>4</v>
      </c>
      <c r="B121" s="3">
        <v>0.75667824074074075</v>
      </c>
      <c r="C121" s="1">
        <v>45133</v>
      </c>
      <c r="D121" t="s">
        <v>196</v>
      </c>
      <c r="E121" t="s">
        <v>197</v>
      </c>
      <c r="G121">
        <v>4</v>
      </c>
      <c r="J121">
        <v>5.2005000000000003E-2</v>
      </c>
      <c r="K121">
        <v>2.9181889999999999</v>
      </c>
      <c r="L121">
        <v>5.1094000000000001E-2</v>
      </c>
      <c r="M121">
        <v>2.1670790000000002</v>
      </c>
      <c r="N121">
        <v>2.3392680000000001</v>
      </c>
      <c r="O121">
        <v>2.282483</v>
      </c>
      <c r="P121">
        <v>6.1887910000000002</v>
      </c>
      <c r="Q121">
        <v>3.849523</v>
      </c>
      <c r="R121">
        <v>24.019434</v>
      </c>
      <c r="S121">
        <v>24.617010000000001</v>
      </c>
      <c r="T121">
        <v>65.126998999999998</v>
      </c>
      <c r="U121">
        <v>0.44178600000000001</v>
      </c>
      <c r="V121" t="s">
        <v>382</v>
      </c>
      <c r="W121">
        <v>0</v>
      </c>
      <c r="X121">
        <v>0</v>
      </c>
      <c r="Y121">
        <v>0</v>
      </c>
      <c r="Z121">
        <v>265.87738000000002</v>
      </c>
      <c r="AA121">
        <v>327.07720899999998</v>
      </c>
      <c r="AB121">
        <v>0.187111</v>
      </c>
      <c r="AC121">
        <v>0.5</v>
      </c>
      <c r="AD121">
        <v>0.8</v>
      </c>
      <c r="AE121">
        <v>126.889381</v>
      </c>
      <c r="AF121">
        <v>44.61</v>
      </c>
      <c r="AG121">
        <v>43.52</v>
      </c>
      <c r="AH121">
        <v>33.67</v>
      </c>
      <c r="AI121">
        <v>36.659999999999997</v>
      </c>
      <c r="AJ121">
        <v>95.03</v>
      </c>
      <c r="AK121">
        <v>156.30000000000001</v>
      </c>
      <c r="AL121">
        <v>147.19999999999999</v>
      </c>
      <c r="AM121">
        <v>5.8</v>
      </c>
      <c r="AN121">
        <v>1695</v>
      </c>
      <c r="AO121">
        <v>4.0060000000000002</v>
      </c>
      <c r="AP121" s="3">
        <v>0.75606481481481491</v>
      </c>
      <c r="AQ121" s="1">
        <v>45133</v>
      </c>
      <c r="AR121">
        <v>-0.04</v>
      </c>
      <c r="AS121">
        <v>2E-3</v>
      </c>
      <c r="AT121">
        <v>-1E-3</v>
      </c>
      <c r="AU121">
        <v>-1E-3</v>
      </c>
      <c r="AV121">
        <v>-2.1429999999999998</v>
      </c>
      <c r="AW121">
        <v>-4.3010000000000002</v>
      </c>
      <c r="AX121">
        <v>-10.257</v>
      </c>
      <c r="AY121">
        <v>1</v>
      </c>
      <c r="AZ121">
        <v>150</v>
      </c>
      <c r="BA121">
        <v>5.0000000000000001E-3</v>
      </c>
      <c r="BB121">
        <v>2</v>
      </c>
      <c r="BC121">
        <v>0</v>
      </c>
      <c r="BD121" t="s">
        <v>200</v>
      </c>
      <c r="BE121">
        <v>7000</v>
      </c>
      <c r="BF121">
        <v>500</v>
      </c>
      <c r="BG121">
        <v>5</v>
      </c>
      <c r="BH121">
        <v>2</v>
      </c>
      <c r="BI121">
        <v>300</v>
      </c>
      <c r="BJ121">
        <v>300</v>
      </c>
      <c r="BK121">
        <v>300</v>
      </c>
      <c r="BL121">
        <v>323.31024200000002</v>
      </c>
      <c r="BM121">
        <v>25</v>
      </c>
      <c r="BN121">
        <v>-2.5324490000000002</v>
      </c>
      <c r="BO121">
        <v>326.19058200000001</v>
      </c>
      <c r="BP121">
        <v>323.444885</v>
      </c>
      <c r="BQ121">
        <v>2.7456969999999998</v>
      </c>
      <c r="BR121">
        <v>2.4120180000000002</v>
      </c>
      <c r="BS121">
        <v>2.4805570000000001</v>
      </c>
      <c r="BT121">
        <v>1.587337</v>
      </c>
      <c r="BU121">
        <v>0.969889</v>
      </c>
      <c r="BV121">
        <v>0.19369700000000001</v>
      </c>
      <c r="BW121">
        <v>3.9170999999999997E-2</v>
      </c>
      <c r="BX121">
        <v>0.17580299999999999</v>
      </c>
      <c r="BY121">
        <v>1.610857</v>
      </c>
      <c r="BZ121">
        <v>265.87738000000002</v>
      </c>
      <c r="CA121">
        <v>3.5100000000000002E-4</v>
      </c>
      <c r="CB121">
        <v>2.3486280000000002</v>
      </c>
      <c r="CC121">
        <v>-5.1E-5</v>
      </c>
      <c r="CD121">
        <v>1</v>
      </c>
      <c r="CE121">
        <v>2.4109430000000001</v>
      </c>
      <c r="CF121">
        <v>-5.7000000000000003E-5</v>
      </c>
      <c r="CG121">
        <v>1</v>
      </c>
      <c r="CH121">
        <v>0.60051900000000002</v>
      </c>
      <c r="CI121">
        <v>0.60216099999999995</v>
      </c>
      <c r="CJ121">
        <v>0.107265</v>
      </c>
      <c r="CK121">
        <v>0</v>
      </c>
      <c r="CL121" t="s">
        <v>382</v>
      </c>
      <c r="CM121" t="s">
        <v>201</v>
      </c>
      <c r="CN121" t="s">
        <v>202</v>
      </c>
      <c r="CO121" t="s">
        <v>203</v>
      </c>
      <c r="CP121" t="s">
        <v>204</v>
      </c>
      <c r="CQ121" t="s">
        <v>205</v>
      </c>
      <c r="CR121" t="s">
        <v>206</v>
      </c>
    </row>
    <row r="122" spans="1:96">
      <c r="A122">
        <v>5</v>
      </c>
      <c r="B122" s="3">
        <v>0.7568287037037037</v>
      </c>
      <c r="C122" s="1">
        <v>45133</v>
      </c>
      <c r="D122" t="s">
        <v>196</v>
      </c>
      <c r="E122" t="s">
        <v>197</v>
      </c>
      <c r="G122">
        <v>5</v>
      </c>
      <c r="J122">
        <v>0.14992900000000001</v>
      </c>
      <c r="K122">
        <v>2.9190740000000002</v>
      </c>
      <c r="L122">
        <v>0.14260500000000001</v>
      </c>
      <c r="M122">
        <v>5.4182940000000004</v>
      </c>
      <c r="N122">
        <v>2.395451</v>
      </c>
      <c r="O122">
        <v>2.253647</v>
      </c>
      <c r="P122">
        <v>5.8495869999999996</v>
      </c>
      <c r="Q122">
        <v>3.4541369999999998</v>
      </c>
      <c r="R122">
        <v>23.714549999999999</v>
      </c>
      <c r="S122">
        <v>25.206713000000001</v>
      </c>
      <c r="T122">
        <v>61.553711</v>
      </c>
      <c r="U122">
        <v>0.44178600000000001</v>
      </c>
      <c r="V122" t="s">
        <v>383</v>
      </c>
      <c r="W122">
        <v>0</v>
      </c>
      <c r="X122">
        <v>0</v>
      </c>
      <c r="Y122">
        <v>0</v>
      </c>
      <c r="Z122">
        <v>108.716728</v>
      </c>
      <c r="AA122">
        <v>203.44409200000001</v>
      </c>
      <c r="AB122">
        <v>0.46561900000000001</v>
      </c>
      <c r="AC122">
        <v>0.5</v>
      </c>
      <c r="AD122">
        <v>0.8</v>
      </c>
      <c r="AE122">
        <v>299.58306900000002</v>
      </c>
      <c r="AF122">
        <v>45.61</v>
      </c>
      <c r="AG122">
        <v>42.91</v>
      </c>
      <c r="AH122">
        <v>33.69</v>
      </c>
      <c r="AI122">
        <v>35.630000000000003</v>
      </c>
      <c r="AJ122">
        <v>95.03</v>
      </c>
      <c r="AK122">
        <v>156.4</v>
      </c>
      <c r="AL122">
        <v>147.4</v>
      </c>
      <c r="AM122">
        <v>5.8</v>
      </c>
      <c r="AN122">
        <v>1609</v>
      </c>
      <c r="AO122">
        <v>4.0060000000000002</v>
      </c>
      <c r="AP122" s="3">
        <v>0.75606481481481491</v>
      </c>
      <c r="AQ122" s="1">
        <v>45133</v>
      </c>
      <c r="AR122">
        <v>-0.04</v>
      </c>
      <c r="AS122">
        <v>0</v>
      </c>
      <c r="AT122">
        <v>0</v>
      </c>
      <c r="AU122">
        <v>8.9999999999999993E-3</v>
      </c>
      <c r="AV122">
        <v>-1.254</v>
      </c>
      <c r="AW122">
        <v>-1.46</v>
      </c>
      <c r="AX122">
        <v>3.597</v>
      </c>
      <c r="AY122">
        <v>1</v>
      </c>
      <c r="AZ122">
        <v>150</v>
      </c>
      <c r="BA122">
        <v>5.0000000000000001E-3</v>
      </c>
      <c r="BB122">
        <v>2</v>
      </c>
      <c r="BC122">
        <v>0</v>
      </c>
      <c r="BD122" t="s">
        <v>200</v>
      </c>
      <c r="BE122">
        <v>7000</v>
      </c>
      <c r="BF122">
        <v>500</v>
      </c>
      <c r="BG122">
        <v>5</v>
      </c>
      <c r="BH122">
        <v>2</v>
      </c>
      <c r="BI122">
        <v>300</v>
      </c>
      <c r="BJ122">
        <v>300</v>
      </c>
      <c r="BK122">
        <v>300</v>
      </c>
      <c r="BL122">
        <v>180.555939</v>
      </c>
      <c r="BM122">
        <v>25</v>
      </c>
      <c r="BN122">
        <v>-16.411138999999999</v>
      </c>
      <c r="BO122">
        <v>176.235443</v>
      </c>
      <c r="BP122">
        <v>179.905472</v>
      </c>
      <c r="BQ122">
        <v>-3.670029</v>
      </c>
      <c r="BR122">
        <v>2.4112300000000002</v>
      </c>
      <c r="BS122">
        <v>2.481913</v>
      </c>
      <c r="BT122">
        <v>1.588192</v>
      </c>
      <c r="BU122">
        <v>0.97040899999999997</v>
      </c>
      <c r="BV122">
        <v>0.193491</v>
      </c>
      <c r="BW122">
        <v>2.5137E-2</v>
      </c>
      <c r="BX122">
        <v>0.17759</v>
      </c>
      <c r="BY122">
        <v>1.5338309999999999</v>
      </c>
      <c r="BZ122">
        <v>108.716728</v>
      </c>
      <c r="CA122">
        <v>3.48E-4</v>
      </c>
      <c r="CB122">
        <v>2.3486280000000002</v>
      </c>
      <c r="CC122">
        <v>-5.1E-5</v>
      </c>
      <c r="CD122">
        <v>1</v>
      </c>
      <c r="CE122">
        <v>2.4109430000000001</v>
      </c>
      <c r="CF122">
        <v>-5.7000000000000003E-5</v>
      </c>
      <c r="CG122">
        <v>1</v>
      </c>
      <c r="CH122">
        <v>0.60051900000000002</v>
      </c>
      <c r="CI122">
        <v>0.60216099999999995</v>
      </c>
      <c r="CJ122">
        <v>0.107265</v>
      </c>
      <c r="CK122">
        <v>0</v>
      </c>
      <c r="CL122" t="s">
        <v>383</v>
      </c>
      <c r="CM122" t="s">
        <v>201</v>
      </c>
      <c r="CN122" t="s">
        <v>202</v>
      </c>
      <c r="CO122" t="s">
        <v>203</v>
      </c>
      <c r="CP122" t="s">
        <v>204</v>
      </c>
      <c r="CQ122" t="s">
        <v>205</v>
      </c>
      <c r="CR122" t="s">
        <v>206</v>
      </c>
    </row>
    <row r="123" spans="1:96">
      <c r="A123">
        <v>1</v>
      </c>
      <c r="B123" s="3">
        <v>0.76057870370370362</v>
      </c>
      <c r="C123" s="1">
        <v>45133</v>
      </c>
      <c r="D123" t="s">
        <v>196</v>
      </c>
      <c r="E123" t="s">
        <v>197</v>
      </c>
      <c r="G123">
        <v>1</v>
      </c>
      <c r="J123">
        <v>0.28046599999999999</v>
      </c>
      <c r="K123">
        <v>2.9198339999999998</v>
      </c>
      <c r="L123">
        <v>0.25588699999999998</v>
      </c>
      <c r="M123">
        <v>8.5967850000000006</v>
      </c>
      <c r="N123">
        <v>2.5023309999999999</v>
      </c>
      <c r="O123">
        <v>2.2777449999999999</v>
      </c>
      <c r="P123">
        <v>5.5595090000000003</v>
      </c>
      <c r="Q123">
        <v>3.057178</v>
      </c>
      <c r="R123">
        <v>23.968945000000001</v>
      </c>
      <c r="S123">
        <v>26.332291000000001</v>
      </c>
      <c r="T123">
        <v>58.503284000000001</v>
      </c>
      <c r="U123">
        <v>0.44178600000000001</v>
      </c>
      <c r="V123" t="s">
        <v>384</v>
      </c>
      <c r="W123">
        <v>0</v>
      </c>
      <c r="X123">
        <v>0</v>
      </c>
      <c r="Y123">
        <v>0</v>
      </c>
      <c r="Z123">
        <v>104.290367</v>
      </c>
      <c r="AA123">
        <v>169.50170900000001</v>
      </c>
      <c r="AB123">
        <v>0.38472400000000001</v>
      </c>
      <c r="AC123">
        <v>0.5</v>
      </c>
      <c r="AD123">
        <v>0.8</v>
      </c>
      <c r="AE123">
        <v>238.829544</v>
      </c>
      <c r="AF123">
        <v>47.53</v>
      </c>
      <c r="AG123">
        <v>43.26</v>
      </c>
      <c r="AH123">
        <v>33.74</v>
      </c>
      <c r="AI123">
        <v>34.71</v>
      </c>
      <c r="AJ123">
        <v>95.03</v>
      </c>
      <c r="AK123">
        <v>156.5</v>
      </c>
      <c r="AL123">
        <v>147.4</v>
      </c>
      <c r="AM123">
        <v>5.8</v>
      </c>
      <c r="AN123">
        <v>1552</v>
      </c>
      <c r="AO123">
        <v>4.0060000000000002</v>
      </c>
      <c r="AP123" s="3">
        <v>0.76046296296296301</v>
      </c>
      <c r="AQ123" s="1">
        <v>45133</v>
      </c>
      <c r="AR123">
        <v>-0.03</v>
      </c>
      <c r="AS123">
        <v>1E-3</v>
      </c>
      <c r="AT123">
        <v>3.0000000000000001E-3</v>
      </c>
      <c r="AU123">
        <v>1.4E-2</v>
      </c>
      <c r="AV123">
        <v>-9.9000000000000005E-2</v>
      </c>
      <c r="AW123">
        <v>-0.72</v>
      </c>
      <c r="AX123">
        <v>-0.77800000000000002</v>
      </c>
      <c r="AY123">
        <v>1</v>
      </c>
      <c r="AZ123">
        <v>150</v>
      </c>
      <c r="BA123">
        <v>5.0000000000000001E-3</v>
      </c>
      <c r="BB123">
        <v>2</v>
      </c>
      <c r="BC123">
        <v>0</v>
      </c>
      <c r="BD123" t="s">
        <v>200</v>
      </c>
      <c r="BE123">
        <v>7000</v>
      </c>
      <c r="BF123">
        <v>500</v>
      </c>
      <c r="BG123">
        <v>5</v>
      </c>
      <c r="BH123">
        <v>2</v>
      </c>
      <c r="BI123">
        <v>300</v>
      </c>
      <c r="BJ123">
        <v>300</v>
      </c>
      <c r="BK123">
        <v>300</v>
      </c>
      <c r="BL123">
        <v>161.60917699999999</v>
      </c>
      <c r="BM123">
        <v>25</v>
      </c>
      <c r="BN123">
        <v>-5.3807749999999999</v>
      </c>
      <c r="BO123">
        <v>162.537216</v>
      </c>
      <c r="BP123">
        <v>161.78402700000001</v>
      </c>
      <c r="BQ123">
        <v>0.753189</v>
      </c>
      <c r="BR123">
        <v>2.411667</v>
      </c>
      <c r="BS123">
        <v>2.4844780000000002</v>
      </c>
      <c r="BT123">
        <v>1.588927</v>
      </c>
      <c r="BU123">
        <v>0.97052300000000002</v>
      </c>
      <c r="BV123">
        <v>0.19315399999999999</v>
      </c>
      <c r="BW123">
        <v>1.2437E-2</v>
      </c>
      <c r="BX123">
        <v>0.18735599999999999</v>
      </c>
      <c r="BY123">
        <v>1.483662</v>
      </c>
      <c r="BZ123">
        <v>104.290367</v>
      </c>
      <c r="CA123">
        <v>3.5199999999999999E-4</v>
      </c>
      <c r="CB123">
        <v>2.3486280000000002</v>
      </c>
      <c r="CC123">
        <v>-5.1E-5</v>
      </c>
      <c r="CD123">
        <v>1</v>
      </c>
      <c r="CE123">
        <v>2.4109430000000001</v>
      </c>
      <c r="CF123">
        <v>-5.7000000000000003E-5</v>
      </c>
      <c r="CG123">
        <v>1</v>
      </c>
      <c r="CH123">
        <v>0.60051900000000002</v>
      </c>
      <c r="CI123">
        <v>0.60216099999999995</v>
      </c>
      <c r="CJ123">
        <v>0.107265</v>
      </c>
      <c r="CK123">
        <v>0</v>
      </c>
      <c r="CL123" t="s">
        <v>384</v>
      </c>
      <c r="CM123" t="s">
        <v>201</v>
      </c>
      <c r="CN123" t="s">
        <v>202</v>
      </c>
      <c r="CO123" t="s">
        <v>203</v>
      </c>
      <c r="CP123" t="s">
        <v>204</v>
      </c>
      <c r="CQ123" t="s">
        <v>205</v>
      </c>
      <c r="CR123" t="s">
        <v>206</v>
      </c>
    </row>
    <row r="124" spans="1:96">
      <c r="A124">
        <v>2</v>
      </c>
      <c r="B124" s="3">
        <v>0.76070601851851849</v>
      </c>
      <c r="C124" s="1">
        <v>45133</v>
      </c>
      <c r="D124" t="s">
        <v>196</v>
      </c>
      <c r="E124" t="s">
        <v>197</v>
      </c>
      <c r="G124">
        <v>2</v>
      </c>
      <c r="J124">
        <v>-2.1940000000000002E-3</v>
      </c>
      <c r="K124">
        <v>2.9188559999999999</v>
      </c>
      <c r="L124">
        <v>-2.1949999999999999E-3</v>
      </c>
      <c r="M124">
        <v>-0.10864</v>
      </c>
      <c r="N124">
        <v>2.2410369999999999</v>
      </c>
      <c r="O124">
        <v>2.2438850000000001</v>
      </c>
      <c r="P124">
        <v>6.7210770000000002</v>
      </c>
      <c r="Q124">
        <v>4.4800399999999998</v>
      </c>
      <c r="R124">
        <v>23.618599</v>
      </c>
      <c r="S124">
        <v>23.588625</v>
      </c>
      <c r="T124">
        <v>70.744461000000001</v>
      </c>
      <c r="U124">
        <v>0.44178600000000001</v>
      </c>
      <c r="V124" t="s">
        <v>385</v>
      </c>
      <c r="W124">
        <v>0</v>
      </c>
      <c r="X124">
        <v>0</v>
      </c>
      <c r="Y124">
        <v>0</v>
      </c>
      <c r="Z124">
        <v>78.990341000000001</v>
      </c>
      <c r="AA124">
        <v>87.637184000000005</v>
      </c>
      <c r="AB124">
        <v>9.8666000000000004E-2</v>
      </c>
      <c r="AC124">
        <v>0.5</v>
      </c>
      <c r="AD124">
        <v>0.8</v>
      </c>
      <c r="AE124">
        <v>61.774971000000001</v>
      </c>
      <c r="AF124">
        <v>42.49</v>
      </c>
      <c r="AG124">
        <v>42.54</v>
      </c>
      <c r="AH124">
        <v>33.770000000000003</v>
      </c>
      <c r="AI124">
        <v>38.18</v>
      </c>
      <c r="AJ124">
        <v>95</v>
      </c>
      <c r="AK124">
        <v>156.30000000000001</v>
      </c>
      <c r="AL124">
        <v>146.80000000000001</v>
      </c>
      <c r="AM124">
        <v>6.1</v>
      </c>
      <c r="AN124">
        <v>1565</v>
      </c>
      <c r="AO124">
        <v>4.0060000000000002</v>
      </c>
      <c r="AP124" s="3">
        <v>0.76046296296296301</v>
      </c>
      <c r="AQ124" s="1">
        <v>45133</v>
      </c>
      <c r="AR124">
        <v>-0.03</v>
      </c>
      <c r="AS124">
        <v>-1E-3</v>
      </c>
      <c r="AT124">
        <v>-2E-3</v>
      </c>
      <c r="AU124">
        <v>-9999</v>
      </c>
      <c r="AV124">
        <v>-0.105</v>
      </c>
      <c r="AW124">
        <v>-0.11600000000000001</v>
      </c>
      <c r="AX124">
        <v>-9999</v>
      </c>
      <c r="AY124">
        <v>1</v>
      </c>
      <c r="AZ124">
        <v>150</v>
      </c>
      <c r="BA124">
        <v>5.0000000000000001E-3</v>
      </c>
      <c r="BB124">
        <v>2</v>
      </c>
      <c r="BC124">
        <v>0</v>
      </c>
      <c r="BD124" t="s">
        <v>200</v>
      </c>
      <c r="BE124">
        <v>7000</v>
      </c>
      <c r="BF124">
        <v>500</v>
      </c>
      <c r="BG124">
        <v>5</v>
      </c>
      <c r="BH124">
        <v>2</v>
      </c>
      <c r="BI124">
        <v>300</v>
      </c>
      <c r="BJ124">
        <v>300</v>
      </c>
      <c r="BK124">
        <v>300</v>
      </c>
      <c r="BL124">
        <v>87.599518000000003</v>
      </c>
      <c r="BM124">
        <v>25</v>
      </c>
      <c r="BN124">
        <v>3.1679999999999998E-3</v>
      </c>
      <c r="BO124">
        <v>88.302970999999999</v>
      </c>
      <c r="BP124">
        <v>87.641730999999993</v>
      </c>
      <c r="BQ124">
        <v>0.66124000000000005</v>
      </c>
      <c r="BR124">
        <v>2.4107460000000001</v>
      </c>
      <c r="BS124">
        <v>2.4776210000000001</v>
      </c>
      <c r="BT124">
        <v>1.5879799999999999</v>
      </c>
      <c r="BU124">
        <v>0.96862999999999999</v>
      </c>
      <c r="BV124">
        <v>0.192915</v>
      </c>
      <c r="BW124">
        <v>5.8323E-2</v>
      </c>
      <c r="BX124">
        <v>0.18892200000000001</v>
      </c>
      <c r="BY124">
        <v>1.4954529999999999</v>
      </c>
      <c r="BZ124">
        <v>78.990341000000001</v>
      </c>
      <c r="CA124">
        <v>3.4400000000000001E-4</v>
      </c>
      <c r="CB124">
        <v>2.3486280000000002</v>
      </c>
      <c r="CC124">
        <v>-5.1E-5</v>
      </c>
      <c r="CD124">
        <v>1</v>
      </c>
      <c r="CE124">
        <v>2.4109430000000001</v>
      </c>
      <c r="CF124">
        <v>-5.7000000000000003E-5</v>
      </c>
      <c r="CG124">
        <v>1</v>
      </c>
      <c r="CH124">
        <v>0.60051900000000002</v>
      </c>
      <c r="CI124">
        <v>0.60216099999999995</v>
      </c>
      <c r="CJ124">
        <v>0.107265</v>
      </c>
      <c r="CK124">
        <v>0</v>
      </c>
      <c r="CL124" t="s">
        <v>385</v>
      </c>
      <c r="CM124" t="s">
        <v>201</v>
      </c>
      <c r="CN124" t="s">
        <v>202</v>
      </c>
      <c r="CO124" t="s">
        <v>203</v>
      </c>
      <c r="CP124" t="s">
        <v>204</v>
      </c>
      <c r="CQ124" t="s">
        <v>205</v>
      </c>
      <c r="CR124" t="s">
        <v>206</v>
      </c>
    </row>
    <row r="125" spans="1:96">
      <c r="A125">
        <v>3</v>
      </c>
      <c r="B125" s="3">
        <v>0.76082175925925932</v>
      </c>
      <c r="C125" s="1">
        <v>45133</v>
      </c>
      <c r="D125" t="s">
        <v>196</v>
      </c>
      <c r="E125" t="s">
        <v>197</v>
      </c>
      <c r="G125">
        <v>3</v>
      </c>
      <c r="J125">
        <v>-2.2820000000000002E-3</v>
      </c>
      <c r="K125">
        <v>2.9188589999999999</v>
      </c>
      <c r="L125">
        <v>-2.284E-3</v>
      </c>
      <c r="M125">
        <v>-0.107349</v>
      </c>
      <c r="N125">
        <v>2.280138</v>
      </c>
      <c r="O125">
        <v>2.28295</v>
      </c>
      <c r="P125">
        <v>6.539053</v>
      </c>
      <c r="Q125">
        <v>4.2589160000000001</v>
      </c>
      <c r="R125">
        <v>24.029160000000001</v>
      </c>
      <c r="S125">
        <v>23.999555999999998</v>
      </c>
      <c r="T125">
        <v>68.826706000000001</v>
      </c>
      <c r="U125">
        <v>0.44178600000000001</v>
      </c>
      <c r="V125" t="s">
        <v>386</v>
      </c>
      <c r="W125">
        <v>0</v>
      </c>
      <c r="X125">
        <v>0</v>
      </c>
      <c r="Y125">
        <v>0</v>
      </c>
      <c r="Z125">
        <v>87.883117999999996</v>
      </c>
      <c r="AA125">
        <v>98.219703999999993</v>
      </c>
      <c r="AB125">
        <v>0.105239</v>
      </c>
      <c r="AC125">
        <v>0.5</v>
      </c>
      <c r="AD125">
        <v>0.8</v>
      </c>
      <c r="AE125">
        <v>65.904708999999997</v>
      </c>
      <c r="AF125">
        <v>43.16</v>
      </c>
      <c r="AG125">
        <v>43.21</v>
      </c>
      <c r="AH125">
        <v>33.799999999999997</v>
      </c>
      <c r="AI125">
        <v>37.67</v>
      </c>
      <c r="AJ125">
        <v>95.01</v>
      </c>
      <c r="AK125">
        <v>156.30000000000001</v>
      </c>
      <c r="AL125">
        <v>146.9</v>
      </c>
      <c r="AM125">
        <v>6.1</v>
      </c>
      <c r="AN125">
        <v>1566</v>
      </c>
      <c r="AO125">
        <v>4.0049999999999999</v>
      </c>
      <c r="AP125" s="3">
        <v>0.76046296296296301</v>
      </c>
      <c r="AQ125" s="1">
        <v>45133</v>
      </c>
      <c r="AR125">
        <v>-0.03</v>
      </c>
      <c r="AS125">
        <v>-1E-3</v>
      </c>
      <c r="AT125">
        <v>-1E-3</v>
      </c>
      <c r="AU125">
        <v>-9999</v>
      </c>
      <c r="AV125">
        <v>-0.31900000000000001</v>
      </c>
      <c r="AW125">
        <v>-0.442</v>
      </c>
      <c r="AX125">
        <v>-9999</v>
      </c>
      <c r="AY125">
        <v>1</v>
      </c>
      <c r="AZ125">
        <v>150</v>
      </c>
      <c r="BA125">
        <v>5.0000000000000001E-3</v>
      </c>
      <c r="BB125">
        <v>2</v>
      </c>
      <c r="BC125">
        <v>0</v>
      </c>
      <c r="BD125" t="s">
        <v>200</v>
      </c>
      <c r="BE125">
        <v>7000</v>
      </c>
      <c r="BF125">
        <v>500</v>
      </c>
      <c r="BG125">
        <v>5</v>
      </c>
      <c r="BH125">
        <v>2</v>
      </c>
      <c r="BI125">
        <v>300</v>
      </c>
      <c r="BJ125">
        <v>300</v>
      </c>
      <c r="BK125">
        <v>300</v>
      </c>
      <c r="BL125">
        <v>97.220778999999993</v>
      </c>
      <c r="BM125">
        <v>25</v>
      </c>
      <c r="BN125">
        <v>-0.64895099999999994</v>
      </c>
      <c r="BO125">
        <v>97.413544000000002</v>
      </c>
      <c r="BP125">
        <v>97.288910000000001</v>
      </c>
      <c r="BQ125">
        <v>0.12463399999999999</v>
      </c>
      <c r="BR125">
        <v>2.411597</v>
      </c>
      <c r="BS125">
        <v>2.4785379999999999</v>
      </c>
      <c r="BT125">
        <v>1.5879840000000001</v>
      </c>
      <c r="BU125">
        <v>0.96890399999999999</v>
      </c>
      <c r="BV125">
        <v>0.19270599999999999</v>
      </c>
      <c r="BW125">
        <v>5.1069999999999997E-2</v>
      </c>
      <c r="BX125">
        <v>0.190222</v>
      </c>
      <c r="BY125">
        <v>1.4957549999999999</v>
      </c>
      <c r="BZ125">
        <v>87.883117999999996</v>
      </c>
      <c r="CA125">
        <v>3.48E-4</v>
      </c>
      <c r="CB125">
        <v>2.3486280000000002</v>
      </c>
      <c r="CC125">
        <v>-5.1E-5</v>
      </c>
      <c r="CD125">
        <v>1</v>
      </c>
      <c r="CE125">
        <v>2.4109430000000001</v>
      </c>
      <c r="CF125">
        <v>-5.7000000000000003E-5</v>
      </c>
      <c r="CG125">
        <v>1</v>
      </c>
      <c r="CH125">
        <v>0.60051900000000002</v>
      </c>
      <c r="CI125">
        <v>0.60216099999999995</v>
      </c>
      <c r="CJ125">
        <v>0.107265</v>
      </c>
      <c r="CK125">
        <v>0</v>
      </c>
      <c r="CL125" t="s">
        <v>386</v>
      </c>
      <c r="CM125" t="s">
        <v>201</v>
      </c>
      <c r="CN125" t="s">
        <v>202</v>
      </c>
      <c r="CO125" t="s">
        <v>203</v>
      </c>
      <c r="CP125" t="s">
        <v>204</v>
      </c>
      <c r="CQ125" t="s">
        <v>205</v>
      </c>
      <c r="CR125" t="s">
        <v>206</v>
      </c>
    </row>
    <row r="126" spans="1:96">
      <c r="A126">
        <v>4</v>
      </c>
      <c r="B126" s="3">
        <v>0.76111111111111107</v>
      </c>
      <c r="C126" s="1">
        <v>45133</v>
      </c>
      <c r="D126" t="s">
        <v>196</v>
      </c>
      <c r="E126" t="s">
        <v>197</v>
      </c>
      <c r="G126">
        <v>4</v>
      </c>
      <c r="J126">
        <v>2.5072000000000001E-2</v>
      </c>
      <c r="K126">
        <v>2.918723</v>
      </c>
      <c r="L126">
        <v>2.4858000000000002E-2</v>
      </c>
      <c r="M126">
        <v>0.92516900000000002</v>
      </c>
      <c r="N126">
        <v>2.2486730000000001</v>
      </c>
      <c r="O126">
        <v>2.2244199999999998</v>
      </c>
      <c r="P126">
        <v>5.6381480000000002</v>
      </c>
      <c r="Q126">
        <v>3.389475</v>
      </c>
      <c r="R126">
        <v>23.411434</v>
      </c>
      <c r="S126">
        <v>23.666692999999999</v>
      </c>
      <c r="T126">
        <v>59.340023000000002</v>
      </c>
      <c r="U126">
        <v>0.44178600000000001</v>
      </c>
      <c r="V126" t="s">
        <v>387</v>
      </c>
      <c r="W126">
        <v>0</v>
      </c>
      <c r="X126">
        <v>0</v>
      </c>
      <c r="Y126">
        <v>0</v>
      </c>
      <c r="Z126">
        <v>252.21061700000001</v>
      </c>
      <c r="AA126">
        <v>359.19723499999998</v>
      </c>
      <c r="AB126">
        <v>0.29784899999999997</v>
      </c>
      <c r="AC126">
        <v>0.5</v>
      </c>
      <c r="AD126">
        <v>0.8</v>
      </c>
      <c r="AE126">
        <v>20.196629000000001</v>
      </c>
      <c r="AF126">
        <v>42.42</v>
      </c>
      <c r="AG126">
        <v>41.96</v>
      </c>
      <c r="AH126">
        <v>33.86</v>
      </c>
      <c r="AI126">
        <v>34.97</v>
      </c>
      <c r="AJ126">
        <v>95.01</v>
      </c>
      <c r="AK126">
        <v>156.30000000000001</v>
      </c>
      <c r="AL126">
        <v>146.6</v>
      </c>
      <c r="AM126">
        <v>6.2</v>
      </c>
      <c r="AN126">
        <v>170</v>
      </c>
      <c r="AO126">
        <v>4.0019999999999998</v>
      </c>
      <c r="AP126" s="3">
        <v>0.76046296296296301</v>
      </c>
      <c r="AQ126" s="1">
        <v>45133</v>
      </c>
      <c r="AR126">
        <v>-0.03</v>
      </c>
      <c r="AS126">
        <v>0</v>
      </c>
      <c r="AT126">
        <v>-3.0000000000000001E-3</v>
      </c>
      <c r="AU126">
        <v>4.0000000000000001E-3</v>
      </c>
      <c r="AV126">
        <v>2.68</v>
      </c>
      <c r="AW126">
        <v>0.35899999999999999</v>
      </c>
      <c r="AX126">
        <v>-16.931000000000001</v>
      </c>
      <c r="AY126">
        <v>1</v>
      </c>
      <c r="AZ126">
        <v>150</v>
      </c>
      <c r="BA126">
        <v>5.0000000000000001E-3</v>
      </c>
      <c r="BB126">
        <v>2</v>
      </c>
      <c r="BC126">
        <v>0</v>
      </c>
      <c r="BD126" t="s">
        <v>200</v>
      </c>
      <c r="BE126">
        <v>7000</v>
      </c>
      <c r="BF126">
        <v>500</v>
      </c>
      <c r="BG126">
        <v>5</v>
      </c>
      <c r="BH126">
        <v>2</v>
      </c>
      <c r="BI126">
        <v>300</v>
      </c>
      <c r="BJ126">
        <v>300</v>
      </c>
      <c r="BK126">
        <v>300</v>
      </c>
      <c r="BL126">
        <v>355.72134399999999</v>
      </c>
      <c r="BM126">
        <v>25</v>
      </c>
      <c r="BN126">
        <v>-2.3858239999999999</v>
      </c>
      <c r="BO126">
        <v>356.98663299999998</v>
      </c>
      <c r="BP126">
        <v>355.775238</v>
      </c>
      <c r="BQ126">
        <v>1.211395</v>
      </c>
      <c r="BR126">
        <v>2.4099910000000002</v>
      </c>
      <c r="BS126">
        <v>2.4775100000000001</v>
      </c>
      <c r="BT126">
        <v>1.587852</v>
      </c>
      <c r="BU126">
        <v>0.96814800000000001</v>
      </c>
      <c r="BV126">
        <v>0.192246</v>
      </c>
      <c r="BW126">
        <v>1.4189999999999999E-2</v>
      </c>
      <c r="BX126">
        <v>0.19362399999999999</v>
      </c>
      <c r="BY126">
        <v>0.25760899999999998</v>
      </c>
      <c r="BZ126">
        <v>252.21061700000001</v>
      </c>
      <c r="CA126">
        <v>3.5300000000000002E-4</v>
      </c>
      <c r="CB126">
        <v>2.3486280000000002</v>
      </c>
      <c r="CC126">
        <v>-5.1E-5</v>
      </c>
      <c r="CD126">
        <v>1</v>
      </c>
      <c r="CE126">
        <v>2.4109430000000001</v>
      </c>
      <c r="CF126">
        <v>-5.7000000000000003E-5</v>
      </c>
      <c r="CG126">
        <v>1</v>
      </c>
      <c r="CH126">
        <v>0.60051900000000002</v>
      </c>
      <c r="CI126">
        <v>0.60216099999999995</v>
      </c>
      <c r="CJ126">
        <v>0.107265</v>
      </c>
      <c r="CK126">
        <v>0</v>
      </c>
      <c r="CL126" t="s">
        <v>387</v>
      </c>
      <c r="CM126" t="s">
        <v>201</v>
      </c>
      <c r="CN126" t="s">
        <v>202</v>
      </c>
      <c r="CO126" t="s">
        <v>203</v>
      </c>
      <c r="CP126" t="s">
        <v>204</v>
      </c>
      <c r="CQ126" t="s">
        <v>205</v>
      </c>
      <c r="CR126" t="s">
        <v>206</v>
      </c>
    </row>
    <row r="127" spans="1:96">
      <c r="A127">
        <v>5</v>
      </c>
      <c r="B127" s="3">
        <v>0.76127314814814817</v>
      </c>
      <c r="C127" s="1">
        <v>45133</v>
      </c>
      <c r="D127" t="s">
        <v>196</v>
      </c>
      <c r="E127" t="s">
        <v>197</v>
      </c>
      <c r="G127">
        <v>5</v>
      </c>
      <c r="J127">
        <v>0.25042900000000001</v>
      </c>
      <c r="K127">
        <v>2.9187159999999999</v>
      </c>
      <c r="L127">
        <v>0.23064000000000001</v>
      </c>
      <c r="M127">
        <v>7.3134819999999996</v>
      </c>
      <c r="N127">
        <v>2.4201839999999999</v>
      </c>
      <c r="O127">
        <v>2.2287949999999999</v>
      </c>
      <c r="P127">
        <v>5.3107709999999999</v>
      </c>
      <c r="Q127">
        <v>2.890587</v>
      </c>
      <c r="R127">
        <v>23.455138999999999</v>
      </c>
      <c r="S127">
        <v>25.469252000000001</v>
      </c>
      <c r="T127">
        <v>55.888877999999998</v>
      </c>
      <c r="U127">
        <v>0.44178600000000001</v>
      </c>
      <c r="V127" t="s">
        <v>388</v>
      </c>
      <c r="W127">
        <v>0</v>
      </c>
      <c r="X127">
        <v>0</v>
      </c>
      <c r="Y127">
        <v>0</v>
      </c>
      <c r="Z127">
        <v>87.526557999999994</v>
      </c>
      <c r="AA127">
        <v>188.71459999999999</v>
      </c>
      <c r="AB127">
        <v>0.53619600000000001</v>
      </c>
      <c r="AC127">
        <v>0.5</v>
      </c>
      <c r="AD127">
        <v>0.8</v>
      </c>
      <c r="AE127">
        <v>213.62297100000001</v>
      </c>
      <c r="AF127">
        <v>45.58</v>
      </c>
      <c r="AG127">
        <v>41.97</v>
      </c>
      <c r="AH127">
        <v>33.89</v>
      </c>
      <c r="AI127">
        <v>33.89</v>
      </c>
      <c r="AJ127">
        <v>95.02</v>
      </c>
      <c r="AK127">
        <v>156.30000000000001</v>
      </c>
      <c r="AL127">
        <v>147.19999999999999</v>
      </c>
      <c r="AM127">
        <v>5.8</v>
      </c>
      <c r="AN127">
        <v>996</v>
      </c>
      <c r="AO127">
        <v>4.0030000000000001</v>
      </c>
      <c r="AP127" s="3">
        <v>0.76046296296296301</v>
      </c>
      <c r="AQ127" s="1">
        <v>45133</v>
      </c>
      <c r="AR127">
        <v>-0.03</v>
      </c>
      <c r="AS127">
        <v>-2E-3</v>
      </c>
      <c r="AT127">
        <v>0</v>
      </c>
      <c r="AU127">
        <v>1.6E-2</v>
      </c>
      <c r="AV127">
        <v>0.753</v>
      </c>
      <c r="AW127">
        <v>1.9570000000000001</v>
      </c>
      <c r="AX127">
        <v>4.1630000000000003</v>
      </c>
      <c r="AY127">
        <v>1</v>
      </c>
      <c r="AZ127">
        <v>150</v>
      </c>
      <c r="BA127">
        <v>5.0000000000000001E-3</v>
      </c>
      <c r="BB127">
        <v>2</v>
      </c>
      <c r="BC127">
        <v>0</v>
      </c>
      <c r="BD127" t="s">
        <v>200</v>
      </c>
      <c r="BE127">
        <v>7000</v>
      </c>
      <c r="BF127">
        <v>500</v>
      </c>
      <c r="BG127">
        <v>5</v>
      </c>
      <c r="BH127">
        <v>2</v>
      </c>
      <c r="BI127">
        <v>300</v>
      </c>
      <c r="BJ127">
        <v>300</v>
      </c>
      <c r="BK127">
        <v>300</v>
      </c>
      <c r="BL127">
        <v>177.48426799999999</v>
      </c>
      <c r="BM127">
        <v>25</v>
      </c>
      <c r="BN127">
        <v>-7.6299299999999999</v>
      </c>
      <c r="BO127">
        <v>179.46517900000001</v>
      </c>
      <c r="BP127">
        <v>177.77093500000001</v>
      </c>
      <c r="BQ127">
        <v>1.6942440000000001</v>
      </c>
      <c r="BR127">
        <v>2.409999</v>
      </c>
      <c r="BS127">
        <v>2.4818090000000002</v>
      </c>
      <c r="BT127">
        <v>1.5878460000000001</v>
      </c>
      <c r="BU127">
        <v>0.97002100000000002</v>
      </c>
      <c r="BV127">
        <v>0.192019</v>
      </c>
      <c r="BW127">
        <v>-2.61E-4</v>
      </c>
      <c r="BX127">
        <v>0.19536999999999999</v>
      </c>
      <c r="BY127">
        <v>0.99060700000000002</v>
      </c>
      <c r="BZ127">
        <v>87.526557999999994</v>
      </c>
      <c r="CA127">
        <v>3.57E-4</v>
      </c>
      <c r="CB127">
        <v>2.3486280000000002</v>
      </c>
      <c r="CC127">
        <v>-5.1E-5</v>
      </c>
      <c r="CD127">
        <v>1</v>
      </c>
      <c r="CE127">
        <v>2.4109430000000001</v>
      </c>
      <c r="CF127">
        <v>-5.7000000000000003E-5</v>
      </c>
      <c r="CG127">
        <v>1</v>
      </c>
      <c r="CH127">
        <v>0.60051900000000002</v>
      </c>
      <c r="CI127">
        <v>0.60216099999999995</v>
      </c>
      <c r="CJ127">
        <v>0.107265</v>
      </c>
      <c r="CK127">
        <v>0</v>
      </c>
      <c r="CL127" t="s">
        <v>388</v>
      </c>
      <c r="CM127" t="s">
        <v>201</v>
      </c>
      <c r="CN127" t="s">
        <v>202</v>
      </c>
      <c r="CO127" t="s">
        <v>203</v>
      </c>
      <c r="CP127" t="s">
        <v>204</v>
      </c>
      <c r="CQ127" t="s">
        <v>205</v>
      </c>
      <c r="CR127" t="s">
        <v>206</v>
      </c>
    </row>
    <row r="128" spans="1:96">
      <c r="A128">
        <v>6</v>
      </c>
      <c r="B128" s="3">
        <v>0.76150462962962961</v>
      </c>
      <c r="C128" s="1">
        <v>45133</v>
      </c>
      <c r="D128" t="s">
        <v>196</v>
      </c>
      <c r="E128" t="s">
        <v>197</v>
      </c>
      <c r="G128">
        <v>6</v>
      </c>
      <c r="J128">
        <v>0.118865</v>
      </c>
      <c r="K128">
        <v>2.9195850000000001</v>
      </c>
      <c r="L128">
        <v>0.114215</v>
      </c>
      <c r="M128">
        <v>3.9782999999999999</v>
      </c>
      <c r="N128">
        <v>2.2716769999999999</v>
      </c>
      <c r="O128">
        <v>2.1674720000000001</v>
      </c>
      <c r="P128">
        <v>5.447133</v>
      </c>
      <c r="Q128">
        <v>3.1754549999999999</v>
      </c>
      <c r="R128">
        <v>22.809546999999998</v>
      </c>
      <c r="S128">
        <v>23.906165999999999</v>
      </c>
      <c r="T128">
        <v>57.323303000000003</v>
      </c>
      <c r="U128">
        <v>0.44178600000000001</v>
      </c>
      <c r="V128" t="s">
        <v>389</v>
      </c>
      <c r="W128">
        <v>0</v>
      </c>
      <c r="X128">
        <v>0</v>
      </c>
      <c r="Y128">
        <v>0</v>
      </c>
      <c r="Z128">
        <v>114.85290500000001</v>
      </c>
      <c r="AA128">
        <v>270.05721999999997</v>
      </c>
      <c r="AB128">
        <v>0.57470900000000003</v>
      </c>
      <c r="AC128">
        <v>0.5</v>
      </c>
      <c r="AD128">
        <v>0.8</v>
      </c>
      <c r="AE128">
        <v>228.77822900000001</v>
      </c>
      <c r="AF128">
        <v>42.7</v>
      </c>
      <c r="AG128">
        <v>40.74</v>
      </c>
      <c r="AH128">
        <v>33.92</v>
      </c>
      <c r="AI128">
        <v>34.35</v>
      </c>
      <c r="AJ128">
        <v>95.02</v>
      </c>
      <c r="AK128">
        <v>156.4</v>
      </c>
      <c r="AL128">
        <v>147.1</v>
      </c>
      <c r="AM128">
        <v>6</v>
      </c>
      <c r="AN128">
        <v>995</v>
      </c>
      <c r="AO128">
        <v>4.0019999999999998</v>
      </c>
      <c r="AP128" s="3">
        <v>0.76046296296296301</v>
      </c>
      <c r="AQ128" s="1">
        <v>45133</v>
      </c>
      <c r="AR128">
        <v>-0.03</v>
      </c>
      <c r="AS128">
        <v>1E-3</v>
      </c>
      <c r="AT128">
        <v>-3.0000000000000001E-3</v>
      </c>
      <c r="AU128">
        <v>-5.0000000000000001E-3</v>
      </c>
      <c r="AV128">
        <v>4.3780000000000001</v>
      </c>
      <c r="AW128">
        <v>-4.726</v>
      </c>
      <c r="AX128">
        <v>10.722</v>
      </c>
      <c r="AY128">
        <v>1</v>
      </c>
      <c r="AZ128">
        <v>150</v>
      </c>
      <c r="BA128">
        <v>5.0000000000000001E-3</v>
      </c>
      <c r="BB128">
        <v>2</v>
      </c>
      <c r="BC128">
        <v>0</v>
      </c>
      <c r="BD128" t="s">
        <v>200</v>
      </c>
      <c r="BE128">
        <v>7000</v>
      </c>
      <c r="BF128">
        <v>500</v>
      </c>
      <c r="BG128">
        <v>5</v>
      </c>
      <c r="BH128">
        <v>2</v>
      </c>
      <c r="BI128">
        <v>300</v>
      </c>
      <c r="BJ128">
        <v>300</v>
      </c>
      <c r="BK128">
        <v>300</v>
      </c>
      <c r="BL128">
        <v>266.43454000000003</v>
      </c>
      <c r="BM128">
        <v>25</v>
      </c>
      <c r="BN128">
        <v>-2.3152270000000001</v>
      </c>
      <c r="BO128">
        <v>271.76715100000001</v>
      </c>
      <c r="BP128">
        <v>266.73648100000003</v>
      </c>
      <c r="BQ128">
        <v>5.0306699999999998</v>
      </c>
      <c r="BR128">
        <v>2.4084180000000002</v>
      </c>
      <c r="BS128">
        <v>2.477881</v>
      </c>
      <c r="BT128">
        <v>1.588686</v>
      </c>
      <c r="BU128">
        <v>0.969615</v>
      </c>
      <c r="BV128">
        <v>0.19176799999999999</v>
      </c>
      <c r="BW128">
        <v>5.2249999999999996E-3</v>
      </c>
      <c r="BX128">
        <v>0.19791</v>
      </c>
      <c r="BY128">
        <v>0.98987999999999998</v>
      </c>
      <c r="BZ128">
        <v>114.85290500000001</v>
      </c>
      <c r="CA128">
        <v>3.6000000000000002E-4</v>
      </c>
      <c r="CB128">
        <v>2.3486280000000002</v>
      </c>
      <c r="CC128">
        <v>-5.1E-5</v>
      </c>
      <c r="CD128">
        <v>1</v>
      </c>
      <c r="CE128">
        <v>2.4109430000000001</v>
      </c>
      <c r="CF128">
        <v>-5.7000000000000003E-5</v>
      </c>
      <c r="CG128">
        <v>1</v>
      </c>
      <c r="CH128">
        <v>0.60051900000000002</v>
      </c>
      <c r="CI128">
        <v>0.60216099999999995</v>
      </c>
      <c r="CJ128">
        <v>0.107265</v>
      </c>
      <c r="CK128">
        <v>0</v>
      </c>
      <c r="CL128" t="s">
        <v>389</v>
      </c>
      <c r="CM128" t="s">
        <v>201</v>
      </c>
      <c r="CN128" t="s">
        <v>202</v>
      </c>
      <c r="CO128" t="s">
        <v>203</v>
      </c>
      <c r="CP128" t="s">
        <v>204</v>
      </c>
      <c r="CQ128" t="s">
        <v>205</v>
      </c>
      <c r="CR128" t="s">
        <v>206</v>
      </c>
    </row>
    <row r="129" spans="1:96">
      <c r="A129">
        <v>7</v>
      </c>
      <c r="B129" s="3">
        <v>0.76180555555555562</v>
      </c>
      <c r="C129" s="1">
        <v>45133</v>
      </c>
      <c r="D129" t="s">
        <v>196</v>
      </c>
      <c r="E129" t="s">
        <v>197</v>
      </c>
      <c r="G129">
        <v>7</v>
      </c>
      <c r="J129">
        <v>0.26351999999999998</v>
      </c>
      <c r="K129">
        <v>2.9180980000000001</v>
      </c>
      <c r="L129">
        <v>0.24169399999999999</v>
      </c>
      <c r="M129">
        <v>7.8371620000000002</v>
      </c>
      <c r="N129">
        <v>2.4779019999999998</v>
      </c>
      <c r="O129">
        <v>2.2728449999999998</v>
      </c>
      <c r="P129">
        <v>5.4308129999999997</v>
      </c>
      <c r="Q129">
        <v>2.9529109999999998</v>
      </c>
      <c r="R129">
        <v>23.919518</v>
      </c>
      <c r="S129">
        <v>26.077553000000002</v>
      </c>
      <c r="T129">
        <v>57.154117999999997</v>
      </c>
      <c r="U129">
        <v>0.44178600000000001</v>
      </c>
      <c r="V129" t="s">
        <v>390</v>
      </c>
      <c r="W129">
        <v>0</v>
      </c>
      <c r="X129">
        <v>0</v>
      </c>
      <c r="Y129">
        <v>0</v>
      </c>
      <c r="Z129">
        <v>108.820435</v>
      </c>
      <c r="AA129">
        <v>229.10910000000001</v>
      </c>
      <c r="AB129">
        <v>0.52502800000000005</v>
      </c>
      <c r="AC129">
        <v>0.5</v>
      </c>
      <c r="AD129">
        <v>0.8</v>
      </c>
      <c r="AE129">
        <v>302.71713299999999</v>
      </c>
      <c r="AF129">
        <v>46.46</v>
      </c>
      <c r="AG129">
        <v>42.61</v>
      </c>
      <c r="AH129">
        <v>33.97</v>
      </c>
      <c r="AI129">
        <v>34.29</v>
      </c>
      <c r="AJ129">
        <v>95.02</v>
      </c>
      <c r="AK129">
        <v>156.30000000000001</v>
      </c>
      <c r="AL129">
        <v>147.4</v>
      </c>
      <c r="AM129">
        <v>5.7</v>
      </c>
      <c r="AN129">
        <v>1441</v>
      </c>
      <c r="AO129">
        <v>3.9620000000000002</v>
      </c>
      <c r="AP129" s="3">
        <v>0.76046296296296301</v>
      </c>
      <c r="AQ129" s="1">
        <v>45133</v>
      </c>
      <c r="AR129">
        <v>-0.03</v>
      </c>
      <c r="AS129">
        <v>-3.0000000000000001E-3</v>
      </c>
      <c r="AT129">
        <v>1E-3</v>
      </c>
      <c r="AU129">
        <v>1.2999999999999999E-2</v>
      </c>
      <c r="AV129">
        <v>0.85699999999999998</v>
      </c>
      <c r="AW129">
        <v>-0.27300000000000002</v>
      </c>
      <c r="AX129">
        <v>-1.47</v>
      </c>
      <c r="AY129">
        <v>1</v>
      </c>
      <c r="AZ129">
        <v>150</v>
      </c>
      <c r="BA129">
        <v>5.0000000000000001E-3</v>
      </c>
      <c r="BB129">
        <v>2</v>
      </c>
      <c r="BC129">
        <v>0</v>
      </c>
      <c r="BD129" t="s">
        <v>200</v>
      </c>
      <c r="BE129">
        <v>7000</v>
      </c>
      <c r="BF129">
        <v>500</v>
      </c>
      <c r="BG129">
        <v>5</v>
      </c>
      <c r="BH129">
        <v>2</v>
      </c>
      <c r="BI129">
        <v>300</v>
      </c>
      <c r="BJ129">
        <v>300</v>
      </c>
      <c r="BK129">
        <v>300</v>
      </c>
      <c r="BL129">
        <v>212.041855</v>
      </c>
      <c r="BM129">
        <v>25</v>
      </c>
      <c r="BN129">
        <v>-11.748101</v>
      </c>
      <c r="BO129">
        <v>212.82612599999999</v>
      </c>
      <c r="BP129">
        <v>212.258713</v>
      </c>
      <c r="BQ129">
        <v>0.56741299999999995</v>
      </c>
      <c r="BR129">
        <v>2.4107980000000002</v>
      </c>
      <c r="BS129">
        <v>2.4829829999999999</v>
      </c>
      <c r="BT129">
        <v>1.5872489999999999</v>
      </c>
      <c r="BU129">
        <v>0.97045999999999999</v>
      </c>
      <c r="BV129">
        <v>0.19142200000000001</v>
      </c>
      <c r="BW129">
        <v>3.9199999999999999E-3</v>
      </c>
      <c r="BX129">
        <v>0.20102999999999999</v>
      </c>
      <c r="BY129">
        <v>1.385643</v>
      </c>
      <c r="BZ129">
        <v>108.820435</v>
      </c>
      <c r="CA129">
        <v>3.5199999999999999E-4</v>
      </c>
      <c r="CB129">
        <v>2.3486280000000002</v>
      </c>
      <c r="CC129">
        <v>-5.1E-5</v>
      </c>
      <c r="CD129">
        <v>1</v>
      </c>
      <c r="CE129">
        <v>2.4109430000000001</v>
      </c>
      <c r="CF129">
        <v>-5.7000000000000003E-5</v>
      </c>
      <c r="CG129">
        <v>1</v>
      </c>
      <c r="CH129">
        <v>0.60051900000000002</v>
      </c>
      <c r="CI129">
        <v>0.60216099999999995</v>
      </c>
      <c r="CJ129">
        <v>0.107265</v>
      </c>
      <c r="CK129">
        <v>0</v>
      </c>
      <c r="CL129" t="s">
        <v>390</v>
      </c>
      <c r="CM129" t="s">
        <v>201</v>
      </c>
      <c r="CN129" t="s">
        <v>202</v>
      </c>
      <c r="CO129" t="s">
        <v>203</v>
      </c>
      <c r="CP129" t="s">
        <v>204</v>
      </c>
      <c r="CQ129" t="s">
        <v>205</v>
      </c>
      <c r="CR129" t="s">
        <v>206</v>
      </c>
    </row>
    <row r="130" spans="1:96">
      <c r="A130">
        <v>1</v>
      </c>
      <c r="B130" s="3">
        <v>0.76635416666666656</v>
      </c>
      <c r="C130" s="1">
        <v>45133</v>
      </c>
      <c r="D130" t="s">
        <v>196</v>
      </c>
      <c r="E130" t="s">
        <v>197</v>
      </c>
      <c r="G130">
        <v>1</v>
      </c>
      <c r="J130">
        <v>9.1488E-2</v>
      </c>
      <c r="K130">
        <v>2.9201429999999999</v>
      </c>
      <c r="L130">
        <v>8.8708999999999996E-2</v>
      </c>
      <c r="M130">
        <v>3.5182180000000001</v>
      </c>
      <c r="N130">
        <v>2.3854190000000002</v>
      </c>
      <c r="O130">
        <v>2.293415</v>
      </c>
      <c r="P130">
        <v>5.9881909999999996</v>
      </c>
      <c r="Q130">
        <v>3.6027719999999999</v>
      </c>
      <c r="R130">
        <v>24.134156999999998</v>
      </c>
      <c r="S130">
        <v>25.102336999999999</v>
      </c>
      <c r="T130">
        <v>63.015186</v>
      </c>
      <c r="U130">
        <v>0.44178600000000001</v>
      </c>
      <c r="V130" t="s">
        <v>391</v>
      </c>
      <c r="W130">
        <v>0</v>
      </c>
      <c r="X130">
        <v>0</v>
      </c>
      <c r="Y130">
        <v>0</v>
      </c>
      <c r="Z130">
        <v>150.96366900000001</v>
      </c>
      <c r="AA130">
        <v>248.76797500000001</v>
      </c>
      <c r="AB130">
        <v>0.39315499999999998</v>
      </c>
      <c r="AC130">
        <v>0.5</v>
      </c>
      <c r="AD130">
        <v>0.8</v>
      </c>
      <c r="AE130">
        <v>259.25723299999999</v>
      </c>
      <c r="AF130">
        <v>44.72</v>
      </c>
      <c r="AG130">
        <v>42.99</v>
      </c>
      <c r="AH130">
        <v>33.97</v>
      </c>
      <c r="AI130">
        <v>36.06</v>
      </c>
      <c r="AJ130">
        <v>95.03</v>
      </c>
      <c r="AK130">
        <v>156.5</v>
      </c>
      <c r="AL130">
        <v>147.19999999999999</v>
      </c>
      <c r="AM130">
        <v>5.9</v>
      </c>
      <c r="AN130">
        <v>1649</v>
      </c>
      <c r="AO130">
        <v>3.9649999999999999</v>
      </c>
      <c r="AP130" s="3">
        <v>0.76627314814814806</v>
      </c>
      <c r="AQ130" s="1">
        <v>45133</v>
      </c>
      <c r="AR130">
        <v>-0.04</v>
      </c>
      <c r="AS130">
        <v>1E-3</v>
      </c>
      <c r="AT130">
        <v>3.0000000000000001E-3</v>
      </c>
      <c r="AU130">
        <v>-9999</v>
      </c>
      <c r="AV130">
        <v>-0.97599999999999998</v>
      </c>
      <c r="AW130">
        <v>1.4059999999999999</v>
      </c>
      <c r="AX130">
        <v>-9999</v>
      </c>
      <c r="AY130">
        <v>1</v>
      </c>
      <c r="AZ130">
        <v>150</v>
      </c>
      <c r="BA130">
        <v>5.0000000000000001E-3</v>
      </c>
      <c r="BB130">
        <v>2</v>
      </c>
      <c r="BC130">
        <v>0</v>
      </c>
      <c r="BD130" t="s">
        <v>200</v>
      </c>
      <c r="BE130">
        <v>7000</v>
      </c>
      <c r="BF130">
        <v>500</v>
      </c>
      <c r="BG130">
        <v>5</v>
      </c>
      <c r="BH130">
        <v>2</v>
      </c>
      <c r="BI130">
        <v>300</v>
      </c>
      <c r="BJ130">
        <v>300</v>
      </c>
      <c r="BK130">
        <v>300</v>
      </c>
      <c r="BL130">
        <v>233.05749499999999</v>
      </c>
      <c r="BM130">
        <v>25</v>
      </c>
      <c r="BN130">
        <v>-11.234009</v>
      </c>
      <c r="BO130">
        <v>231.485367</v>
      </c>
      <c r="BP130">
        <v>232.65495300000001</v>
      </c>
      <c r="BQ130">
        <v>-1.169586</v>
      </c>
      <c r="BR130">
        <v>2.4112809999999998</v>
      </c>
      <c r="BS130">
        <v>2.4806360000000001</v>
      </c>
      <c r="BT130">
        <v>1.5892269999999999</v>
      </c>
      <c r="BU130">
        <v>0.97005399999999997</v>
      </c>
      <c r="BV130">
        <v>0.19140599999999999</v>
      </c>
      <c r="BW130">
        <v>2.7163E-2</v>
      </c>
      <c r="BX130">
        <v>0.17891599999999999</v>
      </c>
      <c r="BY130">
        <v>1.569348</v>
      </c>
      <c r="BZ130">
        <v>150.96366900000001</v>
      </c>
      <c r="CA130">
        <v>3.5500000000000001E-4</v>
      </c>
      <c r="CB130">
        <v>2.3486280000000002</v>
      </c>
      <c r="CC130">
        <v>-5.1E-5</v>
      </c>
      <c r="CD130">
        <v>1</v>
      </c>
      <c r="CE130">
        <v>2.4109430000000001</v>
      </c>
      <c r="CF130">
        <v>-5.7000000000000003E-5</v>
      </c>
      <c r="CG130">
        <v>1</v>
      </c>
      <c r="CH130">
        <v>0.60051900000000002</v>
      </c>
      <c r="CI130">
        <v>0.60216099999999995</v>
      </c>
      <c r="CJ130">
        <v>0.107265</v>
      </c>
      <c r="CK130">
        <v>0</v>
      </c>
      <c r="CL130" t="s">
        <v>391</v>
      </c>
      <c r="CM130" t="s">
        <v>201</v>
      </c>
      <c r="CN130" t="s">
        <v>202</v>
      </c>
      <c r="CO130" t="s">
        <v>203</v>
      </c>
      <c r="CP130" t="s">
        <v>204</v>
      </c>
      <c r="CQ130" t="s">
        <v>205</v>
      </c>
      <c r="CR130" t="s">
        <v>206</v>
      </c>
    </row>
    <row r="131" spans="1:96">
      <c r="A131">
        <v>2</v>
      </c>
      <c r="B131" s="3">
        <v>0.76648148148148154</v>
      </c>
      <c r="C131" s="1">
        <v>45133</v>
      </c>
      <c r="D131" t="s">
        <v>196</v>
      </c>
      <c r="E131" t="s">
        <v>197</v>
      </c>
      <c r="G131">
        <v>2</v>
      </c>
      <c r="J131">
        <v>0.17724999999999999</v>
      </c>
      <c r="K131">
        <v>2.9185349999999999</v>
      </c>
      <c r="L131">
        <v>0.167101</v>
      </c>
      <c r="M131">
        <v>6.2604620000000004</v>
      </c>
      <c r="N131">
        <v>2.4354939999999998</v>
      </c>
      <c r="O131">
        <v>2.2716609999999999</v>
      </c>
      <c r="P131">
        <v>5.8406339999999997</v>
      </c>
      <c r="Q131">
        <v>3.4051399999999998</v>
      </c>
      <c r="R131">
        <v>23.905556000000001</v>
      </c>
      <c r="S131">
        <v>25.629631</v>
      </c>
      <c r="T131">
        <v>61.463214999999998</v>
      </c>
      <c r="U131">
        <v>0.44178600000000001</v>
      </c>
      <c r="V131" t="s">
        <v>392</v>
      </c>
      <c r="W131">
        <v>0</v>
      </c>
      <c r="X131">
        <v>0</v>
      </c>
      <c r="Y131">
        <v>0</v>
      </c>
      <c r="Z131">
        <v>121.76442</v>
      </c>
      <c r="AA131">
        <v>214.398819</v>
      </c>
      <c r="AB131">
        <v>0.43206600000000001</v>
      </c>
      <c r="AC131">
        <v>0.5</v>
      </c>
      <c r="AD131">
        <v>0.8</v>
      </c>
      <c r="AE131">
        <v>286.0401</v>
      </c>
      <c r="AF131">
        <v>45.57</v>
      </c>
      <c r="AG131">
        <v>42.5</v>
      </c>
      <c r="AH131">
        <v>34.01</v>
      </c>
      <c r="AI131">
        <v>35.61</v>
      </c>
      <c r="AJ131">
        <v>95.03</v>
      </c>
      <c r="AK131">
        <v>156.30000000000001</v>
      </c>
      <c r="AL131">
        <v>134.19999999999999</v>
      </c>
      <c r="AM131">
        <v>14.2</v>
      </c>
      <c r="AN131">
        <v>1655</v>
      </c>
      <c r="AO131">
        <v>4.0019999999999998</v>
      </c>
      <c r="AP131" s="3">
        <v>0.76627314814814806</v>
      </c>
      <c r="AQ131" s="1">
        <v>45133</v>
      </c>
      <c r="AR131">
        <v>-0.04</v>
      </c>
      <c r="AS131">
        <v>2E-3</v>
      </c>
      <c r="AT131">
        <v>5.0000000000000001E-3</v>
      </c>
      <c r="AU131">
        <v>1.2999999999999999E-2</v>
      </c>
      <c r="AV131">
        <v>-6.7000000000000004E-2</v>
      </c>
      <c r="AW131">
        <v>0.36799999999999999</v>
      </c>
      <c r="AX131">
        <v>3.9609999999999999</v>
      </c>
      <c r="AY131">
        <v>1</v>
      </c>
      <c r="AZ131">
        <v>150</v>
      </c>
      <c r="BA131">
        <v>5.0000000000000001E-3</v>
      </c>
      <c r="BB131">
        <v>2</v>
      </c>
      <c r="BC131">
        <v>0</v>
      </c>
      <c r="BD131" t="s">
        <v>200</v>
      </c>
      <c r="BE131">
        <v>7000</v>
      </c>
      <c r="BF131">
        <v>500</v>
      </c>
      <c r="BG131">
        <v>5</v>
      </c>
      <c r="BH131">
        <v>2</v>
      </c>
      <c r="BI131">
        <v>300</v>
      </c>
      <c r="BJ131">
        <v>300</v>
      </c>
      <c r="BK131">
        <v>300</v>
      </c>
      <c r="BL131">
        <v>199.43261699999999</v>
      </c>
      <c r="BM131">
        <v>25</v>
      </c>
      <c r="BN131">
        <v>-10.296333000000001</v>
      </c>
      <c r="BO131">
        <v>198.99165300000001</v>
      </c>
      <c r="BP131">
        <v>199.630707</v>
      </c>
      <c r="BQ131">
        <v>-0.63905299999999998</v>
      </c>
      <c r="BR131">
        <v>2.41065</v>
      </c>
      <c r="BS131">
        <v>2.4817840000000002</v>
      </c>
      <c r="BT131">
        <v>1.5876710000000001</v>
      </c>
      <c r="BU131">
        <v>0.93001699999999998</v>
      </c>
      <c r="BV131">
        <v>0.19114700000000001</v>
      </c>
      <c r="BW131">
        <v>2.0694000000000001E-2</v>
      </c>
      <c r="BX131">
        <v>0.18055099999999999</v>
      </c>
      <c r="BY131">
        <v>1.575115</v>
      </c>
      <c r="BZ131">
        <v>121.76442</v>
      </c>
      <c r="CA131">
        <v>3.5599999999999998E-4</v>
      </c>
      <c r="CB131">
        <v>2.3486280000000002</v>
      </c>
      <c r="CC131">
        <v>-5.1E-5</v>
      </c>
      <c r="CD131">
        <v>1</v>
      </c>
      <c r="CE131">
        <v>2.4109430000000001</v>
      </c>
      <c r="CF131">
        <v>-5.7000000000000003E-5</v>
      </c>
      <c r="CG131">
        <v>1</v>
      </c>
      <c r="CH131">
        <v>0.60051900000000002</v>
      </c>
      <c r="CI131">
        <v>0.60216099999999995</v>
      </c>
      <c r="CJ131">
        <v>0.107265</v>
      </c>
      <c r="CK131">
        <v>0</v>
      </c>
      <c r="CL131" t="s">
        <v>392</v>
      </c>
      <c r="CM131" t="s">
        <v>201</v>
      </c>
      <c r="CN131" t="s">
        <v>202</v>
      </c>
      <c r="CO131" t="s">
        <v>203</v>
      </c>
      <c r="CP131" t="s">
        <v>204</v>
      </c>
      <c r="CQ131" t="s">
        <v>205</v>
      </c>
      <c r="CR131" t="s">
        <v>206</v>
      </c>
    </row>
    <row r="132" spans="1:96">
      <c r="A132">
        <v>3</v>
      </c>
      <c r="B132" s="3">
        <v>0.76656250000000004</v>
      </c>
      <c r="C132" s="1">
        <v>45133</v>
      </c>
      <c r="D132" t="s">
        <v>196</v>
      </c>
      <c r="E132" t="s">
        <v>197</v>
      </c>
      <c r="G132">
        <v>3</v>
      </c>
      <c r="J132">
        <v>0.14233499999999999</v>
      </c>
      <c r="K132">
        <v>2.9192809999999998</v>
      </c>
      <c r="L132">
        <v>0.135717</v>
      </c>
      <c r="M132">
        <v>5.4414899999999999</v>
      </c>
      <c r="N132">
        <v>2.3756330000000001</v>
      </c>
      <c r="O132">
        <v>2.2332190000000001</v>
      </c>
      <c r="P132">
        <v>6.0175109999999998</v>
      </c>
      <c r="Q132">
        <v>3.6418780000000002</v>
      </c>
      <c r="R132">
        <v>23.500274999999998</v>
      </c>
      <c r="S132">
        <v>24.998901</v>
      </c>
      <c r="T132">
        <v>63.322552000000002</v>
      </c>
      <c r="U132">
        <v>0.44178600000000001</v>
      </c>
      <c r="V132" t="s">
        <v>393</v>
      </c>
      <c r="W132">
        <v>0</v>
      </c>
      <c r="X132">
        <v>0</v>
      </c>
      <c r="Y132">
        <v>0</v>
      </c>
      <c r="Z132">
        <v>109.98880800000001</v>
      </c>
      <c r="AA132">
        <v>188.776993</v>
      </c>
      <c r="AB132">
        <v>0.41736099999999998</v>
      </c>
      <c r="AC132">
        <v>0.5</v>
      </c>
      <c r="AD132">
        <v>0.8</v>
      </c>
      <c r="AE132">
        <v>277.91372699999999</v>
      </c>
      <c r="AF132">
        <v>44.4</v>
      </c>
      <c r="AG132">
        <v>41.74</v>
      </c>
      <c r="AH132">
        <v>34.03</v>
      </c>
      <c r="AI132">
        <v>36.15</v>
      </c>
      <c r="AJ132">
        <v>95.03</v>
      </c>
      <c r="AK132">
        <v>156.4</v>
      </c>
      <c r="AL132">
        <v>147.30000000000001</v>
      </c>
      <c r="AM132">
        <v>5.8</v>
      </c>
      <c r="AN132">
        <v>1665</v>
      </c>
      <c r="AO132">
        <v>4.0019999999999998</v>
      </c>
      <c r="AP132" s="3">
        <v>0.76627314814814806</v>
      </c>
      <c r="AQ132" s="1">
        <v>45133</v>
      </c>
      <c r="AR132">
        <v>-0.04</v>
      </c>
      <c r="AS132">
        <v>0</v>
      </c>
      <c r="AT132">
        <v>4.0000000000000001E-3</v>
      </c>
      <c r="AU132">
        <v>-9999</v>
      </c>
      <c r="AV132">
        <v>-0.2</v>
      </c>
      <c r="AW132">
        <v>1.47</v>
      </c>
      <c r="AX132">
        <v>-9999</v>
      </c>
      <c r="AY132">
        <v>1</v>
      </c>
      <c r="AZ132">
        <v>150</v>
      </c>
      <c r="BA132">
        <v>5.0000000000000001E-3</v>
      </c>
      <c r="BB132">
        <v>2</v>
      </c>
      <c r="BC132">
        <v>0</v>
      </c>
      <c r="BD132" t="s">
        <v>200</v>
      </c>
      <c r="BE132">
        <v>7000</v>
      </c>
      <c r="BF132">
        <v>500</v>
      </c>
      <c r="BG132">
        <v>5</v>
      </c>
      <c r="BH132">
        <v>2</v>
      </c>
      <c r="BI132">
        <v>300</v>
      </c>
      <c r="BJ132">
        <v>300</v>
      </c>
      <c r="BK132">
        <v>300</v>
      </c>
      <c r="BL132">
        <v>175.117493</v>
      </c>
      <c r="BM132">
        <v>25</v>
      </c>
      <c r="BN132">
        <v>-9.424728</v>
      </c>
      <c r="BO132">
        <v>174.436218</v>
      </c>
      <c r="BP132">
        <v>175.25903299999999</v>
      </c>
      <c r="BQ132">
        <v>-0.82281499999999996</v>
      </c>
      <c r="BR132">
        <v>2.4096669999999998</v>
      </c>
      <c r="BS132">
        <v>2.4801859999999998</v>
      </c>
      <c r="BT132">
        <v>1.5883910000000001</v>
      </c>
      <c r="BU132">
        <v>0.97026299999999999</v>
      </c>
      <c r="BV132">
        <v>0.19098999999999999</v>
      </c>
      <c r="BW132">
        <v>2.7619000000000001E-2</v>
      </c>
      <c r="BX132">
        <v>0.181673</v>
      </c>
      <c r="BY132">
        <v>1.583661</v>
      </c>
      <c r="BZ132">
        <v>109.98880800000001</v>
      </c>
      <c r="CA132">
        <v>3.5100000000000002E-4</v>
      </c>
      <c r="CB132">
        <v>2.3486280000000002</v>
      </c>
      <c r="CC132">
        <v>-5.1E-5</v>
      </c>
      <c r="CD132">
        <v>1</v>
      </c>
      <c r="CE132">
        <v>2.4109430000000001</v>
      </c>
      <c r="CF132">
        <v>-5.7000000000000003E-5</v>
      </c>
      <c r="CG132">
        <v>1</v>
      </c>
      <c r="CH132">
        <v>0.60051900000000002</v>
      </c>
      <c r="CI132">
        <v>0.60216099999999995</v>
      </c>
      <c r="CJ132">
        <v>0.107265</v>
      </c>
      <c r="CK132">
        <v>0</v>
      </c>
      <c r="CL132" t="s">
        <v>393</v>
      </c>
      <c r="CM132" t="s">
        <v>201</v>
      </c>
      <c r="CN132" t="s">
        <v>202</v>
      </c>
      <c r="CO132" t="s">
        <v>203</v>
      </c>
      <c r="CP132" t="s">
        <v>204</v>
      </c>
      <c r="CQ132" t="s">
        <v>205</v>
      </c>
      <c r="CR132" t="s">
        <v>206</v>
      </c>
    </row>
    <row r="133" spans="1:96">
      <c r="A133">
        <v>4</v>
      </c>
      <c r="B133" s="3">
        <v>0.76665509259259268</v>
      </c>
      <c r="C133" s="1">
        <v>45133</v>
      </c>
      <c r="D133" t="s">
        <v>196</v>
      </c>
      <c r="E133" t="s">
        <v>197</v>
      </c>
      <c r="G133">
        <v>4</v>
      </c>
      <c r="J133">
        <v>9.6783999999999995E-2</v>
      </c>
      <c r="K133">
        <v>2.920023</v>
      </c>
      <c r="L133">
        <v>9.3678999999999998E-2</v>
      </c>
      <c r="M133">
        <v>4.037369</v>
      </c>
      <c r="N133">
        <v>2.330276</v>
      </c>
      <c r="O133">
        <v>2.2246160000000001</v>
      </c>
      <c r="P133">
        <v>6.2413249999999998</v>
      </c>
      <c r="Q133">
        <v>3.9110490000000002</v>
      </c>
      <c r="R133">
        <v>23.408567000000001</v>
      </c>
      <c r="S133">
        <v>24.520382000000001</v>
      </c>
      <c r="T133">
        <v>65.674484000000007</v>
      </c>
      <c r="U133">
        <v>0.44178600000000001</v>
      </c>
      <c r="V133" t="s">
        <v>394</v>
      </c>
      <c r="W133">
        <v>0</v>
      </c>
      <c r="X133">
        <v>0</v>
      </c>
      <c r="Y133">
        <v>0</v>
      </c>
      <c r="Z133">
        <v>94.010352999999995</v>
      </c>
      <c r="AA133">
        <v>142.92929100000001</v>
      </c>
      <c r="AB133">
        <v>0.34226000000000001</v>
      </c>
      <c r="AC133">
        <v>0.5</v>
      </c>
      <c r="AD133">
        <v>0.8</v>
      </c>
      <c r="AE133">
        <v>233.75846899999999</v>
      </c>
      <c r="AF133">
        <v>43.5</v>
      </c>
      <c r="AG133">
        <v>41.53</v>
      </c>
      <c r="AH133">
        <v>34.049999999999997</v>
      </c>
      <c r="AI133">
        <v>36.81</v>
      </c>
      <c r="AJ133">
        <v>95.03</v>
      </c>
      <c r="AK133">
        <v>156.5</v>
      </c>
      <c r="AL133">
        <v>147.1</v>
      </c>
      <c r="AM133">
        <v>6</v>
      </c>
      <c r="AN133">
        <v>1707</v>
      </c>
      <c r="AO133">
        <v>4.0019999999999998</v>
      </c>
      <c r="AP133" s="3">
        <v>0.76627314814814806</v>
      </c>
      <c r="AQ133" s="1">
        <v>45133</v>
      </c>
      <c r="AR133">
        <v>-0.04</v>
      </c>
      <c r="AS133">
        <v>1E-3</v>
      </c>
      <c r="AT133">
        <v>1E-3</v>
      </c>
      <c r="AU133">
        <v>-9999</v>
      </c>
      <c r="AV133">
        <v>-0.315</v>
      </c>
      <c r="AW133">
        <v>-0.42899999999999999</v>
      </c>
      <c r="AX133">
        <v>-9999</v>
      </c>
      <c r="AY133">
        <v>1</v>
      </c>
      <c r="AZ133">
        <v>150</v>
      </c>
      <c r="BA133">
        <v>5.0000000000000001E-3</v>
      </c>
      <c r="BB133">
        <v>2</v>
      </c>
      <c r="BC133">
        <v>0</v>
      </c>
      <c r="BD133" t="s">
        <v>200</v>
      </c>
      <c r="BE133">
        <v>7000</v>
      </c>
      <c r="BF133">
        <v>500</v>
      </c>
      <c r="BG133">
        <v>5</v>
      </c>
      <c r="BH133">
        <v>2</v>
      </c>
      <c r="BI133">
        <v>300</v>
      </c>
      <c r="BJ133">
        <v>300</v>
      </c>
      <c r="BK133">
        <v>300</v>
      </c>
      <c r="BL133">
        <v>136.27589399999999</v>
      </c>
      <c r="BM133">
        <v>25</v>
      </c>
      <c r="BN133">
        <v>-4.5544260000000003</v>
      </c>
      <c r="BO133">
        <v>137.54153400000001</v>
      </c>
      <c r="BP133">
        <v>136.396851</v>
      </c>
      <c r="BQ133">
        <v>1.144684</v>
      </c>
      <c r="BR133">
        <v>2.4094030000000002</v>
      </c>
      <c r="BS133">
        <v>2.4789659999999998</v>
      </c>
      <c r="BT133">
        <v>1.58911</v>
      </c>
      <c r="BU133">
        <v>0.96957800000000005</v>
      </c>
      <c r="BV133">
        <v>0.19085199999999999</v>
      </c>
      <c r="BW133">
        <v>3.6287E-2</v>
      </c>
      <c r="BX133">
        <v>0.182759</v>
      </c>
      <c r="BY133">
        <v>1.6215809999999999</v>
      </c>
      <c r="BZ133">
        <v>94.010352999999995</v>
      </c>
      <c r="CA133">
        <v>3.5399999999999999E-4</v>
      </c>
      <c r="CB133">
        <v>2.3486280000000002</v>
      </c>
      <c r="CC133">
        <v>-5.1E-5</v>
      </c>
      <c r="CD133">
        <v>1</v>
      </c>
      <c r="CE133">
        <v>2.4109430000000001</v>
      </c>
      <c r="CF133">
        <v>-5.7000000000000003E-5</v>
      </c>
      <c r="CG133">
        <v>1</v>
      </c>
      <c r="CH133">
        <v>0.60051900000000002</v>
      </c>
      <c r="CI133">
        <v>0.60216099999999995</v>
      </c>
      <c r="CJ133">
        <v>0.107265</v>
      </c>
      <c r="CK133">
        <v>0</v>
      </c>
      <c r="CL133" t="s">
        <v>394</v>
      </c>
      <c r="CM133" t="s">
        <v>201</v>
      </c>
      <c r="CN133" t="s">
        <v>202</v>
      </c>
      <c r="CO133" t="s">
        <v>203</v>
      </c>
      <c r="CP133" t="s">
        <v>204</v>
      </c>
      <c r="CQ133" t="s">
        <v>205</v>
      </c>
      <c r="CR133" t="s">
        <v>206</v>
      </c>
    </row>
    <row r="134" spans="1:96">
      <c r="A134">
        <v>1</v>
      </c>
      <c r="B134" s="3">
        <v>0.77106481481481481</v>
      </c>
      <c r="C134" s="1">
        <v>45133</v>
      </c>
      <c r="D134" t="s">
        <v>196</v>
      </c>
      <c r="E134" t="s">
        <v>197</v>
      </c>
      <c r="G134">
        <v>1</v>
      </c>
      <c r="J134">
        <v>0.29856500000000002</v>
      </c>
      <c r="K134">
        <v>2.9178739999999999</v>
      </c>
      <c r="L134">
        <v>0.27085100000000001</v>
      </c>
      <c r="M134">
        <v>8.696847</v>
      </c>
      <c r="N134">
        <v>2.5039220000000002</v>
      </c>
      <c r="O134">
        <v>2.2763369999999998</v>
      </c>
      <c r="P134">
        <v>5.428363</v>
      </c>
      <c r="Q134">
        <v>2.9244409999999998</v>
      </c>
      <c r="R134">
        <v>23.950417000000002</v>
      </c>
      <c r="S134">
        <v>26.344940000000001</v>
      </c>
      <c r="T134">
        <v>57.114361000000002</v>
      </c>
      <c r="U134">
        <v>0.44178600000000001</v>
      </c>
      <c r="V134" t="s">
        <v>395</v>
      </c>
      <c r="W134">
        <v>0</v>
      </c>
      <c r="X134">
        <v>0</v>
      </c>
      <c r="Y134">
        <v>0</v>
      </c>
      <c r="Z134">
        <v>110.476974</v>
      </c>
      <c r="AA134">
        <v>188.788116</v>
      </c>
      <c r="AB134">
        <v>0.41481000000000001</v>
      </c>
      <c r="AC134">
        <v>0.5</v>
      </c>
      <c r="AD134">
        <v>0.8</v>
      </c>
      <c r="AE134">
        <v>240.024338</v>
      </c>
      <c r="AF134">
        <v>46.55</v>
      </c>
      <c r="AG134">
        <v>42.32</v>
      </c>
      <c r="AH134">
        <v>34.119999999999997</v>
      </c>
      <c r="AI134">
        <v>34.28</v>
      </c>
      <c r="AJ134">
        <v>95.04</v>
      </c>
      <c r="AK134">
        <v>156.19999999999999</v>
      </c>
      <c r="AL134">
        <v>147.5</v>
      </c>
      <c r="AM134">
        <v>5.6</v>
      </c>
      <c r="AN134">
        <v>1447</v>
      </c>
      <c r="AO134">
        <v>4.0010000000000003</v>
      </c>
      <c r="AP134" s="3">
        <v>0.77094907407407398</v>
      </c>
      <c r="AQ134" s="1">
        <v>45133</v>
      </c>
      <c r="AR134">
        <v>-7.0000000000000007E-2</v>
      </c>
      <c r="AS134">
        <v>2E-3</v>
      </c>
      <c r="AT134">
        <v>2E-3</v>
      </c>
      <c r="AU134">
        <v>2.1999999999999999E-2</v>
      </c>
      <c r="AV134">
        <v>0.36499999999999999</v>
      </c>
      <c r="AW134">
        <v>1.032</v>
      </c>
      <c r="AX134">
        <v>3.16</v>
      </c>
      <c r="AY134">
        <v>1</v>
      </c>
      <c r="AZ134">
        <v>150</v>
      </c>
      <c r="BA134">
        <v>5.0000000000000001E-3</v>
      </c>
      <c r="BB134">
        <v>2</v>
      </c>
      <c r="BC134">
        <v>0</v>
      </c>
      <c r="BD134" t="s">
        <v>200</v>
      </c>
      <c r="BE134">
        <v>7000</v>
      </c>
      <c r="BF134">
        <v>500</v>
      </c>
      <c r="BG134">
        <v>5</v>
      </c>
      <c r="BH134">
        <v>2</v>
      </c>
      <c r="BI134">
        <v>300</v>
      </c>
      <c r="BJ134">
        <v>300</v>
      </c>
      <c r="BK134">
        <v>300</v>
      </c>
      <c r="BL134">
        <v>178.429123</v>
      </c>
      <c r="BM134">
        <v>25</v>
      </c>
      <c r="BN134">
        <v>-7.0832540000000002</v>
      </c>
      <c r="BO134">
        <v>178.90583799999999</v>
      </c>
      <c r="BP134">
        <v>178.62855500000001</v>
      </c>
      <c r="BQ134">
        <v>0.277283</v>
      </c>
      <c r="BR134">
        <v>2.4103889999999999</v>
      </c>
      <c r="BS134">
        <v>2.4831249999999998</v>
      </c>
      <c r="BT134">
        <v>1.5870329999999999</v>
      </c>
      <c r="BU134">
        <v>0.97091799999999995</v>
      </c>
      <c r="BV134">
        <v>0.19028700000000001</v>
      </c>
      <c r="BW134">
        <v>1.825E-3</v>
      </c>
      <c r="BX134">
        <v>0.17660200000000001</v>
      </c>
      <c r="BY134">
        <v>1.3902190000000001</v>
      </c>
      <c r="BZ134">
        <v>110.476974</v>
      </c>
      <c r="CA134">
        <v>3.4900000000000003E-4</v>
      </c>
      <c r="CB134">
        <v>2.3486280000000002</v>
      </c>
      <c r="CC134">
        <v>-5.1E-5</v>
      </c>
      <c r="CD134">
        <v>1</v>
      </c>
      <c r="CE134">
        <v>2.4109430000000001</v>
      </c>
      <c r="CF134">
        <v>-5.7000000000000003E-5</v>
      </c>
      <c r="CG134">
        <v>1</v>
      </c>
      <c r="CH134">
        <v>0.60051900000000002</v>
      </c>
      <c r="CI134">
        <v>0.60216099999999995</v>
      </c>
      <c r="CJ134">
        <v>0.107265</v>
      </c>
      <c r="CK134">
        <v>0</v>
      </c>
      <c r="CL134" t="s">
        <v>395</v>
      </c>
      <c r="CM134" t="s">
        <v>201</v>
      </c>
      <c r="CN134" t="s">
        <v>202</v>
      </c>
      <c r="CO134" t="s">
        <v>203</v>
      </c>
      <c r="CP134" t="s">
        <v>204</v>
      </c>
      <c r="CQ134" t="s">
        <v>205</v>
      </c>
      <c r="CR134" t="s">
        <v>206</v>
      </c>
    </row>
    <row r="135" spans="1:96">
      <c r="A135">
        <v>2</v>
      </c>
      <c r="B135" s="3">
        <v>0.77123842592592595</v>
      </c>
      <c r="C135" s="1">
        <v>45133</v>
      </c>
      <c r="D135" t="s">
        <v>196</v>
      </c>
      <c r="E135" t="s">
        <v>197</v>
      </c>
      <c r="G135">
        <v>2</v>
      </c>
      <c r="J135">
        <v>0.31852900000000001</v>
      </c>
      <c r="K135">
        <v>2.9196840000000002</v>
      </c>
      <c r="L135">
        <v>0.28719699999999998</v>
      </c>
      <c r="M135">
        <v>7.2482470000000001</v>
      </c>
      <c r="N135">
        <v>2.437052</v>
      </c>
      <c r="O135">
        <v>2.2474989999999999</v>
      </c>
      <c r="P135">
        <v>4.7452439999999996</v>
      </c>
      <c r="Q135">
        <v>2.308192</v>
      </c>
      <c r="R135">
        <v>23.645817000000001</v>
      </c>
      <c r="S135">
        <v>25.640089</v>
      </c>
      <c r="T135">
        <v>49.92445</v>
      </c>
      <c r="U135">
        <v>0.44178600000000001</v>
      </c>
      <c r="V135" t="s">
        <v>396</v>
      </c>
      <c r="W135">
        <v>0</v>
      </c>
      <c r="X135">
        <v>0</v>
      </c>
      <c r="Y135">
        <v>0</v>
      </c>
      <c r="Z135">
        <v>90.184089999999998</v>
      </c>
      <c r="AA135">
        <v>268.90795900000001</v>
      </c>
      <c r="AB135">
        <v>0.664628</v>
      </c>
      <c r="AC135">
        <v>0.5</v>
      </c>
      <c r="AD135">
        <v>0.8</v>
      </c>
      <c r="AE135">
        <v>347.92126500000001</v>
      </c>
      <c r="AF135">
        <v>45.24</v>
      </c>
      <c r="AG135">
        <v>41.73</v>
      </c>
      <c r="AH135">
        <v>34.14</v>
      </c>
      <c r="AI135">
        <v>31.89</v>
      </c>
      <c r="AJ135">
        <v>95.05</v>
      </c>
      <c r="AK135">
        <v>156.5</v>
      </c>
      <c r="AL135">
        <v>128.6</v>
      </c>
      <c r="AM135">
        <v>17.8</v>
      </c>
      <c r="AN135">
        <v>1309</v>
      </c>
      <c r="AO135">
        <v>3.996</v>
      </c>
      <c r="AP135" s="3">
        <v>0.77094907407407398</v>
      </c>
      <c r="AQ135" s="1">
        <v>45133</v>
      </c>
      <c r="AR135">
        <v>-7.0000000000000007E-2</v>
      </c>
      <c r="AS135">
        <v>-2E-3</v>
      </c>
      <c r="AT135">
        <v>-3.0000000000000001E-3</v>
      </c>
      <c r="AU135">
        <v>-9999</v>
      </c>
      <c r="AV135">
        <v>0.86899999999999999</v>
      </c>
      <c r="AW135">
        <v>1.08</v>
      </c>
      <c r="AX135">
        <v>-9999</v>
      </c>
      <c r="AY135">
        <v>1</v>
      </c>
      <c r="AZ135">
        <v>150</v>
      </c>
      <c r="BA135">
        <v>5.0000000000000001E-3</v>
      </c>
      <c r="BB135">
        <v>2</v>
      </c>
      <c r="BC135">
        <v>0</v>
      </c>
      <c r="BD135" t="s">
        <v>200</v>
      </c>
      <c r="BE135">
        <v>7000</v>
      </c>
      <c r="BF135">
        <v>500</v>
      </c>
      <c r="BG135">
        <v>5</v>
      </c>
      <c r="BH135">
        <v>2</v>
      </c>
      <c r="BI135">
        <v>300</v>
      </c>
      <c r="BJ135">
        <v>300</v>
      </c>
      <c r="BK135">
        <v>300</v>
      </c>
      <c r="BL135">
        <v>244.6754</v>
      </c>
      <c r="BM135">
        <v>25</v>
      </c>
      <c r="BN135">
        <v>-16.981345999999998</v>
      </c>
      <c r="BO135">
        <v>243.84320099999999</v>
      </c>
      <c r="BP135">
        <v>244.55148299999999</v>
      </c>
      <c r="BQ135">
        <v>-0.70828199999999997</v>
      </c>
      <c r="BR135">
        <v>2.4096299999999999</v>
      </c>
      <c r="BS135">
        <v>2.4813540000000001</v>
      </c>
      <c r="BT135">
        <v>1.5887819999999999</v>
      </c>
      <c r="BU135">
        <v>0.913385</v>
      </c>
      <c r="BV135">
        <v>0.19011</v>
      </c>
      <c r="BW135">
        <v>-2.9322000000000001E-2</v>
      </c>
      <c r="BX135">
        <v>0.178756</v>
      </c>
      <c r="BY135">
        <v>1.26793</v>
      </c>
      <c r="BZ135">
        <v>90.184089999999998</v>
      </c>
      <c r="CA135">
        <v>3.5399999999999999E-4</v>
      </c>
      <c r="CB135">
        <v>2.3486280000000002</v>
      </c>
      <c r="CC135">
        <v>-5.1E-5</v>
      </c>
      <c r="CD135">
        <v>1</v>
      </c>
      <c r="CE135">
        <v>2.4109430000000001</v>
      </c>
      <c r="CF135">
        <v>-5.7000000000000003E-5</v>
      </c>
      <c r="CG135">
        <v>1</v>
      </c>
      <c r="CH135">
        <v>0.60051900000000002</v>
      </c>
      <c r="CI135">
        <v>0.60216099999999995</v>
      </c>
      <c r="CJ135">
        <v>0.107265</v>
      </c>
      <c r="CK135">
        <v>0</v>
      </c>
      <c r="CL135" t="s">
        <v>396</v>
      </c>
      <c r="CM135" t="s">
        <v>201</v>
      </c>
      <c r="CN135" t="s">
        <v>202</v>
      </c>
      <c r="CO135" t="s">
        <v>203</v>
      </c>
      <c r="CP135" t="s">
        <v>204</v>
      </c>
      <c r="CQ135" t="s">
        <v>205</v>
      </c>
      <c r="CR135" t="s">
        <v>206</v>
      </c>
    </row>
    <row r="136" spans="1:96">
      <c r="A136">
        <v>3</v>
      </c>
      <c r="B136" s="3">
        <v>0.77136574074074071</v>
      </c>
      <c r="C136" s="1">
        <v>45133</v>
      </c>
      <c r="D136" t="s">
        <v>196</v>
      </c>
      <c r="E136" t="s">
        <v>197</v>
      </c>
      <c r="G136">
        <v>3</v>
      </c>
      <c r="J136">
        <v>0.34010699999999999</v>
      </c>
      <c r="K136">
        <v>2.920417</v>
      </c>
      <c r="L136">
        <v>0.30463000000000001</v>
      </c>
      <c r="M136">
        <v>8.8303360000000009</v>
      </c>
      <c r="N136">
        <v>2.4939680000000002</v>
      </c>
      <c r="O136">
        <v>2.263306</v>
      </c>
      <c r="P136">
        <v>5.1386450000000004</v>
      </c>
      <c r="Q136">
        <v>2.6446779999999999</v>
      </c>
      <c r="R136">
        <v>23.811050000000002</v>
      </c>
      <c r="S136">
        <v>26.237719999999999</v>
      </c>
      <c r="T136">
        <v>54.060986</v>
      </c>
      <c r="U136">
        <v>0.44178600000000001</v>
      </c>
      <c r="V136" t="s">
        <v>397</v>
      </c>
      <c r="W136">
        <v>0</v>
      </c>
      <c r="X136">
        <v>0</v>
      </c>
      <c r="Y136">
        <v>0</v>
      </c>
      <c r="Z136">
        <v>105.95262099999999</v>
      </c>
      <c r="AA136">
        <v>219.225189</v>
      </c>
      <c r="AB136">
        <v>0.51669500000000002</v>
      </c>
      <c r="AC136">
        <v>0.5</v>
      </c>
      <c r="AD136">
        <v>0.8</v>
      </c>
      <c r="AE136">
        <v>319.11242700000003</v>
      </c>
      <c r="AF136">
        <v>46.28</v>
      </c>
      <c r="AG136">
        <v>42</v>
      </c>
      <c r="AH136">
        <v>34.15</v>
      </c>
      <c r="AI136">
        <v>33.299999999999997</v>
      </c>
      <c r="AJ136">
        <v>95.05</v>
      </c>
      <c r="AK136">
        <v>156.5</v>
      </c>
      <c r="AL136">
        <v>147.1</v>
      </c>
      <c r="AM136">
        <v>6</v>
      </c>
      <c r="AN136">
        <v>1544</v>
      </c>
      <c r="AO136">
        <v>3.9660000000000002</v>
      </c>
      <c r="AP136" s="3">
        <v>0.77094907407407398</v>
      </c>
      <c r="AQ136" s="1">
        <v>45133</v>
      </c>
      <c r="AR136">
        <v>-7.0000000000000007E-2</v>
      </c>
      <c r="AS136">
        <v>3.0000000000000001E-3</v>
      </c>
      <c r="AT136">
        <v>3.0000000000000001E-3</v>
      </c>
      <c r="AU136">
        <v>-2E-3</v>
      </c>
      <c r="AV136">
        <v>-2.7290000000000001</v>
      </c>
      <c r="AW136">
        <v>2.242</v>
      </c>
      <c r="AX136">
        <v>10.694000000000001</v>
      </c>
      <c r="AY136">
        <v>1</v>
      </c>
      <c r="AZ136">
        <v>150</v>
      </c>
      <c r="BA136">
        <v>5.0000000000000001E-3</v>
      </c>
      <c r="BB136">
        <v>2</v>
      </c>
      <c r="BC136">
        <v>0</v>
      </c>
      <c r="BD136" t="s">
        <v>200</v>
      </c>
      <c r="BE136">
        <v>7000</v>
      </c>
      <c r="BF136">
        <v>500</v>
      </c>
      <c r="BG136">
        <v>5</v>
      </c>
      <c r="BH136">
        <v>2</v>
      </c>
      <c r="BI136">
        <v>300</v>
      </c>
      <c r="BJ136">
        <v>300</v>
      </c>
      <c r="BK136">
        <v>300</v>
      </c>
      <c r="BL136">
        <v>205.957886</v>
      </c>
      <c r="BM136">
        <v>25</v>
      </c>
      <c r="BN136">
        <v>-9.1323840000000001</v>
      </c>
      <c r="BO136">
        <v>206.65919500000001</v>
      </c>
      <c r="BP136">
        <v>206.126541</v>
      </c>
      <c r="BQ136">
        <v>0.53265399999999996</v>
      </c>
      <c r="BR136">
        <v>2.4099780000000002</v>
      </c>
      <c r="BS136">
        <v>2.482755</v>
      </c>
      <c r="BT136">
        <v>1.5894919999999999</v>
      </c>
      <c r="BU136">
        <v>0.96973399999999998</v>
      </c>
      <c r="BV136">
        <v>0.190049</v>
      </c>
      <c r="BW136">
        <v>-1.1329000000000001E-2</v>
      </c>
      <c r="BX136">
        <v>0.180174</v>
      </c>
      <c r="BY136">
        <v>1.4766140000000001</v>
      </c>
      <c r="BZ136">
        <v>105.95262099999999</v>
      </c>
      <c r="CA136">
        <v>3.4900000000000003E-4</v>
      </c>
      <c r="CB136">
        <v>2.3486280000000002</v>
      </c>
      <c r="CC136">
        <v>-5.1E-5</v>
      </c>
      <c r="CD136">
        <v>1</v>
      </c>
      <c r="CE136">
        <v>2.4109430000000001</v>
      </c>
      <c r="CF136">
        <v>-5.7000000000000003E-5</v>
      </c>
      <c r="CG136">
        <v>1</v>
      </c>
      <c r="CH136">
        <v>0.60051900000000002</v>
      </c>
      <c r="CI136">
        <v>0.60216099999999995</v>
      </c>
      <c r="CJ136">
        <v>0.107265</v>
      </c>
      <c r="CK136">
        <v>0</v>
      </c>
      <c r="CL136" t="s">
        <v>397</v>
      </c>
      <c r="CM136" t="s">
        <v>201</v>
      </c>
      <c r="CN136" t="s">
        <v>202</v>
      </c>
      <c r="CO136" t="s">
        <v>203</v>
      </c>
      <c r="CP136" t="s">
        <v>204</v>
      </c>
      <c r="CQ136" t="s">
        <v>205</v>
      </c>
      <c r="CR136" t="s">
        <v>206</v>
      </c>
    </row>
    <row r="137" spans="1:96">
      <c r="A137">
        <v>4</v>
      </c>
      <c r="B137" s="3">
        <v>0.7716319444444445</v>
      </c>
      <c r="C137" s="1">
        <v>45133</v>
      </c>
      <c r="D137" t="s">
        <v>196</v>
      </c>
      <c r="E137" t="s">
        <v>197</v>
      </c>
      <c r="G137">
        <v>4</v>
      </c>
      <c r="J137">
        <v>0.101102</v>
      </c>
      <c r="K137">
        <v>2.9191470000000002</v>
      </c>
      <c r="L137">
        <v>9.7716999999999998E-2</v>
      </c>
      <c r="M137">
        <v>3.0839379999999998</v>
      </c>
      <c r="N137">
        <v>2.3456399999999999</v>
      </c>
      <c r="O137">
        <v>2.2648790000000001</v>
      </c>
      <c r="P137">
        <v>5.2257800000000003</v>
      </c>
      <c r="Q137">
        <v>2.8801410000000001</v>
      </c>
      <c r="R137">
        <v>23.829418</v>
      </c>
      <c r="S137">
        <v>24.679124999999999</v>
      </c>
      <c r="T137">
        <v>54.981879999999997</v>
      </c>
      <c r="U137">
        <v>0.44178600000000001</v>
      </c>
      <c r="V137" t="s">
        <v>398</v>
      </c>
      <c r="W137">
        <v>0</v>
      </c>
      <c r="X137">
        <v>0</v>
      </c>
      <c r="Y137">
        <v>0</v>
      </c>
      <c r="Z137">
        <v>123.374466</v>
      </c>
      <c r="AA137">
        <v>416.54953</v>
      </c>
      <c r="AB137">
        <v>0.70381800000000005</v>
      </c>
      <c r="AC137">
        <v>0.5</v>
      </c>
      <c r="AD137">
        <v>0.8</v>
      </c>
      <c r="AE137">
        <v>342.36474600000003</v>
      </c>
      <c r="AF137">
        <v>43.51</v>
      </c>
      <c r="AG137">
        <v>42.02</v>
      </c>
      <c r="AH137">
        <v>34.159999999999997</v>
      </c>
      <c r="AI137">
        <v>33.6</v>
      </c>
      <c r="AJ137">
        <v>95.05</v>
      </c>
      <c r="AK137">
        <v>156.4</v>
      </c>
      <c r="AL137">
        <v>147</v>
      </c>
      <c r="AM137">
        <v>6</v>
      </c>
      <c r="AN137">
        <v>1216</v>
      </c>
      <c r="AO137">
        <v>3.9990000000000001</v>
      </c>
      <c r="AP137" s="3">
        <v>0.77094907407407398</v>
      </c>
      <c r="AQ137" s="1">
        <v>45133</v>
      </c>
      <c r="AR137">
        <v>-7.0000000000000007E-2</v>
      </c>
      <c r="AS137">
        <v>2E-3</v>
      </c>
      <c r="AT137">
        <v>1E-3</v>
      </c>
      <c r="AU137">
        <v>-1E-3</v>
      </c>
      <c r="AV137">
        <v>-5.2309999999999999</v>
      </c>
      <c r="AW137">
        <v>-3.798</v>
      </c>
      <c r="AX137">
        <v>-15.137</v>
      </c>
      <c r="AY137">
        <v>1</v>
      </c>
      <c r="AZ137">
        <v>150</v>
      </c>
      <c r="BA137">
        <v>5.0000000000000001E-3</v>
      </c>
      <c r="BB137">
        <v>2</v>
      </c>
      <c r="BC137">
        <v>0</v>
      </c>
      <c r="BD137" t="s">
        <v>200</v>
      </c>
      <c r="BE137">
        <v>7000</v>
      </c>
      <c r="BF137">
        <v>500</v>
      </c>
      <c r="BG137">
        <v>5</v>
      </c>
      <c r="BH137">
        <v>2</v>
      </c>
      <c r="BI137">
        <v>300</v>
      </c>
      <c r="BJ137">
        <v>300</v>
      </c>
      <c r="BK137">
        <v>300</v>
      </c>
      <c r="BL137">
        <v>401.59106400000002</v>
      </c>
      <c r="BM137">
        <v>25</v>
      </c>
      <c r="BN137">
        <v>-10.209444</v>
      </c>
      <c r="BO137">
        <v>401.69406099999998</v>
      </c>
      <c r="BP137">
        <v>401.90603599999997</v>
      </c>
      <c r="BQ137">
        <v>-0.211975</v>
      </c>
      <c r="BR137">
        <v>2.4099970000000002</v>
      </c>
      <c r="BS137">
        <v>2.4789949999999998</v>
      </c>
      <c r="BT137">
        <v>1.588263</v>
      </c>
      <c r="BU137">
        <v>0.96937899999999999</v>
      </c>
      <c r="BV137">
        <v>0.19000500000000001</v>
      </c>
      <c r="BW137">
        <v>-7.5249999999999996E-3</v>
      </c>
      <c r="BX137">
        <v>0.18330299999999999</v>
      </c>
      <c r="BY137">
        <v>1.1857979999999999</v>
      </c>
      <c r="BZ137">
        <v>123.374466</v>
      </c>
      <c r="CA137">
        <v>3.5199999999999999E-4</v>
      </c>
      <c r="CB137">
        <v>2.3486280000000002</v>
      </c>
      <c r="CC137">
        <v>-5.1E-5</v>
      </c>
      <c r="CD137">
        <v>1</v>
      </c>
      <c r="CE137">
        <v>2.4109430000000001</v>
      </c>
      <c r="CF137">
        <v>-5.7000000000000003E-5</v>
      </c>
      <c r="CG137">
        <v>1</v>
      </c>
      <c r="CH137">
        <v>0.60051900000000002</v>
      </c>
      <c r="CI137">
        <v>0.60216099999999995</v>
      </c>
      <c r="CJ137">
        <v>0.107265</v>
      </c>
      <c r="CK137">
        <v>0</v>
      </c>
      <c r="CL137" t="s">
        <v>398</v>
      </c>
      <c r="CM137" t="s">
        <v>201</v>
      </c>
      <c r="CN137" t="s">
        <v>202</v>
      </c>
      <c r="CO137" t="s">
        <v>203</v>
      </c>
      <c r="CP137" t="s">
        <v>204</v>
      </c>
      <c r="CQ137" t="s">
        <v>205</v>
      </c>
      <c r="CR137" t="s">
        <v>206</v>
      </c>
    </row>
    <row r="138" spans="1:96">
      <c r="A138">
        <v>1</v>
      </c>
      <c r="B138" s="3">
        <v>0.7768518518518519</v>
      </c>
      <c r="C138" s="1">
        <v>45133</v>
      </c>
      <c r="D138" t="s">
        <v>196</v>
      </c>
      <c r="E138" t="s">
        <v>197</v>
      </c>
      <c r="G138">
        <v>1</v>
      </c>
      <c r="J138">
        <v>0.144173</v>
      </c>
      <c r="K138">
        <v>2.9195129999999998</v>
      </c>
      <c r="L138">
        <v>0.13738800000000001</v>
      </c>
      <c r="M138">
        <v>4.3397839999999999</v>
      </c>
      <c r="N138">
        <v>2.3230309999999998</v>
      </c>
      <c r="O138">
        <v>2.2093729999999998</v>
      </c>
      <c r="P138">
        <v>5.2067449999999997</v>
      </c>
      <c r="Q138">
        <v>2.8837139999999999</v>
      </c>
      <c r="R138">
        <v>23.242616999999999</v>
      </c>
      <c r="S138">
        <v>24.438293000000002</v>
      </c>
      <c r="T138">
        <v>54.774982000000001</v>
      </c>
      <c r="U138">
        <v>0.44178600000000001</v>
      </c>
      <c r="V138" t="s">
        <v>399</v>
      </c>
      <c r="W138">
        <v>0</v>
      </c>
      <c r="X138">
        <v>0</v>
      </c>
      <c r="Y138">
        <v>0</v>
      </c>
      <c r="Z138">
        <v>94.799278000000001</v>
      </c>
      <c r="AA138">
        <v>246.391739</v>
      </c>
      <c r="AB138">
        <v>0.61524999999999996</v>
      </c>
      <c r="AC138">
        <v>0.5</v>
      </c>
      <c r="AD138">
        <v>0.8</v>
      </c>
      <c r="AE138">
        <v>322.96853599999997</v>
      </c>
      <c r="AF138">
        <v>43.35</v>
      </c>
      <c r="AG138">
        <v>41.23</v>
      </c>
      <c r="AH138">
        <v>34.049999999999997</v>
      </c>
      <c r="AI138">
        <v>33.54</v>
      </c>
      <c r="AJ138">
        <v>95.06</v>
      </c>
      <c r="AK138">
        <v>156.4</v>
      </c>
      <c r="AL138">
        <v>147.19999999999999</v>
      </c>
      <c r="AM138">
        <v>5.9</v>
      </c>
      <c r="AN138">
        <v>1312</v>
      </c>
      <c r="AO138">
        <v>3.9990000000000001</v>
      </c>
      <c r="AP138" s="3">
        <v>0.77672453703703714</v>
      </c>
      <c r="AQ138" s="1">
        <v>45133</v>
      </c>
      <c r="AR138">
        <v>-0.04</v>
      </c>
      <c r="AS138">
        <v>-1E-3</v>
      </c>
      <c r="AT138">
        <v>2E-3</v>
      </c>
      <c r="AU138">
        <v>1.6E-2</v>
      </c>
      <c r="AV138">
        <v>1.0289999999999999</v>
      </c>
      <c r="AW138">
        <v>3.1070000000000002</v>
      </c>
      <c r="AX138">
        <v>6.2629999999999999</v>
      </c>
      <c r="AY138">
        <v>1</v>
      </c>
      <c r="AZ138">
        <v>150</v>
      </c>
      <c r="BA138">
        <v>5.0000000000000001E-3</v>
      </c>
      <c r="BB138">
        <v>2</v>
      </c>
      <c r="BC138">
        <v>0</v>
      </c>
      <c r="BD138" t="s">
        <v>200</v>
      </c>
      <c r="BE138">
        <v>7000</v>
      </c>
      <c r="BF138">
        <v>500</v>
      </c>
      <c r="BG138">
        <v>5</v>
      </c>
      <c r="BH138">
        <v>2</v>
      </c>
      <c r="BI138">
        <v>300</v>
      </c>
      <c r="BJ138">
        <v>300</v>
      </c>
      <c r="BK138">
        <v>300</v>
      </c>
      <c r="BL138">
        <v>225.35348500000001</v>
      </c>
      <c r="BM138">
        <v>25</v>
      </c>
      <c r="BN138">
        <v>-14.530355999999999</v>
      </c>
      <c r="BO138">
        <v>225.64781199999999</v>
      </c>
      <c r="BP138">
        <v>225.550735</v>
      </c>
      <c r="BQ138">
        <v>9.7075999999999996E-2</v>
      </c>
      <c r="BR138">
        <v>2.4090120000000002</v>
      </c>
      <c r="BS138">
        <v>2.478761</v>
      </c>
      <c r="BT138">
        <v>1.588616</v>
      </c>
      <c r="BU138">
        <v>0.96980900000000003</v>
      </c>
      <c r="BV138">
        <v>0.19078700000000001</v>
      </c>
      <c r="BW138">
        <v>-6.9959999999999996E-3</v>
      </c>
      <c r="BX138">
        <v>0.175956</v>
      </c>
      <c r="BY138">
        <v>1.2711589999999999</v>
      </c>
      <c r="BZ138">
        <v>94.799278000000001</v>
      </c>
      <c r="CA138">
        <v>3.5100000000000002E-4</v>
      </c>
      <c r="CB138">
        <v>2.3486280000000002</v>
      </c>
      <c r="CC138">
        <v>-5.1E-5</v>
      </c>
      <c r="CD138">
        <v>1</v>
      </c>
      <c r="CE138">
        <v>2.4109430000000001</v>
      </c>
      <c r="CF138">
        <v>-5.7000000000000003E-5</v>
      </c>
      <c r="CG138">
        <v>1</v>
      </c>
      <c r="CH138">
        <v>0.60051900000000002</v>
      </c>
      <c r="CI138">
        <v>0.60216099999999995</v>
      </c>
      <c r="CJ138">
        <v>0.107265</v>
      </c>
      <c r="CK138">
        <v>0</v>
      </c>
      <c r="CL138" t="s">
        <v>399</v>
      </c>
      <c r="CM138" t="s">
        <v>201</v>
      </c>
      <c r="CN138" t="s">
        <v>202</v>
      </c>
      <c r="CO138" t="s">
        <v>203</v>
      </c>
      <c r="CP138" t="s">
        <v>204</v>
      </c>
      <c r="CQ138" t="s">
        <v>205</v>
      </c>
      <c r="CR138" t="s">
        <v>206</v>
      </c>
    </row>
    <row r="139" spans="1:96">
      <c r="A139">
        <v>2</v>
      </c>
      <c r="B139" s="3">
        <v>0.77697916666666667</v>
      </c>
      <c r="C139" s="1">
        <v>45133</v>
      </c>
      <c r="D139" t="s">
        <v>196</v>
      </c>
      <c r="E139" t="s">
        <v>197</v>
      </c>
      <c r="G139">
        <v>2</v>
      </c>
      <c r="J139">
        <v>7.0921999999999999E-2</v>
      </c>
      <c r="K139">
        <v>2.919616</v>
      </c>
      <c r="L139">
        <v>6.9239999999999996E-2</v>
      </c>
      <c r="M139">
        <v>2.0588839999999999</v>
      </c>
      <c r="N139">
        <v>2.2816749999999999</v>
      </c>
      <c r="O139">
        <v>2.2277339999999999</v>
      </c>
      <c r="P139">
        <v>4.9999580000000003</v>
      </c>
      <c r="Q139">
        <v>2.718283</v>
      </c>
      <c r="R139">
        <v>23.435890000000001</v>
      </c>
      <c r="S139">
        <v>24.003350999999999</v>
      </c>
      <c r="T139">
        <v>52.599845999999999</v>
      </c>
      <c r="U139">
        <v>0.44178600000000001</v>
      </c>
      <c r="V139" t="s">
        <v>400</v>
      </c>
      <c r="W139">
        <v>0</v>
      </c>
      <c r="X139">
        <v>0</v>
      </c>
      <c r="Y139">
        <v>0</v>
      </c>
      <c r="Z139">
        <v>91.454025000000001</v>
      </c>
      <c r="AA139">
        <v>362.10769699999997</v>
      </c>
      <c r="AB139">
        <v>0.74743999999999999</v>
      </c>
      <c r="AC139">
        <v>0.5</v>
      </c>
      <c r="AD139">
        <v>0.8</v>
      </c>
      <c r="AE139">
        <v>356.28659099999999</v>
      </c>
      <c r="AF139">
        <v>42.53</v>
      </c>
      <c r="AG139">
        <v>41.53</v>
      </c>
      <c r="AH139">
        <v>34.07</v>
      </c>
      <c r="AI139">
        <v>32.82</v>
      </c>
      <c r="AJ139">
        <v>95.06</v>
      </c>
      <c r="AK139">
        <v>156.4</v>
      </c>
      <c r="AL139">
        <v>147.1</v>
      </c>
      <c r="AM139">
        <v>6</v>
      </c>
      <c r="AN139">
        <v>1192</v>
      </c>
      <c r="AO139">
        <v>3.9990000000000001</v>
      </c>
      <c r="AP139" s="3">
        <v>0.77672453703703714</v>
      </c>
      <c r="AQ139" s="1">
        <v>45133</v>
      </c>
      <c r="AR139">
        <v>-0.04</v>
      </c>
      <c r="AS139">
        <v>-1E-3</v>
      </c>
      <c r="AT139">
        <v>0</v>
      </c>
      <c r="AU139">
        <v>8.0000000000000002E-3</v>
      </c>
      <c r="AV139">
        <v>-0.40799999999999997</v>
      </c>
      <c r="AW139">
        <v>-0.39700000000000002</v>
      </c>
      <c r="AX139">
        <v>-0.39200000000000002</v>
      </c>
      <c r="AY139">
        <v>1</v>
      </c>
      <c r="AZ139">
        <v>150</v>
      </c>
      <c r="BA139">
        <v>5.0000000000000001E-3</v>
      </c>
      <c r="BB139">
        <v>2</v>
      </c>
      <c r="BC139">
        <v>0</v>
      </c>
      <c r="BD139" t="s">
        <v>200</v>
      </c>
      <c r="BE139">
        <v>7000</v>
      </c>
      <c r="BF139">
        <v>500</v>
      </c>
      <c r="BG139">
        <v>5</v>
      </c>
      <c r="BH139">
        <v>2</v>
      </c>
      <c r="BI139">
        <v>300</v>
      </c>
      <c r="BJ139">
        <v>300</v>
      </c>
      <c r="BK139">
        <v>300</v>
      </c>
      <c r="BL139">
        <v>343.62210099999999</v>
      </c>
      <c r="BM139">
        <v>25</v>
      </c>
      <c r="BN139">
        <v>-12.750944</v>
      </c>
      <c r="BO139">
        <v>349.16924999999998</v>
      </c>
      <c r="BP139">
        <v>343.81890900000002</v>
      </c>
      <c r="BQ139">
        <v>5.3503420000000004</v>
      </c>
      <c r="BR139">
        <v>2.4093900000000001</v>
      </c>
      <c r="BS139">
        <v>2.4776410000000002</v>
      </c>
      <c r="BT139">
        <v>1.588716</v>
      </c>
      <c r="BU139">
        <v>0.96946699999999997</v>
      </c>
      <c r="BV139">
        <v>0.19064700000000001</v>
      </c>
      <c r="BW139">
        <v>-1.6549000000000001E-2</v>
      </c>
      <c r="BX139">
        <v>0.177593</v>
      </c>
      <c r="BY139">
        <v>1.1641509999999999</v>
      </c>
      <c r="BZ139">
        <v>91.454025000000001</v>
      </c>
      <c r="CA139">
        <v>3.5399999999999999E-4</v>
      </c>
      <c r="CB139">
        <v>2.3486280000000002</v>
      </c>
      <c r="CC139">
        <v>-5.1E-5</v>
      </c>
      <c r="CD139">
        <v>1</v>
      </c>
      <c r="CE139">
        <v>2.4109430000000001</v>
      </c>
      <c r="CF139">
        <v>-5.7000000000000003E-5</v>
      </c>
      <c r="CG139">
        <v>1</v>
      </c>
      <c r="CH139">
        <v>0.60051900000000002</v>
      </c>
      <c r="CI139">
        <v>0.60216099999999995</v>
      </c>
      <c r="CJ139">
        <v>0.107265</v>
      </c>
      <c r="CK139">
        <v>0</v>
      </c>
      <c r="CL139" t="s">
        <v>400</v>
      </c>
      <c r="CM139" t="s">
        <v>201</v>
      </c>
      <c r="CN139" t="s">
        <v>202</v>
      </c>
      <c r="CO139" t="s">
        <v>203</v>
      </c>
      <c r="CP139" t="s">
        <v>204</v>
      </c>
      <c r="CQ139" t="s">
        <v>205</v>
      </c>
      <c r="CR139" t="s">
        <v>206</v>
      </c>
    </row>
    <row r="140" spans="1:96">
      <c r="A140">
        <v>3</v>
      </c>
      <c r="B140" s="3">
        <v>0.77707175925925931</v>
      </c>
      <c r="C140" s="1">
        <v>45133</v>
      </c>
      <c r="D140" t="s">
        <v>196</v>
      </c>
      <c r="E140" t="s">
        <v>197</v>
      </c>
      <c r="G140">
        <v>3</v>
      </c>
      <c r="J140">
        <v>8.2733000000000001E-2</v>
      </c>
      <c r="K140">
        <v>2.9197899999999999</v>
      </c>
      <c r="L140">
        <v>8.0453999999999998E-2</v>
      </c>
      <c r="M140">
        <v>2.3681730000000001</v>
      </c>
      <c r="N140">
        <v>2.2954850000000002</v>
      </c>
      <c r="O140">
        <v>2.23346</v>
      </c>
      <c r="P140">
        <v>4.9862650000000004</v>
      </c>
      <c r="Q140">
        <v>2.6907800000000002</v>
      </c>
      <c r="R140">
        <v>23.496689</v>
      </c>
      <c r="S140">
        <v>24.149208000000002</v>
      </c>
      <c r="T140">
        <v>52.457039000000002</v>
      </c>
      <c r="U140">
        <v>0.44178600000000001</v>
      </c>
      <c r="V140" t="s">
        <v>401</v>
      </c>
      <c r="W140">
        <v>0</v>
      </c>
      <c r="X140">
        <v>0</v>
      </c>
      <c r="Y140">
        <v>0</v>
      </c>
      <c r="Z140">
        <v>78.369857999999994</v>
      </c>
      <c r="AA140">
        <v>212.864105</v>
      </c>
      <c r="AB140">
        <v>0.63183199999999995</v>
      </c>
      <c r="AC140">
        <v>0.5</v>
      </c>
      <c r="AD140">
        <v>0.8</v>
      </c>
      <c r="AE140">
        <v>313.61880500000001</v>
      </c>
      <c r="AF140">
        <v>42.77</v>
      </c>
      <c r="AG140">
        <v>41.61</v>
      </c>
      <c r="AH140">
        <v>34.08</v>
      </c>
      <c r="AI140">
        <v>32.770000000000003</v>
      </c>
      <c r="AJ140">
        <v>95.05</v>
      </c>
      <c r="AK140">
        <v>156.5</v>
      </c>
      <c r="AL140">
        <v>131.69999999999999</v>
      </c>
      <c r="AM140">
        <v>15.8</v>
      </c>
      <c r="AN140">
        <v>1241</v>
      </c>
      <c r="AO140">
        <v>3.9990000000000001</v>
      </c>
      <c r="AP140" s="3">
        <v>0.77672453703703714</v>
      </c>
      <c r="AQ140" s="1">
        <v>45133</v>
      </c>
      <c r="AR140">
        <v>-0.04</v>
      </c>
      <c r="AS140">
        <v>-1E-3</v>
      </c>
      <c r="AT140">
        <v>-3.0000000000000001E-3</v>
      </c>
      <c r="AU140">
        <v>-9999</v>
      </c>
      <c r="AV140">
        <v>0.69299999999999995</v>
      </c>
      <c r="AW140">
        <v>1.155</v>
      </c>
      <c r="AX140">
        <v>-9999</v>
      </c>
      <c r="AY140">
        <v>1</v>
      </c>
      <c r="AZ140">
        <v>150</v>
      </c>
      <c r="BA140">
        <v>5.0000000000000001E-3</v>
      </c>
      <c r="BB140">
        <v>2</v>
      </c>
      <c r="BC140">
        <v>0</v>
      </c>
      <c r="BD140" t="s">
        <v>200</v>
      </c>
      <c r="BE140">
        <v>7000</v>
      </c>
      <c r="BF140">
        <v>500</v>
      </c>
      <c r="BG140">
        <v>5</v>
      </c>
      <c r="BH140">
        <v>2</v>
      </c>
      <c r="BI140">
        <v>300</v>
      </c>
      <c r="BJ140">
        <v>300</v>
      </c>
      <c r="BK140">
        <v>300</v>
      </c>
      <c r="BL140">
        <v>202.19314600000001</v>
      </c>
      <c r="BM140">
        <v>25</v>
      </c>
      <c r="BN140">
        <v>-7.296856</v>
      </c>
      <c r="BO140">
        <v>204.70512400000001</v>
      </c>
      <c r="BP140">
        <v>202.39816300000001</v>
      </c>
      <c r="BQ140">
        <v>2.3069609999999998</v>
      </c>
      <c r="BR140">
        <v>2.4095019999999998</v>
      </c>
      <c r="BS140">
        <v>2.4779659999999999</v>
      </c>
      <c r="BT140">
        <v>1.588884</v>
      </c>
      <c r="BU140">
        <v>0.92272900000000002</v>
      </c>
      <c r="BV140">
        <v>0.19059000000000001</v>
      </c>
      <c r="BW140">
        <v>-1.7274999999999999E-2</v>
      </c>
      <c r="BX140">
        <v>0.17865800000000001</v>
      </c>
      <c r="BY140">
        <v>1.2078040000000001</v>
      </c>
      <c r="BZ140">
        <v>78.369857999999994</v>
      </c>
      <c r="CA140">
        <v>3.5500000000000001E-4</v>
      </c>
      <c r="CB140">
        <v>2.3486280000000002</v>
      </c>
      <c r="CC140">
        <v>-5.1E-5</v>
      </c>
      <c r="CD140">
        <v>1</v>
      </c>
      <c r="CE140">
        <v>2.4109430000000001</v>
      </c>
      <c r="CF140">
        <v>-5.7000000000000003E-5</v>
      </c>
      <c r="CG140">
        <v>1</v>
      </c>
      <c r="CH140">
        <v>0.60051900000000002</v>
      </c>
      <c r="CI140">
        <v>0.60216099999999995</v>
      </c>
      <c r="CJ140">
        <v>0.107265</v>
      </c>
      <c r="CK140">
        <v>0</v>
      </c>
      <c r="CL140" t="s">
        <v>401</v>
      </c>
      <c r="CM140" t="s">
        <v>201</v>
      </c>
      <c r="CN140" t="s">
        <v>202</v>
      </c>
      <c r="CO140" t="s">
        <v>203</v>
      </c>
      <c r="CP140" t="s">
        <v>204</v>
      </c>
      <c r="CQ140" t="s">
        <v>205</v>
      </c>
      <c r="CR140" t="s">
        <v>206</v>
      </c>
    </row>
    <row r="141" spans="1:96">
      <c r="A141">
        <v>4</v>
      </c>
      <c r="B141" s="3">
        <v>0.77717592592592588</v>
      </c>
      <c r="C141" s="1">
        <v>45133</v>
      </c>
      <c r="D141" t="s">
        <v>196</v>
      </c>
      <c r="E141" t="s">
        <v>197</v>
      </c>
      <c r="G141">
        <v>4</v>
      </c>
      <c r="J141">
        <v>9.9921999999999997E-2</v>
      </c>
      <c r="K141">
        <v>2.9179469999999998</v>
      </c>
      <c r="L141">
        <v>9.6613000000000004E-2</v>
      </c>
      <c r="M141">
        <v>3.4446819999999998</v>
      </c>
      <c r="N141">
        <v>2.394164</v>
      </c>
      <c r="O141">
        <v>2.3039170000000002</v>
      </c>
      <c r="P141">
        <v>5.6397729999999999</v>
      </c>
      <c r="Q141">
        <v>3.245609</v>
      </c>
      <c r="R141">
        <v>24.239823999999999</v>
      </c>
      <c r="S141">
        <v>25.189329000000001</v>
      </c>
      <c r="T141">
        <v>59.336829999999999</v>
      </c>
      <c r="U141">
        <v>0.44178600000000001</v>
      </c>
      <c r="V141" t="s">
        <v>402</v>
      </c>
      <c r="W141">
        <v>0</v>
      </c>
      <c r="X141">
        <v>0</v>
      </c>
      <c r="Y141">
        <v>0</v>
      </c>
      <c r="Z141">
        <v>95.043899999999994</v>
      </c>
      <c r="AA141">
        <v>189.65763899999999</v>
      </c>
      <c r="AB141">
        <v>0.49886599999999998</v>
      </c>
      <c r="AC141">
        <v>0.5</v>
      </c>
      <c r="AD141">
        <v>0.8</v>
      </c>
      <c r="AE141">
        <v>259.43563799999998</v>
      </c>
      <c r="AF141">
        <v>44.59</v>
      </c>
      <c r="AG141">
        <v>42.91</v>
      </c>
      <c r="AH141">
        <v>34.090000000000003</v>
      </c>
      <c r="AI141">
        <v>34.97</v>
      </c>
      <c r="AJ141">
        <v>95.05</v>
      </c>
      <c r="AK141">
        <v>156.19999999999999</v>
      </c>
      <c r="AL141">
        <v>147.1</v>
      </c>
      <c r="AM141">
        <v>5.8</v>
      </c>
      <c r="AN141">
        <v>1300</v>
      </c>
      <c r="AO141">
        <v>3.9969999999999999</v>
      </c>
      <c r="AP141" s="3">
        <v>0.77672453703703714</v>
      </c>
      <c r="AQ141" s="1">
        <v>45133</v>
      </c>
      <c r="AR141">
        <v>-0.04</v>
      </c>
      <c r="AS141">
        <v>4.0000000000000001E-3</v>
      </c>
      <c r="AT141">
        <v>0</v>
      </c>
      <c r="AU141">
        <v>-9999</v>
      </c>
      <c r="AV141">
        <v>0.66300000000000003</v>
      </c>
      <c r="AW141">
        <v>0.74199999999999999</v>
      </c>
      <c r="AX141">
        <v>-9999</v>
      </c>
      <c r="AY141">
        <v>1</v>
      </c>
      <c r="AZ141">
        <v>150</v>
      </c>
      <c r="BA141">
        <v>5.0000000000000001E-3</v>
      </c>
      <c r="BB141">
        <v>2</v>
      </c>
      <c r="BC141">
        <v>0</v>
      </c>
      <c r="BD141" t="s">
        <v>200</v>
      </c>
      <c r="BE141">
        <v>7000</v>
      </c>
      <c r="BF141">
        <v>500</v>
      </c>
      <c r="BG141">
        <v>5</v>
      </c>
      <c r="BH141">
        <v>2</v>
      </c>
      <c r="BI141">
        <v>300</v>
      </c>
      <c r="BJ141">
        <v>300</v>
      </c>
      <c r="BK141">
        <v>300</v>
      </c>
      <c r="BL141">
        <v>178.720947</v>
      </c>
      <c r="BM141">
        <v>25</v>
      </c>
      <c r="BN141">
        <v>-7.5032170000000002</v>
      </c>
      <c r="BO141">
        <v>179.49951200000001</v>
      </c>
      <c r="BP141">
        <v>178.89572100000001</v>
      </c>
      <c r="BQ141">
        <v>0.60379000000000005</v>
      </c>
      <c r="BR141">
        <v>2.4111449999999999</v>
      </c>
      <c r="BS141">
        <v>2.480442</v>
      </c>
      <c r="BT141">
        <v>1.5871029999999999</v>
      </c>
      <c r="BU141">
        <v>0.96970199999999995</v>
      </c>
      <c r="BV141">
        <v>0.190523</v>
      </c>
      <c r="BW141">
        <v>1.1249E-2</v>
      </c>
      <c r="BX141">
        <v>0.179864</v>
      </c>
      <c r="BY141">
        <v>1.260321</v>
      </c>
      <c r="BZ141">
        <v>95.043899999999994</v>
      </c>
      <c r="CA141">
        <v>3.5300000000000002E-4</v>
      </c>
      <c r="CB141">
        <v>2.3486280000000002</v>
      </c>
      <c r="CC141">
        <v>-5.1E-5</v>
      </c>
      <c r="CD141">
        <v>1</v>
      </c>
      <c r="CE141">
        <v>2.4109430000000001</v>
      </c>
      <c r="CF141">
        <v>-5.7000000000000003E-5</v>
      </c>
      <c r="CG141">
        <v>1</v>
      </c>
      <c r="CH141">
        <v>0.60051900000000002</v>
      </c>
      <c r="CI141">
        <v>0.60216099999999995</v>
      </c>
      <c r="CJ141">
        <v>0.107265</v>
      </c>
      <c r="CK141">
        <v>0</v>
      </c>
      <c r="CL141" t="s">
        <v>402</v>
      </c>
      <c r="CM141" t="s">
        <v>201</v>
      </c>
      <c r="CN141" t="s">
        <v>202</v>
      </c>
      <c r="CO141" t="s">
        <v>203</v>
      </c>
      <c r="CP141" t="s">
        <v>204</v>
      </c>
      <c r="CQ141" t="s">
        <v>205</v>
      </c>
      <c r="CR141" t="s">
        <v>206</v>
      </c>
    </row>
    <row r="142" spans="1:96">
      <c r="A142">
        <v>5</v>
      </c>
      <c r="B142" s="3">
        <v>0.77731481481481479</v>
      </c>
      <c r="C142" s="1">
        <v>45133</v>
      </c>
      <c r="D142" t="s">
        <v>196</v>
      </c>
      <c r="E142" t="s">
        <v>197</v>
      </c>
      <c r="G142">
        <v>5</v>
      </c>
      <c r="J142">
        <v>0.15545900000000001</v>
      </c>
      <c r="K142">
        <v>2.9196580000000001</v>
      </c>
      <c r="L142">
        <v>0.14760000000000001</v>
      </c>
      <c r="M142">
        <v>5.244586</v>
      </c>
      <c r="N142">
        <v>2.4219889999999999</v>
      </c>
      <c r="O142">
        <v>2.2847970000000002</v>
      </c>
      <c r="P142">
        <v>5.6561089999999998</v>
      </c>
      <c r="Q142">
        <v>3.2341199999999999</v>
      </c>
      <c r="R142">
        <v>24.035881</v>
      </c>
      <c r="S142">
        <v>25.479136</v>
      </c>
      <c r="T142">
        <v>59.501820000000002</v>
      </c>
      <c r="U142">
        <v>0.44178600000000001</v>
      </c>
      <c r="V142" t="s">
        <v>403</v>
      </c>
      <c r="W142">
        <v>0</v>
      </c>
      <c r="X142">
        <v>0</v>
      </c>
      <c r="Y142">
        <v>0</v>
      </c>
      <c r="Z142">
        <v>123.82435599999999</v>
      </c>
      <c r="AA142">
        <v>232.57225</v>
      </c>
      <c r="AB142">
        <v>0.467588</v>
      </c>
      <c r="AC142">
        <v>0.5</v>
      </c>
      <c r="AD142">
        <v>0.8</v>
      </c>
      <c r="AE142">
        <v>248.34524500000001</v>
      </c>
      <c r="AF142">
        <v>45.05</v>
      </c>
      <c r="AG142">
        <v>42.5</v>
      </c>
      <c r="AH142">
        <v>34.11</v>
      </c>
      <c r="AI142">
        <v>35.020000000000003</v>
      </c>
      <c r="AJ142">
        <v>95.06</v>
      </c>
      <c r="AK142">
        <v>156.4</v>
      </c>
      <c r="AL142">
        <v>147.1</v>
      </c>
      <c r="AM142">
        <v>6</v>
      </c>
      <c r="AN142">
        <v>1328</v>
      </c>
      <c r="AO142">
        <v>3.9980000000000002</v>
      </c>
      <c r="AP142" s="3">
        <v>0.77672453703703714</v>
      </c>
      <c r="AQ142" s="1">
        <v>45133</v>
      </c>
      <c r="AR142">
        <v>-0.04</v>
      </c>
      <c r="AS142">
        <v>-1E-3</v>
      </c>
      <c r="AT142">
        <v>-1E-3</v>
      </c>
      <c r="AU142">
        <v>1.4E-2</v>
      </c>
      <c r="AV142">
        <v>0.32</v>
      </c>
      <c r="AW142">
        <v>-0.185</v>
      </c>
      <c r="AX142">
        <v>2.4900000000000002</v>
      </c>
      <c r="AY142">
        <v>1</v>
      </c>
      <c r="AZ142">
        <v>150</v>
      </c>
      <c r="BA142">
        <v>5.0000000000000001E-3</v>
      </c>
      <c r="BB142">
        <v>2</v>
      </c>
      <c r="BC142">
        <v>0</v>
      </c>
      <c r="BD142" t="s">
        <v>200</v>
      </c>
      <c r="BE142">
        <v>7000</v>
      </c>
      <c r="BF142">
        <v>500</v>
      </c>
      <c r="BG142">
        <v>5</v>
      </c>
      <c r="BH142">
        <v>2</v>
      </c>
      <c r="BI142">
        <v>300</v>
      </c>
      <c r="BJ142">
        <v>300</v>
      </c>
      <c r="BK142">
        <v>300</v>
      </c>
      <c r="BL142">
        <v>218.750946</v>
      </c>
      <c r="BM142">
        <v>25</v>
      </c>
      <c r="BN142">
        <v>-9.5143330000000006</v>
      </c>
      <c r="BO142">
        <v>218.906158</v>
      </c>
      <c r="BP142">
        <v>218.92576600000001</v>
      </c>
      <c r="BQ142">
        <v>-1.9608E-2</v>
      </c>
      <c r="BR142">
        <v>2.4106200000000002</v>
      </c>
      <c r="BS142">
        <v>2.4810650000000001</v>
      </c>
      <c r="BT142">
        <v>1.588757</v>
      </c>
      <c r="BU142">
        <v>0.96969099999999997</v>
      </c>
      <c r="BV142">
        <v>0.190358</v>
      </c>
      <c r="BW142">
        <v>1.1644E-2</v>
      </c>
      <c r="BX142">
        <v>0.18157100000000001</v>
      </c>
      <c r="BY142">
        <v>1.2848649999999999</v>
      </c>
      <c r="BZ142">
        <v>123.82435599999999</v>
      </c>
      <c r="CA142">
        <v>3.4099999999999999E-4</v>
      </c>
      <c r="CB142">
        <v>2.3486280000000002</v>
      </c>
      <c r="CC142">
        <v>-5.1E-5</v>
      </c>
      <c r="CD142">
        <v>1</v>
      </c>
      <c r="CE142">
        <v>2.4109430000000001</v>
      </c>
      <c r="CF142">
        <v>-5.7000000000000003E-5</v>
      </c>
      <c r="CG142">
        <v>1</v>
      </c>
      <c r="CH142">
        <v>0.60051900000000002</v>
      </c>
      <c r="CI142">
        <v>0.60216099999999995</v>
      </c>
      <c r="CJ142">
        <v>0.107265</v>
      </c>
      <c r="CK142">
        <v>0</v>
      </c>
      <c r="CL142" t="s">
        <v>403</v>
      </c>
      <c r="CM142" t="s">
        <v>201</v>
      </c>
      <c r="CN142" t="s">
        <v>202</v>
      </c>
      <c r="CO142" t="s">
        <v>203</v>
      </c>
      <c r="CP142" t="s">
        <v>204</v>
      </c>
      <c r="CQ142" t="s">
        <v>205</v>
      </c>
      <c r="CR142" t="s">
        <v>206</v>
      </c>
    </row>
    <row r="143" spans="1:96">
      <c r="A143">
        <v>1</v>
      </c>
      <c r="B143" s="3">
        <v>0.78429398148148144</v>
      </c>
      <c r="C143" s="1">
        <v>45133</v>
      </c>
      <c r="D143" t="s">
        <v>196</v>
      </c>
      <c r="E143" t="s">
        <v>197</v>
      </c>
      <c r="G143">
        <v>1</v>
      </c>
      <c r="J143">
        <v>0.106776</v>
      </c>
      <c r="K143">
        <v>2.9186999999999999</v>
      </c>
      <c r="L143">
        <v>0.103007</v>
      </c>
      <c r="M143">
        <v>2.8754430000000002</v>
      </c>
      <c r="N143">
        <v>2.3075160000000001</v>
      </c>
      <c r="O143">
        <v>2.2322609999999998</v>
      </c>
      <c r="P143">
        <v>4.8571559999999998</v>
      </c>
      <c r="Q143">
        <v>2.549639</v>
      </c>
      <c r="R143">
        <v>23.517724999999999</v>
      </c>
      <c r="S143">
        <v>24.310563999999999</v>
      </c>
      <c r="T143">
        <v>51.171989000000004</v>
      </c>
      <c r="U143">
        <v>0.44178600000000001</v>
      </c>
      <c r="V143" t="s">
        <v>404</v>
      </c>
      <c r="W143">
        <v>0</v>
      </c>
      <c r="X143">
        <v>0</v>
      </c>
      <c r="Y143">
        <v>0</v>
      </c>
      <c r="Z143">
        <v>101.78518699999999</v>
      </c>
      <c r="AA143">
        <v>314.70645100000002</v>
      </c>
      <c r="AB143">
        <v>0.67657100000000003</v>
      </c>
      <c r="AC143">
        <v>0.5</v>
      </c>
      <c r="AD143">
        <v>0.8</v>
      </c>
      <c r="AE143">
        <v>32.219043999999997</v>
      </c>
      <c r="AF143">
        <v>43.14</v>
      </c>
      <c r="AG143">
        <v>41.73</v>
      </c>
      <c r="AH143">
        <v>34.020000000000003</v>
      </c>
      <c r="AI143">
        <v>32.299999999999997</v>
      </c>
      <c r="AJ143">
        <v>94.92</v>
      </c>
      <c r="AK143">
        <v>156.30000000000001</v>
      </c>
      <c r="AL143">
        <v>147.1</v>
      </c>
      <c r="AM143">
        <v>5.9</v>
      </c>
      <c r="AN143">
        <v>119</v>
      </c>
      <c r="AO143">
        <v>3.9969999999999999</v>
      </c>
      <c r="AP143" s="3">
        <v>0.78408564814814818</v>
      </c>
      <c r="AQ143" s="1">
        <v>45133</v>
      </c>
      <c r="AR143">
        <v>-0.03</v>
      </c>
      <c r="AS143">
        <v>0</v>
      </c>
      <c r="AT143">
        <v>-2E-3</v>
      </c>
      <c r="AU143">
        <v>6.0000000000000001E-3</v>
      </c>
      <c r="AV143">
        <v>1.966</v>
      </c>
      <c r="AW143">
        <v>2.5449999999999999</v>
      </c>
      <c r="AX143">
        <v>8.8870000000000005</v>
      </c>
      <c r="AY143">
        <v>1</v>
      </c>
      <c r="AZ143">
        <v>150</v>
      </c>
      <c r="BA143">
        <v>5.0000000000000001E-3</v>
      </c>
      <c r="BB143">
        <v>2</v>
      </c>
      <c r="BC143">
        <v>0</v>
      </c>
      <c r="BD143" t="s">
        <v>200</v>
      </c>
      <c r="BE143">
        <v>7000</v>
      </c>
      <c r="BF143">
        <v>500</v>
      </c>
      <c r="BG143">
        <v>5</v>
      </c>
      <c r="BH143">
        <v>2</v>
      </c>
      <c r="BI143">
        <v>300</v>
      </c>
      <c r="BJ143">
        <v>300</v>
      </c>
      <c r="BK143">
        <v>300</v>
      </c>
      <c r="BL143">
        <v>295.12167399999998</v>
      </c>
      <c r="BM143">
        <v>25</v>
      </c>
      <c r="BN143">
        <v>-13.246935000000001</v>
      </c>
      <c r="BO143">
        <v>297.21487400000001</v>
      </c>
      <c r="BP143">
        <v>295.70626800000002</v>
      </c>
      <c r="BQ143">
        <v>1.5086059999999999</v>
      </c>
      <c r="BR143">
        <v>2.4096660000000001</v>
      </c>
      <c r="BS143">
        <v>2.4784630000000001</v>
      </c>
      <c r="BT143">
        <v>1.5878300000000001</v>
      </c>
      <c r="BU143">
        <v>0.96969700000000003</v>
      </c>
      <c r="BV143">
        <v>0.19104299999999999</v>
      </c>
      <c r="BW143">
        <v>-2.2439000000000001E-2</v>
      </c>
      <c r="BX143">
        <v>0.167348</v>
      </c>
      <c r="BY143">
        <v>0.21285000000000001</v>
      </c>
      <c r="BZ143">
        <v>101.78518699999999</v>
      </c>
      <c r="CA143">
        <v>3.6400000000000001E-4</v>
      </c>
      <c r="CB143">
        <v>2.3486280000000002</v>
      </c>
      <c r="CC143">
        <v>-5.1E-5</v>
      </c>
      <c r="CD143">
        <v>1</v>
      </c>
      <c r="CE143">
        <v>2.4109430000000001</v>
      </c>
      <c r="CF143">
        <v>-5.7000000000000003E-5</v>
      </c>
      <c r="CG143">
        <v>1</v>
      </c>
      <c r="CH143">
        <v>0.60051900000000002</v>
      </c>
      <c r="CI143">
        <v>0.60216099999999995</v>
      </c>
      <c r="CJ143">
        <v>0.107265</v>
      </c>
      <c r="CK143">
        <v>0</v>
      </c>
      <c r="CL143" t="s">
        <v>404</v>
      </c>
      <c r="CM143" t="s">
        <v>201</v>
      </c>
      <c r="CN143" t="s">
        <v>202</v>
      </c>
      <c r="CO143" t="s">
        <v>203</v>
      </c>
      <c r="CP143" t="s">
        <v>204</v>
      </c>
      <c r="CQ143" t="s">
        <v>205</v>
      </c>
      <c r="CR143" t="s">
        <v>206</v>
      </c>
    </row>
    <row r="144" spans="1:96">
      <c r="A144">
        <v>2</v>
      </c>
      <c r="B144" s="3">
        <v>0.78442129629629631</v>
      </c>
      <c r="C144" s="1">
        <v>45133</v>
      </c>
      <c r="D144" t="s">
        <v>196</v>
      </c>
      <c r="E144" t="s">
        <v>197</v>
      </c>
      <c r="G144">
        <v>2</v>
      </c>
      <c r="J144">
        <v>8.3626000000000006E-2</v>
      </c>
      <c r="K144">
        <v>2.9197669999999998</v>
      </c>
      <c r="L144">
        <v>8.1296999999999994E-2</v>
      </c>
      <c r="M144">
        <v>2.638538</v>
      </c>
      <c r="N144">
        <v>2.3167040000000001</v>
      </c>
      <c r="O144">
        <v>2.247709</v>
      </c>
      <c r="P144">
        <v>5.2743690000000001</v>
      </c>
      <c r="Q144">
        <v>2.957665</v>
      </c>
      <c r="R144">
        <v>23.678663</v>
      </c>
      <c r="S144">
        <v>24.4055</v>
      </c>
      <c r="T144">
        <v>55.563248000000002</v>
      </c>
      <c r="U144">
        <v>0.44178600000000001</v>
      </c>
      <c r="V144" t="s">
        <v>405</v>
      </c>
      <c r="W144">
        <v>0</v>
      </c>
      <c r="X144">
        <v>0</v>
      </c>
      <c r="Y144">
        <v>0</v>
      </c>
      <c r="Z144">
        <v>76.017380000000003</v>
      </c>
      <c r="AA144">
        <v>175.91897599999999</v>
      </c>
      <c r="AB144">
        <v>0.56788400000000006</v>
      </c>
      <c r="AC144">
        <v>0.5</v>
      </c>
      <c r="AD144">
        <v>0.8</v>
      </c>
      <c r="AE144">
        <v>28.112482</v>
      </c>
      <c r="AF144">
        <v>43.3</v>
      </c>
      <c r="AG144">
        <v>42.01</v>
      </c>
      <c r="AH144">
        <v>34.03</v>
      </c>
      <c r="AI144">
        <v>33.770000000000003</v>
      </c>
      <c r="AJ144">
        <v>94.93</v>
      </c>
      <c r="AK144">
        <v>156.5</v>
      </c>
      <c r="AL144">
        <v>146.80000000000001</v>
      </c>
      <c r="AM144">
        <v>6.2</v>
      </c>
      <c r="AN144">
        <v>124</v>
      </c>
      <c r="AO144">
        <v>3.996</v>
      </c>
      <c r="AP144" s="3">
        <v>0.78408564814814818</v>
      </c>
      <c r="AQ144" s="1">
        <v>45133</v>
      </c>
      <c r="AR144">
        <v>-0.03</v>
      </c>
      <c r="AS144">
        <v>1E-3</v>
      </c>
      <c r="AT144">
        <v>1E-3</v>
      </c>
      <c r="AU144">
        <v>-9999</v>
      </c>
      <c r="AV144">
        <v>0.57999999999999996</v>
      </c>
      <c r="AW144">
        <v>1.4730000000000001</v>
      </c>
      <c r="AX144">
        <v>-9999</v>
      </c>
      <c r="AY144">
        <v>1</v>
      </c>
      <c r="AZ144">
        <v>150</v>
      </c>
      <c r="BA144">
        <v>5.0000000000000001E-3</v>
      </c>
      <c r="BB144">
        <v>2</v>
      </c>
      <c r="BC144">
        <v>0</v>
      </c>
      <c r="BD144" t="s">
        <v>200</v>
      </c>
      <c r="BE144">
        <v>7000</v>
      </c>
      <c r="BF144">
        <v>500</v>
      </c>
      <c r="BG144">
        <v>5</v>
      </c>
      <c r="BH144">
        <v>2</v>
      </c>
      <c r="BI144">
        <v>300</v>
      </c>
      <c r="BJ144">
        <v>300</v>
      </c>
      <c r="BK144">
        <v>300</v>
      </c>
      <c r="BL144">
        <v>165.712952</v>
      </c>
      <c r="BM144">
        <v>25</v>
      </c>
      <c r="BN144">
        <v>-6.8425000000000002</v>
      </c>
      <c r="BO144">
        <v>167.67167699999999</v>
      </c>
      <c r="BP144">
        <v>166.10472100000001</v>
      </c>
      <c r="BQ144">
        <v>1.566956</v>
      </c>
      <c r="BR144">
        <v>2.4100130000000002</v>
      </c>
      <c r="BS144">
        <v>2.4786730000000001</v>
      </c>
      <c r="BT144">
        <v>1.5888629999999999</v>
      </c>
      <c r="BU144">
        <v>0.96860100000000005</v>
      </c>
      <c r="BV144">
        <v>0.190992</v>
      </c>
      <c r="BW144">
        <v>-3.6489999999999999E-3</v>
      </c>
      <c r="BX144">
        <v>0.16879</v>
      </c>
      <c r="BY144">
        <v>0.217025</v>
      </c>
      <c r="BZ144">
        <v>76.017380000000003</v>
      </c>
      <c r="CA144">
        <v>3.57E-4</v>
      </c>
      <c r="CB144">
        <v>2.3486280000000002</v>
      </c>
      <c r="CC144">
        <v>-5.1E-5</v>
      </c>
      <c r="CD144">
        <v>1</v>
      </c>
      <c r="CE144">
        <v>2.4109430000000001</v>
      </c>
      <c r="CF144">
        <v>-5.7000000000000003E-5</v>
      </c>
      <c r="CG144">
        <v>1</v>
      </c>
      <c r="CH144">
        <v>0.60051900000000002</v>
      </c>
      <c r="CI144">
        <v>0.60216099999999995</v>
      </c>
      <c r="CJ144">
        <v>0.107265</v>
      </c>
      <c r="CK144">
        <v>0</v>
      </c>
      <c r="CL144" t="s">
        <v>405</v>
      </c>
      <c r="CM144" t="s">
        <v>201</v>
      </c>
      <c r="CN144" t="s">
        <v>202</v>
      </c>
      <c r="CO144" t="s">
        <v>203</v>
      </c>
      <c r="CP144" t="s">
        <v>204</v>
      </c>
      <c r="CQ144" t="s">
        <v>205</v>
      </c>
      <c r="CR144" t="s">
        <v>206</v>
      </c>
    </row>
    <row r="145" spans="1:96">
      <c r="A145">
        <v>3</v>
      </c>
      <c r="B145" s="3">
        <v>0.78471064814814817</v>
      </c>
      <c r="C145" s="1">
        <v>45133</v>
      </c>
      <c r="D145" t="s">
        <v>196</v>
      </c>
      <c r="E145" t="s">
        <v>197</v>
      </c>
      <c r="G145">
        <v>3</v>
      </c>
      <c r="J145">
        <v>0.113965</v>
      </c>
      <c r="K145">
        <v>2.9190770000000001</v>
      </c>
      <c r="L145">
        <v>0.109683</v>
      </c>
      <c r="M145">
        <v>3.429894</v>
      </c>
      <c r="N145">
        <v>2.3296329999999998</v>
      </c>
      <c r="O145">
        <v>2.2399100000000001</v>
      </c>
      <c r="P145">
        <v>5.1805599999999998</v>
      </c>
      <c r="Q145">
        <v>2.850927</v>
      </c>
      <c r="R145">
        <v>23.596941000000001</v>
      </c>
      <c r="S145">
        <v>24.542152000000002</v>
      </c>
      <c r="T145">
        <v>54.576011999999999</v>
      </c>
      <c r="U145">
        <v>0.44178600000000001</v>
      </c>
      <c r="V145" t="s">
        <v>406</v>
      </c>
      <c r="W145">
        <v>0</v>
      </c>
      <c r="X145">
        <v>0</v>
      </c>
      <c r="Y145">
        <v>0</v>
      </c>
      <c r="Z145">
        <v>96.318123</v>
      </c>
      <c r="AA145">
        <v>292.42523199999999</v>
      </c>
      <c r="AB145">
        <v>0.67062299999999997</v>
      </c>
      <c r="AC145">
        <v>0.5</v>
      </c>
      <c r="AD145">
        <v>0.8</v>
      </c>
      <c r="AE145">
        <v>46.369621000000002</v>
      </c>
      <c r="AF145">
        <v>43.52</v>
      </c>
      <c r="AG145">
        <v>41.84</v>
      </c>
      <c r="AH145">
        <v>34.03</v>
      </c>
      <c r="AI145">
        <v>33.450000000000003</v>
      </c>
      <c r="AJ145">
        <v>94.92</v>
      </c>
      <c r="AK145">
        <v>156.4</v>
      </c>
      <c r="AL145">
        <v>146.9</v>
      </c>
      <c r="AM145">
        <v>6</v>
      </c>
      <c r="AN145">
        <v>173</v>
      </c>
      <c r="AO145">
        <v>3.9950000000000001</v>
      </c>
      <c r="AP145" s="3">
        <v>0.78408564814814818</v>
      </c>
      <c r="AQ145" s="1">
        <v>45133</v>
      </c>
      <c r="AR145">
        <v>-0.03</v>
      </c>
      <c r="AS145">
        <v>-2E-3</v>
      </c>
      <c r="AT145">
        <v>-1E-3</v>
      </c>
      <c r="AU145">
        <v>-2E-3</v>
      </c>
      <c r="AV145">
        <v>7.26</v>
      </c>
      <c r="AW145">
        <v>-3.7669999999999999</v>
      </c>
      <c r="AX145">
        <v>-1.931</v>
      </c>
      <c r="AY145">
        <v>1</v>
      </c>
      <c r="AZ145">
        <v>150</v>
      </c>
      <c r="BA145">
        <v>5.0000000000000001E-3</v>
      </c>
      <c r="BB145">
        <v>2</v>
      </c>
      <c r="BC145">
        <v>0</v>
      </c>
      <c r="BD145" t="s">
        <v>200</v>
      </c>
      <c r="BE145">
        <v>7000</v>
      </c>
      <c r="BF145">
        <v>500</v>
      </c>
      <c r="BG145">
        <v>5</v>
      </c>
      <c r="BH145">
        <v>2</v>
      </c>
      <c r="BI145">
        <v>300</v>
      </c>
      <c r="BJ145">
        <v>300</v>
      </c>
      <c r="BK145">
        <v>300</v>
      </c>
      <c r="BL145">
        <v>268.89108299999998</v>
      </c>
      <c r="BM145">
        <v>25</v>
      </c>
      <c r="BN145">
        <v>-16.202967000000001</v>
      </c>
      <c r="BO145">
        <v>268.542419</v>
      </c>
      <c r="BP145">
        <v>269.185181</v>
      </c>
      <c r="BQ145">
        <v>-0.64276100000000003</v>
      </c>
      <c r="BR145">
        <v>2.409802</v>
      </c>
      <c r="BS145">
        <v>2.4789759999999998</v>
      </c>
      <c r="BT145">
        <v>1.588195</v>
      </c>
      <c r="BU145">
        <v>0.96906099999999995</v>
      </c>
      <c r="BV145">
        <v>0.19093399999999999</v>
      </c>
      <c r="BW145">
        <v>-7.9050000000000006E-3</v>
      </c>
      <c r="BX145">
        <v>0.17211000000000001</v>
      </c>
      <c r="BY145">
        <v>0.260571</v>
      </c>
      <c r="BZ145">
        <v>96.318123</v>
      </c>
      <c r="CA145">
        <v>3.5599999999999998E-4</v>
      </c>
      <c r="CB145">
        <v>2.3486280000000002</v>
      </c>
      <c r="CC145">
        <v>-5.1E-5</v>
      </c>
      <c r="CD145">
        <v>1</v>
      </c>
      <c r="CE145">
        <v>2.4109430000000001</v>
      </c>
      <c r="CF145">
        <v>-5.7000000000000003E-5</v>
      </c>
      <c r="CG145">
        <v>1</v>
      </c>
      <c r="CH145">
        <v>0.60051900000000002</v>
      </c>
      <c r="CI145">
        <v>0.60216099999999995</v>
      </c>
      <c r="CJ145">
        <v>0.107265</v>
      </c>
      <c r="CK145">
        <v>0</v>
      </c>
      <c r="CL145" t="s">
        <v>406</v>
      </c>
      <c r="CM145" t="s">
        <v>201</v>
      </c>
      <c r="CN145" t="s">
        <v>202</v>
      </c>
      <c r="CO145" t="s">
        <v>203</v>
      </c>
      <c r="CP145" t="s">
        <v>204</v>
      </c>
      <c r="CQ145" t="s">
        <v>205</v>
      </c>
      <c r="CR145" t="s">
        <v>206</v>
      </c>
    </row>
    <row r="146" spans="1:96">
      <c r="A146">
        <v>4</v>
      </c>
      <c r="B146" s="3">
        <v>0.78484953703703697</v>
      </c>
      <c r="C146" s="1">
        <v>45133</v>
      </c>
      <c r="D146" t="s">
        <v>196</v>
      </c>
      <c r="E146" t="s">
        <v>197</v>
      </c>
      <c r="G146">
        <v>4</v>
      </c>
      <c r="J146">
        <v>8.0253000000000005E-2</v>
      </c>
      <c r="K146">
        <v>2.9201700000000002</v>
      </c>
      <c r="L146">
        <v>7.8106999999999996E-2</v>
      </c>
      <c r="M146">
        <v>3.116174</v>
      </c>
      <c r="N146">
        <v>2.3089930000000001</v>
      </c>
      <c r="O146">
        <v>2.2275269999999998</v>
      </c>
      <c r="P146">
        <v>5.9317960000000003</v>
      </c>
      <c r="Q146">
        <v>3.6228020000000001</v>
      </c>
      <c r="R146">
        <v>23.466061</v>
      </c>
      <c r="S146">
        <v>24.324268</v>
      </c>
      <c r="T146">
        <v>62.488956000000002</v>
      </c>
      <c r="U146">
        <v>0.44178600000000001</v>
      </c>
      <c r="V146" t="s">
        <v>407</v>
      </c>
      <c r="W146">
        <v>0</v>
      </c>
      <c r="X146">
        <v>0</v>
      </c>
      <c r="Y146">
        <v>0</v>
      </c>
      <c r="Z146">
        <v>152.51290900000001</v>
      </c>
      <c r="AA146">
        <v>221.57266200000001</v>
      </c>
      <c r="AB146">
        <v>0.31168000000000001</v>
      </c>
      <c r="AC146">
        <v>0.5</v>
      </c>
      <c r="AD146">
        <v>0.8</v>
      </c>
      <c r="AE146">
        <v>111.882019</v>
      </c>
      <c r="AF146">
        <v>43.12</v>
      </c>
      <c r="AG146">
        <v>41.6</v>
      </c>
      <c r="AH146">
        <v>34.04</v>
      </c>
      <c r="AI146">
        <v>35.89</v>
      </c>
      <c r="AJ146">
        <v>94.93</v>
      </c>
      <c r="AK146">
        <v>156.5</v>
      </c>
      <c r="AL146">
        <v>147</v>
      </c>
      <c r="AM146">
        <v>6.1</v>
      </c>
      <c r="AN146">
        <v>897</v>
      </c>
      <c r="AO146">
        <v>3.9550000000000001</v>
      </c>
      <c r="AP146" s="3">
        <v>0.78408564814814818</v>
      </c>
      <c r="AQ146" s="1">
        <v>45133</v>
      </c>
      <c r="AR146">
        <v>-0.03</v>
      </c>
      <c r="AS146">
        <v>-1E-3</v>
      </c>
      <c r="AT146">
        <v>0</v>
      </c>
      <c r="AU146">
        <v>-9999</v>
      </c>
      <c r="AV146">
        <v>2.6949999999999998</v>
      </c>
      <c r="AW146">
        <v>1.724</v>
      </c>
      <c r="AX146">
        <v>-9999</v>
      </c>
      <c r="AY146">
        <v>1</v>
      </c>
      <c r="AZ146">
        <v>150</v>
      </c>
      <c r="BA146">
        <v>5.0000000000000001E-3</v>
      </c>
      <c r="BB146">
        <v>2</v>
      </c>
      <c r="BC146">
        <v>0</v>
      </c>
      <c r="BD146" t="s">
        <v>200</v>
      </c>
      <c r="BE146">
        <v>7000</v>
      </c>
      <c r="BF146">
        <v>500</v>
      </c>
      <c r="BG146">
        <v>5</v>
      </c>
      <c r="BH146">
        <v>2</v>
      </c>
      <c r="BI146">
        <v>300</v>
      </c>
      <c r="BJ146">
        <v>300</v>
      </c>
      <c r="BK146">
        <v>300</v>
      </c>
      <c r="BL146">
        <v>209.182266</v>
      </c>
      <c r="BM146">
        <v>25</v>
      </c>
      <c r="BN146">
        <v>-8.7359530000000003</v>
      </c>
      <c r="BO146">
        <v>207.202438</v>
      </c>
      <c r="BP146">
        <v>209.042618</v>
      </c>
      <c r="BQ146">
        <v>-1.840179</v>
      </c>
      <c r="BR146">
        <v>2.409494</v>
      </c>
      <c r="BS146">
        <v>2.4784350000000002</v>
      </c>
      <c r="BT146">
        <v>1.5892520000000001</v>
      </c>
      <c r="BU146">
        <v>0.96936</v>
      </c>
      <c r="BV146">
        <v>0.19090399999999999</v>
      </c>
      <c r="BW146">
        <v>2.3997000000000001E-2</v>
      </c>
      <c r="BX146">
        <v>0.17358100000000001</v>
      </c>
      <c r="BY146">
        <v>0.90316099999999999</v>
      </c>
      <c r="BZ146">
        <v>152.51290900000001</v>
      </c>
      <c r="CA146">
        <v>3.5300000000000002E-4</v>
      </c>
      <c r="CB146">
        <v>2.3486280000000002</v>
      </c>
      <c r="CC146">
        <v>-5.1E-5</v>
      </c>
      <c r="CD146">
        <v>1</v>
      </c>
      <c r="CE146">
        <v>2.4109430000000001</v>
      </c>
      <c r="CF146">
        <v>-5.7000000000000003E-5</v>
      </c>
      <c r="CG146">
        <v>1</v>
      </c>
      <c r="CH146">
        <v>0.60051900000000002</v>
      </c>
      <c r="CI146">
        <v>0.60216099999999995</v>
      </c>
      <c r="CJ146">
        <v>0.107265</v>
      </c>
      <c r="CK146">
        <v>0</v>
      </c>
      <c r="CL146" t="s">
        <v>407</v>
      </c>
      <c r="CM146" t="s">
        <v>201</v>
      </c>
      <c r="CN146" t="s">
        <v>202</v>
      </c>
      <c r="CO146" t="s">
        <v>203</v>
      </c>
      <c r="CP146" t="s">
        <v>204</v>
      </c>
      <c r="CQ146" t="s">
        <v>205</v>
      </c>
      <c r="CR146" t="s">
        <v>206</v>
      </c>
    </row>
    <row r="147" spans="1:96">
      <c r="A147">
        <v>1</v>
      </c>
      <c r="B147" s="3">
        <v>0.81165509259259261</v>
      </c>
      <c r="C147" s="1">
        <v>45133</v>
      </c>
      <c r="D147" t="s">
        <v>196</v>
      </c>
      <c r="E147" t="s">
        <v>197</v>
      </c>
      <c r="G147">
        <v>1</v>
      </c>
      <c r="J147">
        <v>8.1604999999999997E-2</v>
      </c>
      <c r="K147">
        <v>2.9177520000000001</v>
      </c>
      <c r="L147">
        <v>7.9384999999999997E-2</v>
      </c>
      <c r="M147">
        <v>2.7806980000000001</v>
      </c>
      <c r="N147">
        <v>2.240081</v>
      </c>
      <c r="O147">
        <v>2.16709</v>
      </c>
      <c r="P147">
        <v>5.4352530000000003</v>
      </c>
      <c r="Q147">
        <v>3.1951719999999999</v>
      </c>
      <c r="R147">
        <v>22.798279000000001</v>
      </c>
      <c r="S147">
        <v>23.566154000000001</v>
      </c>
      <c r="T147">
        <v>57.180079999999997</v>
      </c>
      <c r="U147">
        <v>0.44178600000000001</v>
      </c>
      <c r="V147" t="s">
        <v>408</v>
      </c>
      <c r="W147">
        <v>0</v>
      </c>
      <c r="X147">
        <v>0</v>
      </c>
      <c r="Y147">
        <v>0</v>
      </c>
      <c r="Z147">
        <v>99.822875999999994</v>
      </c>
      <c r="AA147">
        <v>173.98487900000001</v>
      </c>
      <c r="AB147">
        <v>0.426255</v>
      </c>
      <c r="AC147">
        <v>0.5</v>
      </c>
      <c r="AD147">
        <v>0.8</v>
      </c>
      <c r="AE147">
        <v>198.12321499999999</v>
      </c>
      <c r="AF147">
        <v>42.29</v>
      </c>
      <c r="AG147">
        <v>40.909999999999997</v>
      </c>
      <c r="AH147">
        <v>33.840000000000003</v>
      </c>
      <c r="AI147">
        <v>34.31</v>
      </c>
      <c r="AJ147">
        <v>95.06</v>
      </c>
      <c r="AK147">
        <v>156.19999999999999</v>
      </c>
      <c r="AL147">
        <v>147.19999999999999</v>
      </c>
      <c r="AM147">
        <v>5.8</v>
      </c>
      <c r="AN147">
        <v>1162</v>
      </c>
      <c r="AO147">
        <v>3.9950000000000001</v>
      </c>
      <c r="AP147" s="3">
        <v>0.81156249999999996</v>
      </c>
      <c r="AQ147" s="1">
        <v>45133</v>
      </c>
      <c r="AR147">
        <v>-0.02</v>
      </c>
      <c r="AS147">
        <v>1E-3</v>
      </c>
      <c r="AT147">
        <v>2E-3</v>
      </c>
      <c r="AU147">
        <v>-9999</v>
      </c>
      <c r="AV147">
        <v>-1.357</v>
      </c>
      <c r="AW147">
        <v>1.577</v>
      </c>
      <c r="AX147">
        <v>-9999</v>
      </c>
      <c r="AY147">
        <v>1</v>
      </c>
      <c r="AZ147">
        <v>150</v>
      </c>
      <c r="BA147">
        <v>5.0000000000000001E-3</v>
      </c>
      <c r="BB147">
        <v>2</v>
      </c>
      <c r="BC147">
        <v>0</v>
      </c>
      <c r="BD147" t="s">
        <v>200</v>
      </c>
      <c r="BE147">
        <v>7000</v>
      </c>
      <c r="BF147">
        <v>500</v>
      </c>
      <c r="BG147">
        <v>5</v>
      </c>
      <c r="BH147">
        <v>2</v>
      </c>
      <c r="BI147">
        <v>300</v>
      </c>
      <c r="BJ147">
        <v>300</v>
      </c>
      <c r="BK147">
        <v>300</v>
      </c>
      <c r="BL147">
        <v>168.42770400000001</v>
      </c>
      <c r="BM147">
        <v>25</v>
      </c>
      <c r="BN147">
        <v>-3.7552289999999999</v>
      </c>
      <c r="BO147">
        <v>170.51052899999999</v>
      </c>
      <c r="BP147">
        <v>168.598724</v>
      </c>
      <c r="BQ147">
        <v>1.9118040000000001</v>
      </c>
      <c r="BR147">
        <v>2.4086539999999999</v>
      </c>
      <c r="BS147">
        <v>2.4773329999999998</v>
      </c>
      <c r="BT147">
        <v>1.5869150000000001</v>
      </c>
      <c r="BU147">
        <v>0.96992100000000003</v>
      </c>
      <c r="BV147">
        <v>0.192356</v>
      </c>
      <c r="BW147">
        <v>5.7359999999999998E-3</v>
      </c>
      <c r="BX147">
        <v>0.131911</v>
      </c>
      <c r="BY147">
        <v>1.137818</v>
      </c>
      <c r="BZ147">
        <v>99.822875999999994</v>
      </c>
      <c r="CA147">
        <v>3.5399999999999999E-4</v>
      </c>
      <c r="CB147">
        <v>2.3486280000000002</v>
      </c>
      <c r="CC147">
        <v>-5.1E-5</v>
      </c>
      <c r="CD147">
        <v>1</v>
      </c>
      <c r="CE147">
        <v>2.4109430000000001</v>
      </c>
      <c r="CF147">
        <v>-5.7000000000000003E-5</v>
      </c>
      <c r="CG147">
        <v>1</v>
      </c>
      <c r="CH147">
        <v>0.60051900000000002</v>
      </c>
      <c r="CI147">
        <v>0.60216099999999995</v>
      </c>
      <c r="CJ147">
        <v>0.107265</v>
      </c>
      <c r="CK147">
        <v>0</v>
      </c>
      <c r="CL147" t="s">
        <v>408</v>
      </c>
      <c r="CM147" t="s">
        <v>201</v>
      </c>
      <c r="CN147" t="s">
        <v>202</v>
      </c>
      <c r="CO147" t="s">
        <v>203</v>
      </c>
      <c r="CP147" t="s">
        <v>204</v>
      </c>
      <c r="CQ147" t="s">
        <v>205</v>
      </c>
      <c r="CR147" t="s">
        <v>206</v>
      </c>
    </row>
    <row r="148" spans="1:96">
      <c r="A148">
        <v>2</v>
      </c>
      <c r="B148" s="3">
        <v>0.81175925925925929</v>
      </c>
      <c r="C148" s="1">
        <v>45133</v>
      </c>
      <c r="D148" t="s">
        <v>196</v>
      </c>
      <c r="E148" t="s">
        <v>197</v>
      </c>
      <c r="G148">
        <v>2</v>
      </c>
      <c r="J148">
        <v>5.6099999999999997E-2</v>
      </c>
      <c r="K148">
        <v>2.9197709999999999</v>
      </c>
      <c r="L148">
        <v>5.5042000000000001E-2</v>
      </c>
      <c r="M148">
        <v>1.928113</v>
      </c>
      <c r="N148">
        <v>2.2229320000000001</v>
      </c>
      <c r="O148">
        <v>2.1723880000000002</v>
      </c>
      <c r="P148">
        <v>5.4191269999999996</v>
      </c>
      <c r="Q148">
        <v>3.1961949999999999</v>
      </c>
      <c r="R148">
        <v>22.852087000000001</v>
      </c>
      <c r="S148">
        <v>23.383778</v>
      </c>
      <c r="T148">
        <v>57.005642000000002</v>
      </c>
      <c r="U148">
        <v>0.44178600000000001</v>
      </c>
      <c r="V148" t="s">
        <v>409</v>
      </c>
      <c r="W148">
        <v>0</v>
      </c>
      <c r="X148">
        <v>0</v>
      </c>
      <c r="Y148">
        <v>0</v>
      </c>
      <c r="Z148">
        <v>88.819739999999996</v>
      </c>
      <c r="AA148">
        <v>177.576584</v>
      </c>
      <c r="AB148">
        <v>0.49982300000000002</v>
      </c>
      <c r="AC148">
        <v>0.5</v>
      </c>
      <c r="AD148">
        <v>0.8</v>
      </c>
      <c r="AE148">
        <v>208.617065</v>
      </c>
      <c r="AF148">
        <v>41.95</v>
      </c>
      <c r="AG148">
        <v>41</v>
      </c>
      <c r="AH148">
        <v>33.85</v>
      </c>
      <c r="AI148">
        <v>34.25</v>
      </c>
      <c r="AJ148">
        <v>95.06</v>
      </c>
      <c r="AK148">
        <v>156.5</v>
      </c>
      <c r="AL148">
        <v>147.1</v>
      </c>
      <c r="AM148">
        <v>6</v>
      </c>
      <c r="AN148">
        <v>1043</v>
      </c>
      <c r="AO148">
        <v>3.9950000000000001</v>
      </c>
      <c r="AP148" s="3">
        <v>0.81156249999999996</v>
      </c>
      <c r="AQ148" s="1">
        <v>45133</v>
      </c>
      <c r="AR148">
        <v>-0.02</v>
      </c>
      <c r="AS148">
        <v>1E-3</v>
      </c>
      <c r="AT148">
        <v>2E-3</v>
      </c>
      <c r="AU148">
        <v>-9999</v>
      </c>
      <c r="AV148">
        <v>0.47599999999999998</v>
      </c>
      <c r="AW148">
        <v>0.96799999999999997</v>
      </c>
      <c r="AX148">
        <v>-9999</v>
      </c>
      <c r="AY148">
        <v>1</v>
      </c>
      <c r="AZ148">
        <v>150</v>
      </c>
      <c r="BA148">
        <v>5.0000000000000001E-3</v>
      </c>
      <c r="BB148">
        <v>2</v>
      </c>
      <c r="BC148">
        <v>0</v>
      </c>
      <c r="BD148" t="s">
        <v>200</v>
      </c>
      <c r="BE148">
        <v>7000</v>
      </c>
      <c r="BF148">
        <v>500</v>
      </c>
      <c r="BG148">
        <v>5</v>
      </c>
      <c r="BH148">
        <v>2</v>
      </c>
      <c r="BI148">
        <v>300</v>
      </c>
      <c r="BJ148">
        <v>300</v>
      </c>
      <c r="BK148">
        <v>300</v>
      </c>
      <c r="BL148">
        <v>168.337219</v>
      </c>
      <c r="BM148">
        <v>25</v>
      </c>
      <c r="BN148">
        <v>-6.3555599999999997</v>
      </c>
      <c r="BO148">
        <v>169.29066499999999</v>
      </c>
      <c r="BP148">
        <v>168.46075400000001</v>
      </c>
      <c r="BQ148">
        <v>0.82991000000000004</v>
      </c>
      <c r="BR148">
        <v>2.408757</v>
      </c>
      <c r="BS148">
        <v>2.476861</v>
      </c>
      <c r="BT148">
        <v>1.588867</v>
      </c>
      <c r="BU148">
        <v>0.96965900000000005</v>
      </c>
      <c r="BV148">
        <v>0.19229599999999999</v>
      </c>
      <c r="BW148">
        <v>4.9350000000000002E-3</v>
      </c>
      <c r="BX148">
        <v>0.133355</v>
      </c>
      <c r="BY148">
        <v>1.0326839999999999</v>
      </c>
      <c r="BZ148">
        <v>88.819739999999996</v>
      </c>
      <c r="CA148">
        <v>3.6000000000000002E-4</v>
      </c>
      <c r="CB148">
        <v>2.3486280000000002</v>
      </c>
      <c r="CC148">
        <v>-5.1E-5</v>
      </c>
      <c r="CD148">
        <v>1</v>
      </c>
      <c r="CE148">
        <v>2.4109430000000001</v>
      </c>
      <c r="CF148">
        <v>-5.7000000000000003E-5</v>
      </c>
      <c r="CG148">
        <v>1</v>
      </c>
      <c r="CH148">
        <v>0.60051900000000002</v>
      </c>
      <c r="CI148">
        <v>0.60216099999999995</v>
      </c>
      <c r="CJ148">
        <v>0.107265</v>
      </c>
      <c r="CK148">
        <v>0</v>
      </c>
      <c r="CL148" t="s">
        <v>409</v>
      </c>
      <c r="CM148" t="s">
        <v>201</v>
      </c>
      <c r="CN148" t="s">
        <v>202</v>
      </c>
      <c r="CO148" t="s">
        <v>203</v>
      </c>
      <c r="CP148" t="s">
        <v>204</v>
      </c>
      <c r="CQ148" t="s">
        <v>205</v>
      </c>
      <c r="CR148" t="s">
        <v>206</v>
      </c>
    </row>
    <row r="149" spans="1:96">
      <c r="A149">
        <v>3</v>
      </c>
      <c r="B149" s="3">
        <v>0.8119791666666667</v>
      </c>
      <c r="C149" s="1">
        <v>45133</v>
      </c>
      <c r="D149" t="s">
        <v>196</v>
      </c>
      <c r="E149" t="s">
        <v>197</v>
      </c>
      <c r="G149">
        <v>3</v>
      </c>
      <c r="J149">
        <v>6.3492000000000007E-2</v>
      </c>
      <c r="K149">
        <v>2.9188749999999999</v>
      </c>
      <c r="L149">
        <v>6.2140000000000001E-2</v>
      </c>
      <c r="M149">
        <v>2.277161</v>
      </c>
      <c r="N149">
        <v>2.2570619999999999</v>
      </c>
      <c r="O149">
        <v>2.1973449999999999</v>
      </c>
      <c r="P149">
        <v>5.5969369999999996</v>
      </c>
      <c r="Q149">
        <v>3.3398750000000001</v>
      </c>
      <c r="R149">
        <v>23.113707999999999</v>
      </c>
      <c r="S149">
        <v>23.741865000000001</v>
      </c>
      <c r="T149">
        <v>58.873759999999997</v>
      </c>
      <c r="U149">
        <v>0.44178600000000001</v>
      </c>
      <c r="V149" t="s">
        <v>410</v>
      </c>
      <c r="W149">
        <v>0</v>
      </c>
      <c r="X149">
        <v>0</v>
      </c>
      <c r="Y149">
        <v>0</v>
      </c>
      <c r="Z149">
        <v>141.27766399999999</v>
      </c>
      <c r="AA149">
        <v>236.28358499999999</v>
      </c>
      <c r="AB149">
        <v>0.402084</v>
      </c>
      <c r="AC149">
        <v>0.5</v>
      </c>
      <c r="AD149">
        <v>0.8</v>
      </c>
      <c r="AE149">
        <v>191.37657200000001</v>
      </c>
      <c r="AF149">
        <v>42.58</v>
      </c>
      <c r="AG149">
        <v>41.45</v>
      </c>
      <c r="AH149">
        <v>33.86</v>
      </c>
      <c r="AI149">
        <v>34.83</v>
      </c>
      <c r="AJ149">
        <v>95.07</v>
      </c>
      <c r="AK149">
        <v>156.4</v>
      </c>
      <c r="AL149">
        <v>147</v>
      </c>
      <c r="AM149">
        <v>6</v>
      </c>
      <c r="AN149">
        <v>1190</v>
      </c>
      <c r="AO149">
        <v>3.9550000000000001</v>
      </c>
      <c r="AP149" s="3">
        <v>0.81156249999999996</v>
      </c>
      <c r="AQ149" s="1">
        <v>45133</v>
      </c>
      <c r="AR149">
        <v>-0.02</v>
      </c>
      <c r="AS149">
        <v>2E-3</v>
      </c>
      <c r="AT149">
        <v>4.0000000000000001E-3</v>
      </c>
      <c r="AU149">
        <v>-9999</v>
      </c>
      <c r="AV149">
        <v>-2.681</v>
      </c>
      <c r="AW149">
        <v>-4.9119999999999999</v>
      </c>
      <c r="AX149">
        <v>-9999</v>
      </c>
      <c r="AY149">
        <v>1</v>
      </c>
      <c r="AZ149">
        <v>150</v>
      </c>
      <c r="BA149">
        <v>5.0000000000000001E-3</v>
      </c>
      <c r="BB149">
        <v>2</v>
      </c>
      <c r="BC149">
        <v>0</v>
      </c>
      <c r="BD149" t="s">
        <v>200</v>
      </c>
      <c r="BE149">
        <v>7000</v>
      </c>
      <c r="BF149">
        <v>500</v>
      </c>
      <c r="BG149">
        <v>5</v>
      </c>
      <c r="BH149">
        <v>2</v>
      </c>
      <c r="BI149">
        <v>300</v>
      </c>
      <c r="BJ149">
        <v>300</v>
      </c>
      <c r="BK149">
        <v>300</v>
      </c>
      <c r="BL149">
        <v>225.89314300000001</v>
      </c>
      <c r="BM149">
        <v>25</v>
      </c>
      <c r="BN149">
        <v>-7.1411809999999996</v>
      </c>
      <c r="BO149">
        <v>226.151703</v>
      </c>
      <c r="BP149">
        <v>226.04093900000001</v>
      </c>
      <c r="BQ149">
        <v>0.110764</v>
      </c>
      <c r="BR149">
        <v>2.409341</v>
      </c>
      <c r="BS149">
        <v>2.4777239999999998</v>
      </c>
      <c r="BT149">
        <v>1.5879989999999999</v>
      </c>
      <c r="BU149">
        <v>0.96936800000000001</v>
      </c>
      <c r="BV149">
        <v>0.19225100000000001</v>
      </c>
      <c r="BW149">
        <v>1.2460000000000001E-2</v>
      </c>
      <c r="BX149">
        <v>0.136125</v>
      </c>
      <c r="BY149">
        <v>1.162566</v>
      </c>
      <c r="BZ149">
        <v>141.27766399999999</v>
      </c>
      <c r="CA149">
        <v>3.4600000000000001E-4</v>
      </c>
      <c r="CB149">
        <v>2.3486280000000002</v>
      </c>
      <c r="CC149">
        <v>-5.1E-5</v>
      </c>
      <c r="CD149">
        <v>1</v>
      </c>
      <c r="CE149">
        <v>2.4109430000000001</v>
      </c>
      <c r="CF149">
        <v>-5.7000000000000003E-5</v>
      </c>
      <c r="CG149">
        <v>1</v>
      </c>
      <c r="CH149">
        <v>0.60051900000000002</v>
      </c>
      <c r="CI149">
        <v>0.60216099999999995</v>
      </c>
      <c r="CJ149">
        <v>0.107265</v>
      </c>
      <c r="CK149">
        <v>0</v>
      </c>
      <c r="CL149" t="s">
        <v>410</v>
      </c>
      <c r="CM149" t="s">
        <v>201</v>
      </c>
      <c r="CN149" t="s">
        <v>202</v>
      </c>
      <c r="CO149" t="s">
        <v>203</v>
      </c>
      <c r="CP149" t="s">
        <v>204</v>
      </c>
      <c r="CQ149" t="s">
        <v>205</v>
      </c>
      <c r="CR149" t="s">
        <v>206</v>
      </c>
    </row>
    <row r="150" spans="1:96">
      <c r="A150">
        <v>4</v>
      </c>
      <c r="B150" s="3">
        <v>0.81214120370370368</v>
      </c>
      <c r="C150" s="1">
        <v>45133</v>
      </c>
      <c r="D150" t="s">
        <v>196</v>
      </c>
      <c r="E150" t="s">
        <v>197</v>
      </c>
      <c r="G150">
        <v>4</v>
      </c>
      <c r="J150">
        <v>0.12207899999999999</v>
      </c>
      <c r="K150">
        <v>2.9197120000000001</v>
      </c>
      <c r="L150">
        <v>0.11717900000000001</v>
      </c>
      <c r="M150">
        <v>4.1590689999999997</v>
      </c>
      <c r="N150">
        <v>2.2777829999999999</v>
      </c>
      <c r="O150">
        <v>2.1688139999999998</v>
      </c>
      <c r="P150">
        <v>5.5136520000000004</v>
      </c>
      <c r="Q150">
        <v>3.2358690000000001</v>
      </c>
      <c r="R150">
        <v>22.814191999999998</v>
      </c>
      <c r="S150">
        <v>23.960460999999999</v>
      </c>
      <c r="T150">
        <v>57.999214000000002</v>
      </c>
      <c r="U150">
        <v>0.44178600000000001</v>
      </c>
      <c r="V150" t="s">
        <v>411</v>
      </c>
      <c r="W150">
        <v>0</v>
      </c>
      <c r="X150">
        <v>0</v>
      </c>
      <c r="Y150">
        <v>0</v>
      </c>
      <c r="Z150">
        <v>104.40194700000001</v>
      </c>
      <c r="AA150">
        <v>224.80886799999999</v>
      </c>
      <c r="AB150">
        <v>0.53559699999999999</v>
      </c>
      <c r="AC150">
        <v>0.5</v>
      </c>
      <c r="AD150">
        <v>0.8</v>
      </c>
      <c r="AE150">
        <v>224.79098500000001</v>
      </c>
      <c r="AF150">
        <v>42.99</v>
      </c>
      <c r="AG150">
        <v>40.94</v>
      </c>
      <c r="AH150">
        <v>33.85</v>
      </c>
      <c r="AI150">
        <v>34.56</v>
      </c>
      <c r="AJ150">
        <v>95.06</v>
      </c>
      <c r="AK150">
        <v>156.5</v>
      </c>
      <c r="AL150">
        <v>147.30000000000001</v>
      </c>
      <c r="AM150">
        <v>5.9</v>
      </c>
      <c r="AN150">
        <v>1049</v>
      </c>
      <c r="AO150">
        <v>3.9940000000000002</v>
      </c>
      <c r="AP150" s="3">
        <v>0.81156249999999996</v>
      </c>
      <c r="AQ150" s="1">
        <v>45133</v>
      </c>
      <c r="AR150">
        <v>-0.02</v>
      </c>
      <c r="AS150">
        <v>2E-3</v>
      </c>
      <c r="AT150">
        <v>4.0000000000000001E-3</v>
      </c>
      <c r="AU150">
        <v>-9999</v>
      </c>
      <c r="AV150">
        <v>-3.6259999999999999</v>
      </c>
      <c r="AW150">
        <v>-2.6269999999999998</v>
      </c>
      <c r="AX150">
        <v>-9999</v>
      </c>
      <c r="AY150">
        <v>1</v>
      </c>
      <c r="AZ150">
        <v>150</v>
      </c>
      <c r="BA150">
        <v>5.0000000000000001E-3</v>
      </c>
      <c r="BB150">
        <v>2</v>
      </c>
      <c r="BC150">
        <v>0</v>
      </c>
      <c r="BD150" t="s">
        <v>200</v>
      </c>
      <c r="BE150">
        <v>7000</v>
      </c>
      <c r="BF150">
        <v>500</v>
      </c>
      <c r="BG150">
        <v>5</v>
      </c>
      <c r="BH150">
        <v>2</v>
      </c>
      <c r="BI150">
        <v>300</v>
      </c>
      <c r="BJ150">
        <v>300</v>
      </c>
      <c r="BK150">
        <v>300</v>
      </c>
      <c r="BL150">
        <v>207.34262100000001</v>
      </c>
      <c r="BM150">
        <v>25</v>
      </c>
      <c r="BN150">
        <v>-12.168063999999999</v>
      </c>
      <c r="BO150">
        <v>205.34884600000001</v>
      </c>
      <c r="BP150">
        <v>207.35612499999999</v>
      </c>
      <c r="BQ150">
        <v>-2.0072779999999999</v>
      </c>
      <c r="BR150">
        <v>2.4086799999999999</v>
      </c>
      <c r="BS150">
        <v>2.4782899999999999</v>
      </c>
      <c r="BT150">
        <v>1.5888089999999999</v>
      </c>
      <c r="BU150">
        <v>0.97010300000000005</v>
      </c>
      <c r="BV150">
        <v>0.19231799999999999</v>
      </c>
      <c r="BW150">
        <v>9.0349999999999996E-3</v>
      </c>
      <c r="BX150">
        <v>0.13797599999999999</v>
      </c>
      <c r="BY150">
        <v>1.037828</v>
      </c>
      <c r="BZ150">
        <v>104.40194700000001</v>
      </c>
      <c r="CA150">
        <v>3.4200000000000002E-4</v>
      </c>
      <c r="CB150">
        <v>2.3486280000000002</v>
      </c>
      <c r="CC150">
        <v>-5.1E-5</v>
      </c>
      <c r="CD150">
        <v>1</v>
      </c>
      <c r="CE150">
        <v>2.4109430000000001</v>
      </c>
      <c r="CF150">
        <v>-5.7000000000000003E-5</v>
      </c>
      <c r="CG150">
        <v>1</v>
      </c>
      <c r="CH150">
        <v>0.60051900000000002</v>
      </c>
      <c r="CI150">
        <v>0.60216099999999995</v>
      </c>
      <c r="CJ150">
        <v>0.107265</v>
      </c>
      <c r="CK150">
        <v>0</v>
      </c>
      <c r="CL150" t="s">
        <v>411</v>
      </c>
      <c r="CM150" t="s">
        <v>201</v>
      </c>
      <c r="CN150" t="s">
        <v>202</v>
      </c>
      <c r="CO150" t="s">
        <v>203</v>
      </c>
      <c r="CP150" t="s">
        <v>204</v>
      </c>
      <c r="CQ150" t="s">
        <v>205</v>
      </c>
      <c r="CR150" t="s">
        <v>206</v>
      </c>
    </row>
    <row r="151" spans="1:96">
      <c r="A151">
        <v>1</v>
      </c>
      <c r="B151" s="3">
        <v>0.81612268518518516</v>
      </c>
      <c r="C151" s="1">
        <v>45133</v>
      </c>
      <c r="D151" t="s">
        <v>196</v>
      </c>
      <c r="E151" t="s">
        <v>197</v>
      </c>
      <c r="G151">
        <v>1</v>
      </c>
      <c r="J151">
        <v>0.10777100000000001</v>
      </c>
      <c r="K151">
        <v>2.9178999999999999</v>
      </c>
      <c r="L151">
        <v>0.103932</v>
      </c>
      <c r="M151">
        <v>3.8694549999999999</v>
      </c>
      <c r="N151">
        <v>2.2796620000000001</v>
      </c>
      <c r="O151">
        <v>2.1781489999999999</v>
      </c>
      <c r="P151">
        <v>5.6705870000000003</v>
      </c>
      <c r="Q151">
        <v>3.3909250000000002</v>
      </c>
      <c r="R151">
        <v>22.914797</v>
      </c>
      <c r="S151">
        <v>23.982745999999999</v>
      </c>
      <c r="T151">
        <v>59.656322000000003</v>
      </c>
      <c r="U151">
        <v>0.44178600000000001</v>
      </c>
      <c r="V151" t="s">
        <v>412</v>
      </c>
      <c r="W151">
        <v>0</v>
      </c>
      <c r="X151">
        <v>0</v>
      </c>
      <c r="Y151">
        <v>0</v>
      </c>
      <c r="Z151">
        <v>83.501098999999996</v>
      </c>
      <c r="AA151">
        <v>125.187752</v>
      </c>
      <c r="AB151">
        <v>0.33299299999999998</v>
      </c>
      <c r="AC151">
        <v>0.5</v>
      </c>
      <c r="AD151">
        <v>0.8</v>
      </c>
      <c r="AE151">
        <v>147.34440599999999</v>
      </c>
      <c r="AF151">
        <v>43.53</v>
      </c>
      <c r="AG151">
        <v>41.59</v>
      </c>
      <c r="AH151">
        <v>33.64</v>
      </c>
      <c r="AI151">
        <v>35.07</v>
      </c>
      <c r="AJ151">
        <v>95.05</v>
      </c>
      <c r="AK151">
        <v>156.19999999999999</v>
      </c>
      <c r="AL151">
        <v>136.1</v>
      </c>
      <c r="AM151">
        <v>12.9</v>
      </c>
      <c r="AN151">
        <v>1106</v>
      </c>
      <c r="AO151">
        <v>3.992</v>
      </c>
      <c r="AP151" s="3">
        <v>0.8156944444444445</v>
      </c>
      <c r="AQ151" s="1">
        <v>45133</v>
      </c>
      <c r="AR151">
        <v>-0.06</v>
      </c>
      <c r="AS151">
        <v>1E-3</v>
      </c>
      <c r="AT151">
        <v>1E-3</v>
      </c>
      <c r="AU151">
        <v>3.0000000000000001E-3</v>
      </c>
      <c r="AV151">
        <v>-1.0900000000000001</v>
      </c>
      <c r="AW151">
        <v>-3.5659999999999998</v>
      </c>
      <c r="AX151">
        <v>-13.161</v>
      </c>
      <c r="AY151">
        <v>1</v>
      </c>
      <c r="AZ151">
        <v>150</v>
      </c>
      <c r="BA151">
        <v>5.0000000000000001E-3</v>
      </c>
      <c r="BB151">
        <v>2</v>
      </c>
      <c r="BC151">
        <v>0</v>
      </c>
      <c r="BD151" t="s">
        <v>200</v>
      </c>
      <c r="BE151">
        <v>7000</v>
      </c>
      <c r="BF151">
        <v>500</v>
      </c>
      <c r="BG151">
        <v>5</v>
      </c>
      <c r="BH151">
        <v>2</v>
      </c>
      <c r="BI151">
        <v>300</v>
      </c>
      <c r="BJ151">
        <v>300</v>
      </c>
      <c r="BK151">
        <v>300</v>
      </c>
      <c r="BL151">
        <v>118.89445499999999</v>
      </c>
      <c r="BM151">
        <v>25</v>
      </c>
      <c r="BN151">
        <v>-4.3263429999999996</v>
      </c>
      <c r="BO151">
        <v>118.55220799999999</v>
      </c>
      <c r="BP151">
        <v>118.982445</v>
      </c>
      <c r="BQ151">
        <v>-0.43023699999999998</v>
      </c>
      <c r="BR151">
        <v>2.4095650000000002</v>
      </c>
      <c r="BS151">
        <v>2.4791249999999998</v>
      </c>
      <c r="BT151">
        <v>1.5870580000000001</v>
      </c>
      <c r="BU151">
        <v>0.93586499999999995</v>
      </c>
      <c r="BV151">
        <v>0.19389300000000001</v>
      </c>
      <c r="BW151">
        <v>1.8398000000000001E-2</v>
      </c>
      <c r="BX151">
        <v>0.175679</v>
      </c>
      <c r="BY151">
        <v>1.0883419999999999</v>
      </c>
      <c r="BZ151">
        <v>83.501098999999996</v>
      </c>
      <c r="CA151">
        <v>3.48E-4</v>
      </c>
      <c r="CB151">
        <v>2.3486280000000002</v>
      </c>
      <c r="CC151">
        <v>-5.1E-5</v>
      </c>
      <c r="CD151">
        <v>1</v>
      </c>
      <c r="CE151">
        <v>2.4109430000000001</v>
      </c>
      <c r="CF151">
        <v>-5.7000000000000003E-5</v>
      </c>
      <c r="CG151">
        <v>1</v>
      </c>
      <c r="CH151">
        <v>0.60051900000000002</v>
      </c>
      <c r="CI151">
        <v>0.60216099999999995</v>
      </c>
      <c r="CJ151">
        <v>0.107265</v>
      </c>
      <c r="CK151">
        <v>0</v>
      </c>
      <c r="CL151" t="s">
        <v>412</v>
      </c>
      <c r="CM151" t="s">
        <v>201</v>
      </c>
      <c r="CN151" t="s">
        <v>202</v>
      </c>
      <c r="CO151" t="s">
        <v>203</v>
      </c>
      <c r="CP151" t="s">
        <v>204</v>
      </c>
      <c r="CQ151" t="s">
        <v>205</v>
      </c>
      <c r="CR151" t="s">
        <v>206</v>
      </c>
    </row>
    <row r="152" spans="1:96">
      <c r="A152">
        <v>2</v>
      </c>
      <c r="B152" s="3">
        <v>0.8162152777777778</v>
      </c>
      <c r="C152" s="1">
        <v>45133</v>
      </c>
      <c r="D152" t="s">
        <v>196</v>
      </c>
      <c r="E152" t="s">
        <v>197</v>
      </c>
      <c r="G152">
        <v>2</v>
      </c>
      <c r="J152">
        <v>0.116048</v>
      </c>
      <c r="K152">
        <v>2.9189579999999999</v>
      </c>
      <c r="L152">
        <v>0.111611</v>
      </c>
      <c r="M152">
        <v>3.8310780000000002</v>
      </c>
      <c r="N152">
        <v>2.3028219999999999</v>
      </c>
      <c r="O152">
        <v>2.2024210000000002</v>
      </c>
      <c r="P152">
        <v>5.4329369999999999</v>
      </c>
      <c r="Q152">
        <v>3.130115</v>
      </c>
      <c r="R152">
        <v>23.169291999999999</v>
      </c>
      <c r="S152">
        <v>24.225505999999999</v>
      </c>
      <c r="T152">
        <v>57.154071999999999</v>
      </c>
      <c r="U152">
        <v>0.44178600000000001</v>
      </c>
      <c r="V152" t="s">
        <v>413</v>
      </c>
      <c r="W152">
        <v>0</v>
      </c>
      <c r="X152">
        <v>0</v>
      </c>
      <c r="Y152">
        <v>0</v>
      </c>
      <c r="Z152">
        <v>110.57495900000001</v>
      </c>
      <c r="AA152">
        <v>169.966354</v>
      </c>
      <c r="AB152">
        <v>0.34943000000000002</v>
      </c>
      <c r="AC152">
        <v>0.5</v>
      </c>
      <c r="AD152">
        <v>0.8</v>
      </c>
      <c r="AE152">
        <v>88.054412999999997</v>
      </c>
      <c r="AF152">
        <v>43.99</v>
      </c>
      <c r="AG152">
        <v>42.08</v>
      </c>
      <c r="AH152">
        <v>33.630000000000003</v>
      </c>
      <c r="AI152">
        <v>34.299999999999997</v>
      </c>
      <c r="AJ152">
        <v>95.06</v>
      </c>
      <c r="AK152">
        <v>156.4</v>
      </c>
      <c r="AL152">
        <v>147.19999999999999</v>
      </c>
      <c r="AM152">
        <v>5.8</v>
      </c>
      <c r="AN152">
        <v>630</v>
      </c>
      <c r="AO152">
        <v>3.9910000000000001</v>
      </c>
      <c r="AP152" s="3">
        <v>0.8156944444444445</v>
      </c>
      <c r="AQ152" s="1">
        <v>45133</v>
      </c>
      <c r="AR152">
        <v>-0.06</v>
      </c>
      <c r="AS152">
        <v>-1E-3</v>
      </c>
      <c r="AT152">
        <v>2E-3</v>
      </c>
      <c r="AU152">
        <v>-9999</v>
      </c>
      <c r="AV152">
        <v>-1.1439999999999999</v>
      </c>
      <c r="AW152">
        <v>-8.8999999999999996E-2</v>
      </c>
      <c r="AX152">
        <v>-9999</v>
      </c>
      <c r="AY152">
        <v>1</v>
      </c>
      <c r="AZ152">
        <v>150</v>
      </c>
      <c r="BA152">
        <v>5.0000000000000001E-3</v>
      </c>
      <c r="BB152">
        <v>2</v>
      </c>
      <c r="BC152">
        <v>0</v>
      </c>
      <c r="BD152" t="s">
        <v>200</v>
      </c>
      <c r="BE152">
        <v>7000</v>
      </c>
      <c r="BF152">
        <v>500</v>
      </c>
      <c r="BG152">
        <v>5</v>
      </c>
      <c r="BH152">
        <v>2</v>
      </c>
      <c r="BI152">
        <v>300</v>
      </c>
      <c r="BJ152">
        <v>300</v>
      </c>
      <c r="BK152">
        <v>300</v>
      </c>
      <c r="BL152">
        <v>161.69392400000001</v>
      </c>
      <c r="BM152">
        <v>25</v>
      </c>
      <c r="BN152">
        <v>-5.7600090000000002</v>
      </c>
      <c r="BO152">
        <v>161.95034799999999</v>
      </c>
      <c r="BP152">
        <v>161.70472699999999</v>
      </c>
      <c r="BQ152">
        <v>0.24562100000000001</v>
      </c>
      <c r="BR152">
        <v>2.4101819999999998</v>
      </c>
      <c r="BS152">
        <v>2.4797549999999999</v>
      </c>
      <c r="BT152">
        <v>1.588079</v>
      </c>
      <c r="BU152">
        <v>0.97001700000000002</v>
      </c>
      <c r="BV152">
        <v>0.19395100000000001</v>
      </c>
      <c r="BW152">
        <v>8.3859999999999994E-3</v>
      </c>
      <c r="BX152">
        <v>0.17676800000000001</v>
      </c>
      <c r="BY152">
        <v>0.66598599999999997</v>
      </c>
      <c r="BZ152">
        <v>110.57495900000001</v>
      </c>
      <c r="CA152">
        <v>3.4699999999999998E-4</v>
      </c>
      <c r="CB152">
        <v>2.3486280000000002</v>
      </c>
      <c r="CC152">
        <v>-5.1E-5</v>
      </c>
      <c r="CD152">
        <v>1</v>
      </c>
      <c r="CE152">
        <v>2.4109430000000001</v>
      </c>
      <c r="CF152">
        <v>-5.7000000000000003E-5</v>
      </c>
      <c r="CG152">
        <v>1</v>
      </c>
      <c r="CH152">
        <v>0.60051900000000002</v>
      </c>
      <c r="CI152">
        <v>0.60216099999999995</v>
      </c>
      <c r="CJ152">
        <v>0.107265</v>
      </c>
      <c r="CK152">
        <v>0</v>
      </c>
      <c r="CL152" t="s">
        <v>413</v>
      </c>
      <c r="CM152" t="s">
        <v>201</v>
      </c>
      <c r="CN152" t="s">
        <v>202</v>
      </c>
      <c r="CO152" t="s">
        <v>203</v>
      </c>
      <c r="CP152" t="s">
        <v>204</v>
      </c>
      <c r="CQ152" t="s">
        <v>205</v>
      </c>
      <c r="CR152" t="s">
        <v>206</v>
      </c>
    </row>
    <row r="153" spans="1:96">
      <c r="A153">
        <v>3</v>
      </c>
      <c r="B153" s="3">
        <v>0.81638888888888894</v>
      </c>
      <c r="C153" s="1">
        <v>45133</v>
      </c>
      <c r="D153" t="s">
        <v>196</v>
      </c>
      <c r="E153" t="s">
        <v>197</v>
      </c>
      <c r="G153">
        <v>3</v>
      </c>
      <c r="J153">
        <v>0.116442</v>
      </c>
      <c r="K153">
        <v>2.9194279999999999</v>
      </c>
      <c r="L153">
        <v>0.11197600000000001</v>
      </c>
      <c r="M153">
        <v>4.0096360000000004</v>
      </c>
      <c r="N153">
        <v>2.3093650000000001</v>
      </c>
      <c r="O153">
        <v>2.2043240000000002</v>
      </c>
      <c r="P153">
        <v>5.5723050000000001</v>
      </c>
      <c r="Q153">
        <v>3.26294</v>
      </c>
      <c r="R153">
        <v>23.187784000000001</v>
      </c>
      <c r="S153">
        <v>24.292739999999998</v>
      </c>
      <c r="T153">
        <v>58.616348000000002</v>
      </c>
      <c r="U153">
        <v>0.44178600000000001</v>
      </c>
      <c r="V153" t="s">
        <v>414</v>
      </c>
      <c r="W153">
        <v>0</v>
      </c>
      <c r="X153">
        <v>0</v>
      </c>
      <c r="Y153">
        <v>0</v>
      </c>
      <c r="Z153">
        <v>120.179413</v>
      </c>
      <c r="AA153">
        <v>199.531418</v>
      </c>
      <c r="AB153">
        <v>0.39769199999999999</v>
      </c>
      <c r="AC153">
        <v>0.5</v>
      </c>
      <c r="AD153">
        <v>0.8</v>
      </c>
      <c r="AE153">
        <v>197.246185</v>
      </c>
      <c r="AF153">
        <v>44.16</v>
      </c>
      <c r="AG153">
        <v>42.15</v>
      </c>
      <c r="AH153">
        <v>33.619999999999997</v>
      </c>
      <c r="AI153">
        <v>34.76</v>
      </c>
      <c r="AJ153">
        <v>95.06</v>
      </c>
      <c r="AK153">
        <v>156.4</v>
      </c>
      <c r="AL153">
        <v>147.30000000000001</v>
      </c>
      <c r="AM153">
        <v>5.8</v>
      </c>
      <c r="AN153">
        <v>1240</v>
      </c>
      <c r="AO153">
        <v>3.9910000000000001</v>
      </c>
      <c r="AP153" s="3">
        <v>0.8156944444444445</v>
      </c>
      <c r="AQ153" s="1">
        <v>45133</v>
      </c>
      <c r="AR153">
        <v>-0.06</v>
      </c>
      <c r="AS153">
        <v>2E-3</v>
      </c>
      <c r="AT153">
        <v>2E-3</v>
      </c>
      <c r="AU153">
        <v>-9999</v>
      </c>
      <c r="AV153">
        <v>3.0760000000000001</v>
      </c>
      <c r="AW153">
        <v>4.7329999999999997</v>
      </c>
      <c r="AX153">
        <v>-9999</v>
      </c>
      <c r="AY153">
        <v>1</v>
      </c>
      <c r="AZ153">
        <v>150</v>
      </c>
      <c r="BA153">
        <v>5.0000000000000001E-3</v>
      </c>
      <c r="BB153">
        <v>2</v>
      </c>
      <c r="BC153">
        <v>0</v>
      </c>
      <c r="BD153" t="s">
        <v>200</v>
      </c>
      <c r="BE153">
        <v>7000</v>
      </c>
      <c r="BF153">
        <v>500</v>
      </c>
      <c r="BG153">
        <v>5</v>
      </c>
      <c r="BH153">
        <v>2</v>
      </c>
      <c r="BI153">
        <v>300</v>
      </c>
      <c r="BJ153">
        <v>300</v>
      </c>
      <c r="BK153">
        <v>300</v>
      </c>
      <c r="BL153">
        <v>183.385132</v>
      </c>
      <c r="BM153">
        <v>25</v>
      </c>
      <c r="BN153">
        <v>-11.941792</v>
      </c>
      <c r="BO153">
        <v>179.33142100000001</v>
      </c>
      <c r="BP153">
        <v>182.40321399999999</v>
      </c>
      <c r="BQ153">
        <v>-3.071793</v>
      </c>
      <c r="BR153">
        <v>2.4102749999999999</v>
      </c>
      <c r="BS153">
        <v>2.479978</v>
      </c>
      <c r="BT153">
        <v>1.5885339999999999</v>
      </c>
      <c r="BU153">
        <v>0.97020600000000001</v>
      </c>
      <c r="BV153">
        <v>0.19406100000000001</v>
      </c>
      <c r="BW153">
        <v>1.4539E-2</v>
      </c>
      <c r="BX153">
        <v>0.178754</v>
      </c>
      <c r="BY153">
        <v>1.2069460000000001</v>
      </c>
      <c r="BZ153">
        <v>120.179413</v>
      </c>
      <c r="CA153">
        <v>3.39E-4</v>
      </c>
      <c r="CB153">
        <v>2.3486280000000002</v>
      </c>
      <c r="CC153">
        <v>-5.1E-5</v>
      </c>
      <c r="CD153">
        <v>1</v>
      </c>
      <c r="CE153">
        <v>2.4109430000000001</v>
      </c>
      <c r="CF153">
        <v>-5.7000000000000003E-5</v>
      </c>
      <c r="CG153">
        <v>1</v>
      </c>
      <c r="CH153">
        <v>0.60051900000000002</v>
      </c>
      <c r="CI153">
        <v>0.60216099999999995</v>
      </c>
      <c r="CJ153">
        <v>0.107265</v>
      </c>
      <c r="CK153">
        <v>0</v>
      </c>
      <c r="CL153" t="s">
        <v>414</v>
      </c>
      <c r="CM153" t="s">
        <v>201</v>
      </c>
      <c r="CN153" t="s">
        <v>202</v>
      </c>
      <c r="CO153" t="s">
        <v>203</v>
      </c>
      <c r="CP153" t="s">
        <v>204</v>
      </c>
      <c r="CQ153" t="s">
        <v>205</v>
      </c>
      <c r="CR153" t="s">
        <v>206</v>
      </c>
    </row>
    <row r="154" spans="1:96">
      <c r="A154">
        <v>4</v>
      </c>
      <c r="B154" s="3">
        <v>0.81664351851851846</v>
      </c>
      <c r="C154" s="1">
        <v>45133</v>
      </c>
      <c r="D154" t="s">
        <v>196</v>
      </c>
      <c r="E154" t="s">
        <v>197</v>
      </c>
      <c r="G154">
        <v>4</v>
      </c>
      <c r="J154">
        <v>9.6137E-2</v>
      </c>
      <c r="K154">
        <v>2.9202189999999999</v>
      </c>
      <c r="L154">
        <v>9.3073000000000003E-2</v>
      </c>
      <c r="M154">
        <v>3.44807</v>
      </c>
      <c r="N154">
        <v>2.3052480000000002</v>
      </c>
      <c r="O154">
        <v>2.214966</v>
      </c>
      <c r="P154">
        <v>5.6793750000000003</v>
      </c>
      <c r="Q154">
        <v>3.3741270000000001</v>
      </c>
      <c r="R154">
        <v>23.298506</v>
      </c>
      <c r="S154">
        <v>24.248158</v>
      </c>
      <c r="T154">
        <v>59.739510000000003</v>
      </c>
      <c r="U154">
        <v>0.44178600000000001</v>
      </c>
      <c r="V154" t="s">
        <v>415</v>
      </c>
      <c r="W154">
        <v>0</v>
      </c>
      <c r="X154">
        <v>0</v>
      </c>
      <c r="Y154">
        <v>0</v>
      </c>
      <c r="Z154">
        <v>218.15335099999999</v>
      </c>
      <c r="AA154">
        <v>313.42913800000002</v>
      </c>
      <c r="AB154">
        <v>0.303979</v>
      </c>
      <c r="AC154">
        <v>0.5</v>
      </c>
      <c r="AD154">
        <v>0.8</v>
      </c>
      <c r="AE154">
        <v>153.87570199999999</v>
      </c>
      <c r="AF154">
        <v>44.14</v>
      </c>
      <c r="AG154">
        <v>42.41</v>
      </c>
      <c r="AH154">
        <v>33.590000000000003</v>
      </c>
      <c r="AI154">
        <v>35.1</v>
      </c>
      <c r="AJ154">
        <v>95.07</v>
      </c>
      <c r="AK154">
        <v>156.5</v>
      </c>
      <c r="AL154">
        <v>147</v>
      </c>
      <c r="AM154">
        <v>6.1</v>
      </c>
      <c r="AN154">
        <v>1266</v>
      </c>
      <c r="AO154">
        <v>3.952</v>
      </c>
      <c r="AP154" s="3">
        <v>0.8156944444444445</v>
      </c>
      <c r="AQ154" s="1">
        <v>45133</v>
      </c>
      <c r="AR154">
        <v>-0.06</v>
      </c>
      <c r="AS154">
        <v>0</v>
      </c>
      <c r="AT154">
        <v>1E-3</v>
      </c>
      <c r="AU154">
        <v>2E-3</v>
      </c>
      <c r="AV154">
        <v>-2.2029999999999998</v>
      </c>
      <c r="AW154">
        <v>-4.57</v>
      </c>
      <c r="AX154">
        <v>-11.33</v>
      </c>
      <c r="AY154">
        <v>1</v>
      </c>
      <c r="AZ154">
        <v>150</v>
      </c>
      <c r="BA154">
        <v>5.0000000000000001E-3</v>
      </c>
      <c r="BB154">
        <v>2</v>
      </c>
      <c r="BC154">
        <v>0</v>
      </c>
      <c r="BD154" t="s">
        <v>200</v>
      </c>
      <c r="BE154">
        <v>7000</v>
      </c>
      <c r="BF154">
        <v>500</v>
      </c>
      <c r="BG154">
        <v>5</v>
      </c>
      <c r="BH154">
        <v>2</v>
      </c>
      <c r="BI154">
        <v>300</v>
      </c>
      <c r="BJ154">
        <v>300</v>
      </c>
      <c r="BK154">
        <v>300</v>
      </c>
      <c r="BL154">
        <v>307.20339999999999</v>
      </c>
      <c r="BM154">
        <v>25</v>
      </c>
      <c r="BN154">
        <v>-4.226782</v>
      </c>
      <c r="BO154">
        <v>310.30297899999999</v>
      </c>
      <c r="BP154">
        <v>307.36663800000002</v>
      </c>
      <c r="BQ154">
        <v>2.93634</v>
      </c>
      <c r="BR154">
        <v>2.4106160000000001</v>
      </c>
      <c r="BS154">
        <v>2.479962</v>
      </c>
      <c r="BT154">
        <v>1.5892999999999999</v>
      </c>
      <c r="BU154">
        <v>0.96944200000000003</v>
      </c>
      <c r="BV154">
        <v>0.19425300000000001</v>
      </c>
      <c r="BW154">
        <v>1.9384999999999999E-2</v>
      </c>
      <c r="BX154">
        <v>0.18156900000000001</v>
      </c>
      <c r="BY154">
        <v>1.2296240000000001</v>
      </c>
      <c r="BZ154">
        <v>218.15335099999999</v>
      </c>
      <c r="CA154">
        <v>3.5399999999999999E-4</v>
      </c>
      <c r="CB154">
        <v>2.3486280000000002</v>
      </c>
      <c r="CC154">
        <v>-5.1E-5</v>
      </c>
      <c r="CD154">
        <v>1</v>
      </c>
      <c r="CE154">
        <v>2.4109430000000001</v>
      </c>
      <c r="CF154">
        <v>-5.7000000000000003E-5</v>
      </c>
      <c r="CG154">
        <v>1</v>
      </c>
      <c r="CH154">
        <v>0.60051900000000002</v>
      </c>
      <c r="CI154">
        <v>0.60216099999999995</v>
      </c>
      <c r="CJ154">
        <v>0.107265</v>
      </c>
      <c r="CK154">
        <v>0</v>
      </c>
      <c r="CL154" t="s">
        <v>415</v>
      </c>
      <c r="CM154" t="s">
        <v>201</v>
      </c>
      <c r="CN154" t="s">
        <v>202</v>
      </c>
      <c r="CO154" t="s">
        <v>203</v>
      </c>
      <c r="CP154" t="s">
        <v>204</v>
      </c>
      <c r="CQ154" t="s">
        <v>205</v>
      </c>
      <c r="CR154" t="s">
        <v>206</v>
      </c>
    </row>
    <row r="155" spans="1:96">
      <c r="A155">
        <v>1</v>
      </c>
      <c r="B155" s="3">
        <v>0.82155092592592593</v>
      </c>
      <c r="C155" s="1">
        <v>45133</v>
      </c>
      <c r="D155" t="s">
        <v>196</v>
      </c>
      <c r="E155" t="s">
        <v>197</v>
      </c>
      <c r="G155">
        <v>1</v>
      </c>
      <c r="J155">
        <v>0.14742</v>
      </c>
      <c r="K155">
        <v>2.9197920000000002</v>
      </c>
      <c r="L155">
        <v>0.14033399999999999</v>
      </c>
      <c r="M155">
        <v>4.6215159999999997</v>
      </c>
      <c r="N155">
        <v>2.3010649999999999</v>
      </c>
      <c r="O155">
        <v>2.180005</v>
      </c>
      <c r="P155">
        <v>5.3067869999999999</v>
      </c>
      <c r="Q155">
        <v>3.005722</v>
      </c>
      <c r="R155">
        <v>22.929562000000001</v>
      </c>
      <c r="S155">
        <v>24.202887</v>
      </c>
      <c r="T155">
        <v>55.817444000000002</v>
      </c>
      <c r="U155">
        <v>0.44178600000000001</v>
      </c>
      <c r="V155" t="s">
        <v>416</v>
      </c>
      <c r="W155">
        <v>0</v>
      </c>
      <c r="X155">
        <v>0</v>
      </c>
      <c r="Y155">
        <v>0</v>
      </c>
      <c r="Z155">
        <v>121.93143499999999</v>
      </c>
      <c r="AA155">
        <v>229.50878900000001</v>
      </c>
      <c r="AB155">
        <v>0.46872900000000001</v>
      </c>
      <c r="AC155">
        <v>0.5</v>
      </c>
      <c r="AD155">
        <v>0.8</v>
      </c>
      <c r="AE155">
        <v>213.87297100000001</v>
      </c>
      <c r="AF155">
        <v>44.82</v>
      </c>
      <c r="AG155">
        <v>42.46</v>
      </c>
      <c r="AH155">
        <v>33.29</v>
      </c>
      <c r="AI155">
        <v>33.880000000000003</v>
      </c>
      <c r="AJ155">
        <v>95.07</v>
      </c>
      <c r="AK155">
        <v>156.5</v>
      </c>
      <c r="AL155">
        <v>147.4</v>
      </c>
      <c r="AM155">
        <v>5.8</v>
      </c>
      <c r="AN155">
        <v>1141</v>
      </c>
      <c r="AO155">
        <v>3.9910000000000001</v>
      </c>
      <c r="AP155" s="3">
        <v>0.82144675925925925</v>
      </c>
      <c r="AQ155" s="1">
        <v>45133</v>
      </c>
      <c r="AR155">
        <v>0.13</v>
      </c>
      <c r="AS155">
        <v>-2E-3</v>
      </c>
      <c r="AT155">
        <v>0</v>
      </c>
      <c r="AU155">
        <v>1.2999999999999999E-2</v>
      </c>
      <c r="AV155">
        <v>0.64800000000000002</v>
      </c>
      <c r="AW155">
        <v>-0.45800000000000002</v>
      </c>
      <c r="AX155">
        <v>-3.9710000000000001</v>
      </c>
      <c r="AY155">
        <v>1</v>
      </c>
      <c r="AZ155">
        <v>150</v>
      </c>
      <c r="BA155">
        <v>5.0000000000000001E-3</v>
      </c>
      <c r="BB155">
        <v>2</v>
      </c>
      <c r="BC155">
        <v>0</v>
      </c>
      <c r="BD155" t="s">
        <v>200</v>
      </c>
      <c r="BE155">
        <v>7000</v>
      </c>
      <c r="BF155">
        <v>500</v>
      </c>
      <c r="BG155">
        <v>5</v>
      </c>
      <c r="BH155">
        <v>2</v>
      </c>
      <c r="BI155">
        <v>300</v>
      </c>
      <c r="BJ155">
        <v>300</v>
      </c>
      <c r="BK155">
        <v>300</v>
      </c>
      <c r="BL155">
        <v>213.115814</v>
      </c>
      <c r="BM155">
        <v>25</v>
      </c>
      <c r="BN155">
        <v>-11.304606</v>
      </c>
      <c r="BO155">
        <v>212.13412500000001</v>
      </c>
      <c r="BP155">
        <v>213.29451</v>
      </c>
      <c r="BQ155">
        <v>-1.160385</v>
      </c>
      <c r="BR155">
        <v>2.4107440000000002</v>
      </c>
      <c r="BS155">
        <v>2.480699</v>
      </c>
      <c r="BT155">
        <v>1.588886</v>
      </c>
      <c r="BU155">
        <v>0.97040099999999996</v>
      </c>
      <c r="BV155">
        <v>0.19658400000000001</v>
      </c>
      <c r="BW155">
        <v>7.3720000000000001E-3</v>
      </c>
      <c r="BX155">
        <v>0.17582700000000001</v>
      </c>
      <c r="BY155">
        <v>1.1189359999999999</v>
      </c>
      <c r="BZ155">
        <v>121.93143499999999</v>
      </c>
      <c r="CA155">
        <v>3.4900000000000003E-4</v>
      </c>
      <c r="CB155">
        <v>2.3486280000000002</v>
      </c>
      <c r="CC155">
        <v>-5.1E-5</v>
      </c>
      <c r="CD155">
        <v>1</v>
      </c>
      <c r="CE155">
        <v>2.4109430000000001</v>
      </c>
      <c r="CF155">
        <v>-5.7000000000000003E-5</v>
      </c>
      <c r="CG155">
        <v>1</v>
      </c>
      <c r="CH155">
        <v>0.60051900000000002</v>
      </c>
      <c r="CI155">
        <v>0.60216099999999995</v>
      </c>
      <c r="CJ155">
        <v>0.107265</v>
      </c>
      <c r="CK155">
        <v>0</v>
      </c>
      <c r="CL155" t="s">
        <v>416</v>
      </c>
      <c r="CM155" t="s">
        <v>201</v>
      </c>
      <c r="CN155" t="s">
        <v>202</v>
      </c>
      <c r="CO155" t="s">
        <v>203</v>
      </c>
      <c r="CP155" t="s">
        <v>204</v>
      </c>
      <c r="CQ155" t="s">
        <v>205</v>
      </c>
      <c r="CR155" t="s">
        <v>206</v>
      </c>
    </row>
    <row r="156" spans="1:96">
      <c r="A156">
        <v>2</v>
      </c>
      <c r="B156" s="3">
        <v>0.82185185185185183</v>
      </c>
      <c r="C156" s="1">
        <v>45133</v>
      </c>
      <c r="D156" t="s">
        <v>196</v>
      </c>
      <c r="E156" t="s">
        <v>197</v>
      </c>
      <c r="G156">
        <v>2</v>
      </c>
      <c r="J156">
        <v>0.161165</v>
      </c>
      <c r="K156">
        <v>2.9193159999999998</v>
      </c>
      <c r="L156">
        <v>0.15273300000000001</v>
      </c>
      <c r="M156">
        <v>4.4283729999999997</v>
      </c>
      <c r="N156">
        <v>2.3371240000000002</v>
      </c>
      <c r="O156">
        <v>2.2211159999999999</v>
      </c>
      <c r="P156">
        <v>4.9877450000000003</v>
      </c>
      <c r="Q156">
        <v>2.6506210000000001</v>
      </c>
      <c r="R156">
        <v>23.360125</v>
      </c>
      <c r="S156">
        <v>24.580219</v>
      </c>
      <c r="T156">
        <v>52.457580999999998</v>
      </c>
      <c r="U156">
        <v>0.44178600000000001</v>
      </c>
      <c r="V156" t="s">
        <v>417</v>
      </c>
      <c r="W156">
        <v>0</v>
      </c>
      <c r="X156">
        <v>0</v>
      </c>
      <c r="Y156">
        <v>0</v>
      </c>
      <c r="Z156">
        <v>104.071136</v>
      </c>
      <c r="AA156">
        <v>334.75842299999999</v>
      </c>
      <c r="AB156">
        <v>0.68911599999999995</v>
      </c>
      <c r="AC156">
        <v>0.5</v>
      </c>
      <c r="AD156">
        <v>0.8</v>
      </c>
      <c r="AE156">
        <v>93.937790000000007</v>
      </c>
      <c r="AF156">
        <v>45.54</v>
      </c>
      <c r="AG156">
        <v>43.28</v>
      </c>
      <c r="AH156">
        <v>33.28</v>
      </c>
      <c r="AI156">
        <v>32.770000000000003</v>
      </c>
      <c r="AJ156">
        <v>95.08</v>
      </c>
      <c r="AK156">
        <v>156.4</v>
      </c>
      <c r="AL156">
        <v>147.30000000000001</v>
      </c>
      <c r="AM156">
        <v>5.8</v>
      </c>
      <c r="AN156">
        <v>341</v>
      </c>
      <c r="AO156">
        <v>3.99</v>
      </c>
      <c r="AP156" s="3">
        <v>0.82144675925925925</v>
      </c>
      <c r="AQ156" s="1">
        <v>45133</v>
      </c>
      <c r="AR156">
        <v>0.13</v>
      </c>
      <c r="AS156">
        <v>-2E-3</v>
      </c>
      <c r="AT156">
        <v>-3.0000000000000001E-3</v>
      </c>
      <c r="AU156">
        <v>2E-3</v>
      </c>
      <c r="AV156">
        <v>-0.66100000000000003</v>
      </c>
      <c r="AW156">
        <v>-2.5510000000000002</v>
      </c>
      <c r="AX156">
        <v>-17.102</v>
      </c>
      <c r="AY156">
        <v>1</v>
      </c>
      <c r="AZ156">
        <v>150</v>
      </c>
      <c r="BA156">
        <v>5.0000000000000001E-3</v>
      </c>
      <c r="BB156">
        <v>2</v>
      </c>
      <c r="BC156">
        <v>0</v>
      </c>
      <c r="BD156" t="s">
        <v>200</v>
      </c>
      <c r="BE156">
        <v>7000</v>
      </c>
      <c r="BF156">
        <v>500</v>
      </c>
      <c r="BG156">
        <v>5</v>
      </c>
      <c r="BH156">
        <v>2</v>
      </c>
      <c r="BI156">
        <v>300</v>
      </c>
      <c r="BJ156">
        <v>300</v>
      </c>
      <c r="BK156">
        <v>300</v>
      </c>
      <c r="BL156">
        <v>308.75659200000001</v>
      </c>
      <c r="BM156">
        <v>25</v>
      </c>
      <c r="BN156">
        <v>-18.809633000000002</v>
      </c>
      <c r="BO156">
        <v>306.02252199999998</v>
      </c>
      <c r="BP156">
        <v>307.77963299999999</v>
      </c>
      <c r="BQ156">
        <v>-1.7571110000000001</v>
      </c>
      <c r="BR156">
        <v>2.4117820000000001</v>
      </c>
      <c r="BS156">
        <v>2.4816750000000001</v>
      </c>
      <c r="BT156">
        <v>1.5884259999999999</v>
      </c>
      <c r="BU156">
        <v>0.97033400000000003</v>
      </c>
      <c r="BV156">
        <v>0.196626</v>
      </c>
      <c r="BW156">
        <v>-6.8479999999999999E-3</v>
      </c>
      <c r="BX156">
        <v>0.17950199999999999</v>
      </c>
      <c r="BY156">
        <v>0.40950599999999998</v>
      </c>
      <c r="BZ156">
        <v>104.071136</v>
      </c>
      <c r="CA156">
        <v>3.57E-4</v>
      </c>
      <c r="CB156">
        <v>2.3486280000000002</v>
      </c>
      <c r="CC156">
        <v>-5.1E-5</v>
      </c>
      <c r="CD156">
        <v>1</v>
      </c>
      <c r="CE156">
        <v>2.4109430000000001</v>
      </c>
      <c r="CF156">
        <v>-5.7000000000000003E-5</v>
      </c>
      <c r="CG156">
        <v>1</v>
      </c>
      <c r="CH156">
        <v>0.60051900000000002</v>
      </c>
      <c r="CI156">
        <v>0.60216099999999995</v>
      </c>
      <c r="CJ156">
        <v>0.107265</v>
      </c>
      <c r="CK156">
        <v>0</v>
      </c>
      <c r="CL156" t="s">
        <v>417</v>
      </c>
      <c r="CM156" t="s">
        <v>201</v>
      </c>
      <c r="CN156" t="s">
        <v>202</v>
      </c>
      <c r="CO156" t="s">
        <v>203</v>
      </c>
      <c r="CP156" t="s">
        <v>204</v>
      </c>
      <c r="CQ156" t="s">
        <v>205</v>
      </c>
      <c r="CR156" t="s">
        <v>206</v>
      </c>
    </row>
    <row r="157" spans="1:96">
      <c r="A157">
        <v>3</v>
      </c>
      <c r="B157" s="3">
        <v>0.82201388888888882</v>
      </c>
      <c r="C157" s="1">
        <v>45133</v>
      </c>
      <c r="D157" t="s">
        <v>196</v>
      </c>
      <c r="E157" t="s">
        <v>197</v>
      </c>
      <c r="G157">
        <v>3</v>
      </c>
      <c r="J157">
        <v>0.14316899999999999</v>
      </c>
      <c r="K157">
        <v>2.918561</v>
      </c>
      <c r="L157">
        <v>0.13647400000000001</v>
      </c>
      <c r="M157">
        <v>4.3339040000000004</v>
      </c>
      <c r="N157">
        <v>2.3047909999999998</v>
      </c>
      <c r="O157">
        <v>2.1911459999999998</v>
      </c>
      <c r="P157">
        <v>5.2050770000000002</v>
      </c>
      <c r="Q157">
        <v>2.9002859999999999</v>
      </c>
      <c r="R157">
        <v>23.044134</v>
      </c>
      <c r="S157">
        <v>24.239332000000001</v>
      </c>
      <c r="T157">
        <v>54.741455000000002</v>
      </c>
      <c r="U157">
        <v>0.44178600000000001</v>
      </c>
      <c r="V157" t="s">
        <v>418</v>
      </c>
      <c r="W157">
        <v>0</v>
      </c>
      <c r="X157">
        <v>0</v>
      </c>
      <c r="Y157">
        <v>0</v>
      </c>
      <c r="Z157">
        <v>131.71292099999999</v>
      </c>
      <c r="AA157">
        <v>238.88653600000001</v>
      </c>
      <c r="AB157">
        <v>0.44863799999999998</v>
      </c>
      <c r="AC157">
        <v>0.5</v>
      </c>
      <c r="AD157">
        <v>0.8</v>
      </c>
      <c r="AE157">
        <v>212.390411</v>
      </c>
      <c r="AF157">
        <v>44.94</v>
      </c>
      <c r="AG157">
        <v>42.73</v>
      </c>
      <c r="AH157">
        <v>33.270000000000003</v>
      </c>
      <c r="AI157">
        <v>33.53</v>
      </c>
      <c r="AJ157">
        <v>95.08</v>
      </c>
      <c r="AK157">
        <v>156.30000000000001</v>
      </c>
      <c r="AL157">
        <v>147.19999999999999</v>
      </c>
      <c r="AM157">
        <v>5.9</v>
      </c>
      <c r="AN157">
        <v>1184</v>
      </c>
      <c r="AO157">
        <v>3.988</v>
      </c>
      <c r="AP157" s="3">
        <v>0.82144675925925925</v>
      </c>
      <c r="AQ157" s="1">
        <v>45133</v>
      </c>
      <c r="AR157">
        <v>0.13</v>
      </c>
      <c r="AS157">
        <v>2E-3</v>
      </c>
      <c r="AT157">
        <v>-1E-3</v>
      </c>
      <c r="AU157">
        <v>-9999</v>
      </c>
      <c r="AV157">
        <v>-1.8859999999999999</v>
      </c>
      <c r="AW157">
        <v>-1.4870000000000001</v>
      </c>
      <c r="AX157">
        <v>-9999</v>
      </c>
      <c r="AY157">
        <v>1</v>
      </c>
      <c r="AZ157">
        <v>150</v>
      </c>
      <c r="BA157">
        <v>5.0000000000000001E-3</v>
      </c>
      <c r="BB157">
        <v>2</v>
      </c>
      <c r="BC157">
        <v>0</v>
      </c>
      <c r="BD157" t="s">
        <v>200</v>
      </c>
      <c r="BE157">
        <v>7000</v>
      </c>
      <c r="BF157">
        <v>500</v>
      </c>
      <c r="BG157">
        <v>5</v>
      </c>
      <c r="BH157">
        <v>2</v>
      </c>
      <c r="BI157">
        <v>300</v>
      </c>
      <c r="BJ157">
        <v>300</v>
      </c>
      <c r="BK157">
        <v>300</v>
      </c>
      <c r="BL157">
        <v>222.78713999999999</v>
      </c>
      <c r="BM157">
        <v>25</v>
      </c>
      <c r="BN157">
        <v>-11.24849</v>
      </c>
      <c r="BO157">
        <v>221.35162399999999</v>
      </c>
      <c r="BP157">
        <v>222.752747</v>
      </c>
      <c r="BQ157">
        <v>-1.4011229999999999</v>
      </c>
      <c r="BR157">
        <v>2.4110860000000001</v>
      </c>
      <c r="BS157">
        <v>2.480871</v>
      </c>
      <c r="BT157">
        <v>1.5876950000000001</v>
      </c>
      <c r="BU157">
        <v>0.96976799999999996</v>
      </c>
      <c r="BV157">
        <v>0.196738</v>
      </c>
      <c r="BW157">
        <v>3.14E-3</v>
      </c>
      <c r="BX157">
        <v>0.181311</v>
      </c>
      <c r="BY157">
        <v>1.1569130000000001</v>
      </c>
      <c r="BZ157">
        <v>131.71292099999999</v>
      </c>
      <c r="CA157">
        <v>3.4900000000000003E-4</v>
      </c>
      <c r="CB157">
        <v>2.3486280000000002</v>
      </c>
      <c r="CC157">
        <v>-5.1E-5</v>
      </c>
      <c r="CD157">
        <v>1</v>
      </c>
      <c r="CE157">
        <v>2.4109430000000001</v>
      </c>
      <c r="CF157">
        <v>-5.7000000000000003E-5</v>
      </c>
      <c r="CG157">
        <v>1</v>
      </c>
      <c r="CH157">
        <v>0.60051900000000002</v>
      </c>
      <c r="CI157">
        <v>0.60216099999999995</v>
      </c>
      <c r="CJ157">
        <v>0.107265</v>
      </c>
      <c r="CK157">
        <v>0</v>
      </c>
      <c r="CL157" t="s">
        <v>418</v>
      </c>
      <c r="CM157" t="s">
        <v>201</v>
      </c>
      <c r="CN157" t="s">
        <v>202</v>
      </c>
      <c r="CO157" t="s">
        <v>203</v>
      </c>
      <c r="CP157" t="s">
        <v>204</v>
      </c>
      <c r="CQ157" t="s">
        <v>205</v>
      </c>
      <c r="CR157" t="s">
        <v>206</v>
      </c>
    </row>
    <row r="158" spans="1:96">
      <c r="A158">
        <v>4</v>
      </c>
      <c r="B158" s="3">
        <v>0.82215277777777773</v>
      </c>
      <c r="C158" s="1">
        <v>45133</v>
      </c>
      <c r="D158" t="s">
        <v>196</v>
      </c>
      <c r="E158" t="s">
        <v>197</v>
      </c>
      <c r="G158">
        <v>4</v>
      </c>
      <c r="J158">
        <v>0.190639</v>
      </c>
      <c r="K158">
        <v>2.918968</v>
      </c>
      <c r="L158">
        <v>0.178952</v>
      </c>
      <c r="M158">
        <v>5.5960159999999997</v>
      </c>
      <c r="N158">
        <v>2.3204850000000001</v>
      </c>
      <c r="O158">
        <v>2.1738080000000002</v>
      </c>
      <c r="P158">
        <v>5.1768260000000001</v>
      </c>
      <c r="Q158">
        <v>2.856341</v>
      </c>
      <c r="R158">
        <v>22.860537000000001</v>
      </c>
      <c r="S158">
        <v>24.403044000000001</v>
      </c>
      <c r="T158">
        <v>54.441333999999998</v>
      </c>
      <c r="U158">
        <v>0.44178600000000001</v>
      </c>
      <c r="V158" t="s">
        <v>419</v>
      </c>
      <c r="W158">
        <v>0</v>
      </c>
      <c r="X158">
        <v>0</v>
      </c>
      <c r="Y158">
        <v>0</v>
      </c>
      <c r="Z158">
        <v>127.56300400000001</v>
      </c>
      <c r="AA158">
        <v>237.829117</v>
      </c>
      <c r="AB158">
        <v>0.46363599999999999</v>
      </c>
      <c r="AC158">
        <v>0.5</v>
      </c>
      <c r="AD158">
        <v>0.8</v>
      </c>
      <c r="AE158">
        <v>216.396942</v>
      </c>
      <c r="AF158">
        <v>45.28</v>
      </c>
      <c r="AG158">
        <v>42.42</v>
      </c>
      <c r="AH158">
        <v>33.25</v>
      </c>
      <c r="AI158">
        <v>33.43</v>
      </c>
      <c r="AJ158">
        <v>95.09</v>
      </c>
      <c r="AK158">
        <v>156.4</v>
      </c>
      <c r="AL158">
        <v>147.30000000000001</v>
      </c>
      <c r="AM158">
        <v>5.8</v>
      </c>
      <c r="AN158">
        <v>1167</v>
      </c>
      <c r="AO158">
        <v>3.9889999999999999</v>
      </c>
      <c r="AP158" s="3">
        <v>0.82144675925925925</v>
      </c>
      <c r="AQ158" s="1">
        <v>45133</v>
      </c>
      <c r="AR158">
        <v>0.13</v>
      </c>
      <c r="AS158">
        <v>1E-3</v>
      </c>
      <c r="AT158">
        <v>1E-3</v>
      </c>
      <c r="AU158">
        <v>-9999</v>
      </c>
      <c r="AV158">
        <v>0.79400000000000004</v>
      </c>
      <c r="AW158">
        <v>2.1339999999999999</v>
      </c>
      <c r="AX158">
        <v>-9999</v>
      </c>
      <c r="AY158">
        <v>1</v>
      </c>
      <c r="AZ158">
        <v>150</v>
      </c>
      <c r="BA158">
        <v>5.0000000000000001E-3</v>
      </c>
      <c r="BB158">
        <v>2</v>
      </c>
      <c r="BC158">
        <v>0</v>
      </c>
      <c r="BD158" t="s">
        <v>200</v>
      </c>
      <c r="BE158">
        <v>7000</v>
      </c>
      <c r="BF158">
        <v>500</v>
      </c>
      <c r="BG158">
        <v>5</v>
      </c>
      <c r="BH158">
        <v>2</v>
      </c>
      <c r="BI158">
        <v>300</v>
      </c>
      <c r="BJ158">
        <v>300</v>
      </c>
      <c r="BK158">
        <v>300</v>
      </c>
      <c r="BL158">
        <v>224.69508400000001</v>
      </c>
      <c r="BM158">
        <v>25</v>
      </c>
      <c r="BN158">
        <v>-8.9767080000000004</v>
      </c>
      <c r="BO158">
        <v>224.88677999999999</v>
      </c>
      <c r="BP158">
        <v>224.95375100000001</v>
      </c>
      <c r="BQ158">
        <v>-6.6971000000000003E-2</v>
      </c>
      <c r="BR158">
        <v>2.4106960000000002</v>
      </c>
      <c r="BS158">
        <v>2.4813339999999999</v>
      </c>
      <c r="BT158">
        <v>1.5880890000000001</v>
      </c>
      <c r="BU158">
        <v>0.97020300000000004</v>
      </c>
      <c r="BV158">
        <v>0.19683500000000001</v>
      </c>
      <c r="BW158">
        <v>2.0460000000000001E-3</v>
      </c>
      <c r="BX158">
        <v>0.18273400000000001</v>
      </c>
      <c r="BY158">
        <v>1.1421190000000001</v>
      </c>
      <c r="BZ158">
        <v>127.56300400000001</v>
      </c>
      <c r="CA158">
        <v>3.4499999999999998E-4</v>
      </c>
      <c r="CB158">
        <v>2.3486280000000002</v>
      </c>
      <c r="CC158">
        <v>-5.1E-5</v>
      </c>
      <c r="CD158">
        <v>1</v>
      </c>
      <c r="CE158">
        <v>2.4109430000000001</v>
      </c>
      <c r="CF158">
        <v>-5.7000000000000003E-5</v>
      </c>
      <c r="CG158">
        <v>1</v>
      </c>
      <c r="CH158">
        <v>0.60051900000000002</v>
      </c>
      <c r="CI158">
        <v>0.60216099999999995</v>
      </c>
      <c r="CJ158">
        <v>0.107265</v>
      </c>
      <c r="CK158">
        <v>0</v>
      </c>
      <c r="CL158" t="s">
        <v>419</v>
      </c>
      <c r="CM158" t="s">
        <v>201</v>
      </c>
      <c r="CN158" t="s">
        <v>202</v>
      </c>
      <c r="CO158" t="s">
        <v>203</v>
      </c>
      <c r="CP158" t="s">
        <v>204</v>
      </c>
      <c r="CQ158" t="s">
        <v>205</v>
      </c>
      <c r="CR158" t="s">
        <v>206</v>
      </c>
    </row>
    <row r="159" spans="1:96">
      <c r="A159">
        <v>5</v>
      </c>
      <c r="B159" s="3">
        <v>0.82230324074074079</v>
      </c>
      <c r="C159" s="1">
        <v>45133</v>
      </c>
      <c r="D159" t="s">
        <v>196</v>
      </c>
      <c r="E159" t="s">
        <v>197</v>
      </c>
      <c r="G159">
        <v>5</v>
      </c>
      <c r="J159">
        <v>0.19148999999999999</v>
      </c>
      <c r="K159">
        <v>2.9180139999999999</v>
      </c>
      <c r="L159">
        <v>0.179697</v>
      </c>
      <c r="M159">
        <v>5.7284160000000002</v>
      </c>
      <c r="N159">
        <v>2.3383989999999999</v>
      </c>
      <c r="O159">
        <v>2.1881550000000001</v>
      </c>
      <c r="P159">
        <v>5.2490030000000001</v>
      </c>
      <c r="Q159">
        <v>2.9106040000000002</v>
      </c>
      <c r="R159">
        <v>23.009535</v>
      </c>
      <c r="S159">
        <v>24.589421999999999</v>
      </c>
      <c r="T159">
        <v>55.195872999999999</v>
      </c>
      <c r="U159">
        <v>0.44178600000000001</v>
      </c>
      <c r="V159" t="s">
        <v>420</v>
      </c>
      <c r="W159">
        <v>0</v>
      </c>
      <c r="X159">
        <v>0</v>
      </c>
      <c r="Y159">
        <v>0</v>
      </c>
      <c r="Z159">
        <v>120.12004899999999</v>
      </c>
      <c r="AA159">
        <v>220.07089199999999</v>
      </c>
      <c r="AB159">
        <v>0.45417600000000002</v>
      </c>
      <c r="AC159">
        <v>0.5</v>
      </c>
      <c r="AD159">
        <v>0.8</v>
      </c>
      <c r="AE159">
        <v>47.577582999999997</v>
      </c>
      <c r="AF159">
        <v>45.67</v>
      </c>
      <c r="AG159">
        <v>42.74</v>
      </c>
      <c r="AH159">
        <v>33.24</v>
      </c>
      <c r="AI159">
        <v>33.68</v>
      </c>
      <c r="AJ159">
        <v>95.1</v>
      </c>
      <c r="AK159">
        <v>156.19999999999999</v>
      </c>
      <c r="AL159">
        <v>147.5</v>
      </c>
      <c r="AM159">
        <v>5.6</v>
      </c>
      <c r="AN159">
        <v>262</v>
      </c>
      <c r="AO159">
        <v>3.988</v>
      </c>
      <c r="AP159" s="3">
        <v>0.82144675925925925</v>
      </c>
      <c r="AQ159" s="1">
        <v>45133</v>
      </c>
      <c r="AR159">
        <v>0.13</v>
      </c>
      <c r="AS159">
        <v>-1E-3</v>
      </c>
      <c r="AT159">
        <v>-2E-3</v>
      </c>
      <c r="AU159">
        <v>1.0999999999999999E-2</v>
      </c>
      <c r="AV159">
        <v>0.79800000000000004</v>
      </c>
      <c r="AW159">
        <v>2.5000000000000001E-2</v>
      </c>
      <c r="AX159">
        <v>-0.66300000000000003</v>
      </c>
      <c r="AY159">
        <v>1</v>
      </c>
      <c r="AZ159">
        <v>150</v>
      </c>
      <c r="BA159">
        <v>5.0000000000000001E-3</v>
      </c>
      <c r="BB159">
        <v>2</v>
      </c>
      <c r="BC159">
        <v>0</v>
      </c>
      <c r="BD159" t="s">
        <v>200</v>
      </c>
      <c r="BE159">
        <v>7000</v>
      </c>
      <c r="BF159">
        <v>500</v>
      </c>
      <c r="BG159">
        <v>5</v>
      </c>
      <c r="BH159">
        <v>2</v>
      </c>
      <c r="BI159">
        <v>300</v>
      </c>
      <c r="BJ159">
        <v>300</v>
      </c>
      <c r="BK159">
        <v>300</v>
      </c>
      <c r="BL159">
        <v>208.42802399999999</v>
      </c>
      <c r="BM159">
        <v>25</v>
      </c>
      <c r="BN159">
        <v>-7.9973979999999996</v>
      </c>
      <c r="BO159">
        <v>209.11288500000001</v>
      </c>
      <c r="BP159">
        <v>208.60015899999999</v>
      </c>
      <c r="BQ159">
        <v>0.51272600000000002</v>
      </c>
      <c r="BR159">
        <v>2.4111050000000001</v>
      </c>
      <c r="BS159">
        <v>2.4818690000000001</v>
      </c>
      <c r="BT159">
        <v>1.5871679999999999</v>
      </c>
      <c r="BU159">
        <v>0.97074199999999999</v>
      </c>
      <c r="BV159">
        <v>0.196959</v>
      </c>
      <c r="BW159">
        <v>5.4590000000000003E-3</v>
      </c>
      <c r="BX159">
        <v>0.18440799999999999</v>
      </c>
      <c r="BY159">
        <v>0.33953</v>
      </c>
      <c r="BZ159">
        <v>120.12004899999999</v>
      </c>
      <c r="CA159">
        <v>3.4499999999999998E-4</v>
      </c>
      <c r="CB159">
        <v>2.3486280000000002</v>
      </c>
      <c r="CC159">
        <v>-5.1E-5</v>
      </c>
      <c r="CD159">
        <v>1</v>
      </c>
      <c r="CE159">
        <v>2.4109430000000001</v>
      </c>
      <c r="CF159">
        <v>-5.7000000000000003E-5</v>
      </c>
      <c r="CG159">
        <v>1</v>
      </c>
      <c r="CH159">
        <v>0.60051900000000002</v>
      </c>
      <c r="CI159">
        <v>0.60216099999999995</v>
      </c>
      <c r="CJ159">
        <v>0.107265</v>
      </c>
      <c r="CK159">
        <v>0</v>
      </c>
      <c r="CL159" t="s">
        <v>420</v>
      </c>
      <c r="CM159" t="s">
        <v>201</v>
      </c>
      <c r="CN159" t="s">
        <v>202</v>
      </c>
      <c r="CO159" t="s">
        <v>203</v>
      </c>
      <c r="CP159" t="s">
        <v>204</v>
      </c>
      <c r="CQ159" t="s">
        <v>205</v>
      </c>
      <c r="CR159" t="s">
        <v>206</v>
      </c>
    </row>
    <row r="160" spans="1:96">
      <c r="A160">
        <v>1</v>
      </c>
      <c r="B160" s="3">
        <v>0.82497685185185177</v>
      </c>
      <c r="C160" s="1">
        <v>45133</v>
      </c>
      <c r="D160" t="s">
        <v>196</v>
      </c>
      <c r="E160" t="s">
        <v>197</v>
      </c>
      <c r="G160">
        <v>1</v>
      </c>
      <c r="J160">
        <v>0.16233600000000001</v>
      </c>
      <c r="K160">
        <v>2.92014</v>
      </c>
      <c r="L160">
        <v>0.15378700000000001</v>
      </c>
      <c r="M160">
        <v>4.6190049999999996</v>
      </c>
      <c r="N160">
        <v>2.2933460000000001</v>
      </c>
      <c r="O160">
        <v>2.1723729999999999</v>
      </c>
      <c r="P160">
        <v>5.0388479999999998</v>
      </c>
      <c r="Q160">
        <v>2.7455020000000001</v>
      </c>
      <c r="R160">
        <v>22.848804000000001</v>
      </c>
      <c r="S160">
        <v>24.121193000000002</v>
      </c>
      <c r="T160">
        <v>52.998116000000003</v>
      </c>
      <c r="U160">
        <v>0.44178600000000001</v>
      </c>
      <c r="V160" t="s">
        <v>421</v>
      </c>
      <c r="W160">
        <v>0</v>
      </c>
      <c r="X160">
        <v>0</v>
      </c>
      <c r="Y160">
        <v>0</v>
      </c>
      <c r="Z160">
        <v>117.387413</v>
      </c>
      <c r="AA160">
        <v>218.17164600000001</v>
      </c>
      <c r="AB160">
        <v>0.461949</v>
      </c>
      <c r="AC160">
        <v>0.5</v>
      </c>
      <c r="AD160">
        <v>0.8</v>
      </c>
      <c r="AE160">
        <v>195.69032300000001</v>
      </c>
      <c r="AF160">
        <v>45.23</v>
      </c>
      <c r="AG160">
        <v>42.85</v>
      </c>
      <c r="AH160">
        <v>33.06</v>
      </c>
      <c r="AI160">
        <v>32.950000000000003</v>
      </c>
      <c r="AJ160">
        <v>95.08</v>
      </c>
      <c r="AK160">
        <v>156.5</v>
      </c>
      <c r="AL160">
        <v>146.5</v>
      </c>
      <c r="AM160">
        <v>6.4</v>
      </c>
      <c r="AN160">
        <v>1059</v>
      </c>
      <c r="AO160">
        <v>3.988</v>
      </c>
      <c r="AP160" s="3">
        <v>0.82482638888888893</v>
      </c>
      <c r="AQ160" s="1">
        <v>45133</v>
      </c>
      <c r="AR160">
        <v>-0.08</v>
      </c>
      <c r="AS160">
        <v>4.0000000000000001E-3</v>
      </c>
      <c r="AT160">
        <v>-2E-3</v>
      </c>
      <c r="AU160">
        <v>-9999</v>
      </c>
      <c r="AV160">
        <v>-0.22</v>
      </c>
      <c r="AW160">
        <v>0.13900000000000001</v>
      </c>
      <c r="AX160">
        <v>-9999</v>
      </c>
      <c r="AY160">
        <v>1</v>
      </c>
      <c r="AZ160">
        <v>150</v>
      </c>
      <c r="BA160">
        <v>5.0000000000000001E-3</v>
      </c>
      <c r="BB160">
        <v>2</v>
      </c>
      <c r="BC160">
        <v>0</v>
      </c>
      <c r="BD160" t="s">
        <v>200</v>
      </c>
      <c r="BE160">
        <v>7000</v>
      </c>
      <c r="BF160">
        <v>500</v>
      </c>
      <c r="BG160">
        <v>5</v>
      </c>
      <c r="BH160">
        <v>2</v>
      </c>
      <c r="BI160">
        <v>300</v>
      </c>
      <c r="BJ160">
        <v>300</v>
      </c>
      <c r="BK160">
        <v>300</v>
      </c>
      <c r="BL160">
        <v>206.13848899999999</v>
      </c>
      <c r="BM160">
        <v>25</v>
      </c>
      <c r="BN160">
        <v>-8.2761659999999999</v>
      </c>
      <c r="BO160">
        <v>206.07662999999999</v>
      </c>
      <c r="BP160">
        <v>206.30107100000001</v>
      </c>
      <c r="BQ160">
        <v>-0.224442</v>
      </c>
      <c r="BR160">
        <v>2.411279</v>
      </c>
      <c r="BS160">
        <v>2.4815930000000002</v>
      </c>
      <c r="BT160">
        <v>1.589224</v>
      </c>
      <c r="BU160">
        <v>0.96773299999999995</v>
      </c>
      <c r="BV160">
        <v>0.19830300000000001</v>
      </c>
      <c r="BW160">
        <v>-1.7110000000000001E-3</v>
      </c>
      <c r="BX160">
        <v>0.209173</v>
      </c>
      <c r="BY160">
        <v>1.0465120000000001</v>
      </c>
      <c r="BZ160">
        <v>117.387413</v>
      </c>
      <c r="CA160">
        <v>3.5300000000000002E-4</v>
      </c>
      <c r="CB160">
        <v>2.3486280000000002</v>
      </c>
      <c r="CC160">
        <v>-5.1E-5</v>
      </c>
      <c r="CD160">
        <v>1</v>
      </c>
      <c r="CE160">
        <v>2.4109430000000001</v>
      </c>
      <c r="CF160">
        <v>-5.7000000000000003E-5</v>
      </c>
      <c r="CG160">
        <v>1</v>
      </c>
      <c r="CH160">
        <v>0.60051900000000002</v>
      </c>
      <c r="CI160">
        <v>0.60216099999999995</v>
      </c>
      <c r="CJ160">
        <v>0.107265</v>
      </c>
      <c r="CK160">
        <v>0</v>
      </c>
      <c r="CL160" t="s">
        <v>421</v>
      </c>
      <c r="CM160" t="s">
        <v>201</v>
      </c>
      <c r="CN160" t="s">
        <v>202</v>
      </c>
      <c r="CO160" t="s">
        <v>203</v>
      </c>
      <c r="CP160" t="s">
        <v>204</v>
      </c>
      <c r="CQ160" t="s">
        <v>205</v>
      </c>
      <c r="CR160" t="s">
        <v>206</v>
      </c>
    </row>
    <row r="161" spans="1:96">
      <c r="A161">
        <v>2</v>
      </c>
      <c r="B161" s="3">
        <v>0.82533564814814808</v>
      </c>
      <c r="C161" s="1">
        <v>45133</v>
      </c>
      <c r="D161" t="s">
        <v>196</v>
      </c>
      <c r="E161" t="s">
        <v>197</v>
      </c>
      <c r="G161">
        <v>2</v>
      </c>
      <c r="J161">
        <v>5.2388999999999998E-2</v>
      </c>
      <c r="K161">
        <v>2.9196740000000001</v>
      </c>
      <c r="L161">
        <v>5.1465999999999998E-2</v>
      </c>
      <c r="M161">
        <v>1.842997</v>
      </c>
      <c r="N161">
        <v>2.2896320000000001</v>
      </c>
      <c r="O161">
        <v>2.2413419999999999</v>
      </c>
      <c r="P161">
        <v>5.5539529999999999</v>
      </c>
      <c r="Q161">
        <v>3.2643209999999998</v>
      </c>
      <c r="R161">
        <v>23.573658000000002</v>
      </c>
      <c r="S161">
        <v>24.081553</v>
      </c>
      <c r="T161">
        <v>58.414543000000002</v>
      </c>
      <c r="U161">
        <v>0.44178600000000001</v>
      </c>
      <c r="V161" t="s">
        <v>422</v>
      </c>
      <c r="W161">
        <v>0</v>
      </c>
      <c r="X161">
        <v>0</v>
      </c>
      <c r="Y161">
        <v>0</v>
      </c>
      <c r="Z161">
        <v>225.88526899999999</v>
      </c>
      <c r="AA161">
        <v>334.33261099999999</v>
      </c>
      <c r="AB161">
        <v>0.32436999999999999</v>
      </c>
      <c r="AC161">
        <v>0.5</v>
      </c>
      <c r="AD161">
        <v>0.8</v>
      </c>
      <c r="AE161">
        <v>143.11047400000001</v>
      </c>
      <c r="AF161">
        <v>45.18</v>
      </c>
      <c r="AG161">
        <v>44.22</v>
      </c>
      <c r="AH161">
        <v>33.06</v>
      </c>
      <c r="AI161">
        <v>34.700000000000003</v>
      </c>
      <c r="AJ161">
        <v>95.08</v>
      </c>
      <c r="AK161">
        <v>156.5</v>
      </c>
      <c r="AL161">
        <v>147</v>
      </c>
      <c r="AM161">
        <v>6.1</v>
      </c>
      <c r="AN161">
        <v>1103</v>
      </c>
      <c r="AO161">
        <v>3.9870000000000001</v>
      </c>
      <c r="AP161" s="3">
        <v>0.82482638888888893</v>
      </c>
      <c r="AQ161" s="1">
        <v>45133</v>
      </c>
      <c r="AR161">
        <v>-0.08</v>
      </c>
      <c r="AS161">
        <v>0</v>
      </c>
      <c r="AT161">
        <v>0</v>
      </c>
      <c r="AU161">
        <v>-1E-3</v>
      </c>
      <c r="AV161">
        <v>1.6379999999999999</v>
      </c>
      <c r="AW161">
        <v>-1.556</v>
      </c>
      <c r="AX161">
        <v>2.19</v>
      </c>
      <c r="AY161">
        <v>1</v>
      </c>
      <c r="AZ161">
        <v>150</v>
      </c>
      <c r="BA161">
        <v>5.0000000000000001E-3</v>
      </c>
      <c r="BB161">
        <v>2</v>
      </c>
      <c r="BC161">
        <v>0</v>
      </c>
      <c r="BD161" t="s">
        <v>200</v>
      </c>
      <c r="BE161">
        <v>7000</v>
      </c>
      <c r="BF161">
        <v>500</v>
      </c>
      <c r="BG161">
        <v>5</v>
      </c>
      <c r="BH161">
        <v>2</v>
      </c>
      <c r="BI161">
        <v>300</v>
      </c>
      <c r="BJ161">
        <v>300</v>
      </c>
      <c r="BK161">
        <v>300</v>
      </c>
      <c r="BL161">
        <v>324.07952899999998</v>
      </c>
      <c r="BM161">
        <v>25</v>
      </c>
      <c r="BN161">
        <v>-7.1411809999999996</v>
      </c>
      <c r="BO161">
        <v>324.061981</v>
      </c>
      <c r="BP161">
        <v>324.089966</v>
      </c>
      <c r="BQ161">
        <v>-2.7984999999999999E-2</v>
      </c>
      <c r="BR161">
        <v>2.4130349999999998</v>
      </c>
      <c r="BS161">
        <v>2.4815230000000001</v>
      </c>
      <c r="BT161">
        <v>1.5887720000000001</v>
      </c>
      <c r="BU161">
        <v>0.96918400000000005</v>
      </c>
      <c r="BV161">
        <v>0.19836400000000001</v>
      </c>
      <c r="BW161">
        <v>2.104E-2</v>
      </c>
      <c r="BX161">
        <v>0.21304100000000001</v>
      </c>
      <c r="BY161">
        <v>1.0854839999999999</v>
      </c>
      <c r="BZ161">
        <v>225.88526899999999</v>
      </c>
      <c r="CA161">
        <v>3.4900000000000003E-4</v>
      </c>
      <c r="CB161">
        <v>2.3486280000000002</v>
      </c>
      <c r="CC161">
        <v>-5.1E-5</v>
      </c>
      <c r="CD161">
        <v>1</v>
      </c>
      <c r="CE161">
        <v>2.4109430000000001</v>
      </c>
      <c r="CF161">
        <v>-5.7000000000000003E-5</v>
      </c>
      <c r="CG161">
        <v>1</v>
      </c>
      <c r="CH161">
        <v>0.60051900000000002</v>
      </c>
      <c r="CI161">
        <v>0.60216099999999995</v>
      </c>
      <c r="CJ161">
        <v>0.107265</v>
      </c>
      <c r="CK161">
        <v>0</v>
      </c>
      <c r="CL161" t="s">
        <v>422</v>
      </c>
      <c r="CM161" t="s">
        <v>201</v>
      </c>
      <c r="CN161" t="s">
        <v>202</v>
      </c>
      <c r="CO161" t="s">
        <v>203</v>
      </c>
      <c r="CP161" t="s">
        <v>204</v>
      </c>
      <c r="CQ161" t="s">
        <v>205</v>
      </c>
      <c r="CR161" t="s">
        <v>206</v>
      </c>
    </row>
    <row r="162" spans="1:96">
      <c r="A162">
        <v>3</v>
      </c>
      <c r="B162" s="3">
        <v>0.82549768518518529</v>
      </c>
      <c r="C162" s="1">
        <v>45133</v>
      </c>
      <c r="D162" t="s">
        <v>196</v>
      </c>
      <c r="E162" t="s">
        <v>197</v>
      </c>
      <c r="G162">
        <v>3</v>
      </c>
      <c r="J162">
        <v>9.6853999999999996E-2</v>
      </c>
      <c r="K162">
        <v>2.918733</v>
      </c>
      <c r="L162">
        <v>9.3743000000000007E-2</v>
      </c>
      <c r="M162">
        <v>2.4422450000000002</v>
      </c>
      <c r="N162">
        <v>2.239204</v>
      </c>
      <c r="O162">
        <v>2.175125</v>
      </c>
      <c r="P162">
        <v>4.6269799999999996</v>
      </c>
      <c r="Q162">
        <v>2.3877769999999998</v>
      </c>
      <c r="R162">
        <v>22.875467</v>
      </c>
      <c r="S162">
        <v>23.54937</v>
      </c>
      <c r="T162">
        <v>48.661259000000001</v>
      </c>
      <c r="U162">
        <v>0.44178600000000001</v>
      </c>
      <c r="V162" t="s">
        <v>423</v>
      </c>
      <c r="W162">
        <v>0</v>
      </c>
      <c r="X162">
        <v>0</v>
      </c>
      <c r="Y162">
        <v>0</v>
      </c>
      <c r="Z162">
        <v>93.365189000000001</v>
      </c>
      <c r="AA162">
        <v>305.52139299999999</v>
      </c>
      <c r="AB162">
        <v>0.694407</v>
      </c>
      <c r="AC162">
        <v>0.5</v>
      </c>
      <c r="AD162">
        <v>0.8</v>
      </c>
      <c r="AE162">
        <v>125.775772</v>
      </c>
      <c r="AF162">
        <v>44.21</v>
      </c>
      <c r="AG162">
        <v>42.94</v>
      </c>
      <c r="AH162">
        <v>33.049999999999997</v>
      </c>
      <c r="AI162">
        <v>31.44</v>
      </c>
      <c r="AJ162">
        <v>95.09</v>
      </c>
      <c r="AK162">
        <v>156.30000000000001</v>
      </c>
      <c r="AL162">
        <v>147.1</v>
      </c>
      <c r="AM162">
        <v>5.9</v>
      </c>
      <c r="AN162">
        <v>453</v>
      </c>
      <c r="AO162">
        <v>3.948</v>
      </c>
      <c r="AP162" s="3">
        <v>0.82482638888888893</v>
      </c>
      <c r="AQ162" s="1">
        <v>45133</v>
      </c>
      <c r="AR162">
        <v>-0.08</v>
      </c>
      <c r="AS162">
        <v>0</v>
      </c>
      <c r="AT162">
        <v>1E-3</v>
      </c>
      <c r="AU162">
        <v>-9999</v>
      </c>
      <c r="AV162">
        <v>-1.915</v>
      </c>
      <c r="AW162">
        <v>-0.439</v>
      </c>
      <c r="AX162">
        <v>-9999</v>
      </c>
      <c r="AY162">
        <v>1</v>
      </c>
      <c r="AZ162">
        <v>150</v>
      </c>
      <c r="BA162">
        <v>5.0000000000000001E-3</v>
      </c>
      <c r="BB162">
        <v>2</v>
      </c>
      <c r="BC162">
        <v>0</v>
      </c>
      <c r="BD162" t="s">
        <v>200</v>
      </c>
      <c r="BE162">
        <v>7000</v>
      </c>
      <c r="BF162">
        <v>500</v>
      </c>
      <c r="BG162">
        <v>5</v>
      </c>
      <c r="BH162">
        <v>2</v>
      </c>
      <c r="BI162">
        <v>300</v>
      </c>
      <c r="BJ162">
        <v>300</v>
      </c>
      <c r="BK162">
        <v>300</v>
      </c>
      <c r="BL162">
        <v>281.37695300000001</v>
      </c>
      <c r="BM162">
        <v>25</v>
      </c>
      <c r="BN162">
        <v>-16.733350999999999</v>
      </c>
      <c r="BO162">
        <v>282.426605</v>
      </c>
      <c r="BP162">
        <v>281.52062999999998</v>
      </c>
      <c r="BQ162">
        <v>0.90597499999999997</v>
      </c>
      <c r="BR162">
        <v>2.4114049999999998</v>
      </c>
      <c r="BS162">
        <v>2.4802010000000001</v>
      </c>
      <c r="BT162">
        <v>1.5878620000000001</v>
      </c>
      <c r="BU162">
        <v>0.96956200000000003</v>
      </c>
      <c r="BV162">
        <v>0.198438</v>
      </c>
      <c r="BW162">
        <v>-2.0747999999999999E-2</v>
      </c>
      <c r="BX162">
        <v>0.214647</v>
      </c>
      <c r="BY162">
        <v>0.50885899999999995</v>
      </c>
      <c r="BZ162">
        <v>93.365189000000001</v>
      </c>
      <c r="CA162">
        <v>3.5300000000000002E-4</v>
      </c>
      <c r="CB162">
        <v>2.3486280000000002</v>
      </c>
      <c r="CC162">
        <v>-5.1E-5</v>
      </c>
      <c r="CD162">
        <v>1</v>
      </c>
      <c r="CE162">
        <v>2.4109430000000001</v>
      </c>
      <c r="CF162">
        <v>-5.7000000000000003E-5</v>
      </c>
      <c r="CG162">
        <v>1</v>
      </c>
      <c r="CH162">
        <v>0.60051900000000002</v>
      </c>
      <c r="CI162">
        <v>0.60216099999999995</v>
      </c>
      <c r="CJ162">
        <v>0.107265</v>
      </c>
      <c r="CK162">
        <v>0</v>
      </c>
      <c r="CL162" t="s">
        <v>423</v>
      </c>
      <c r="CM162" t="s">
        <v>201</v>
      </c>
      <c r="CN162" t="s">
        <v>202</v>
      </c>
      <c r="CO162" t="s">
        <v>203</v>
      </c>
      <c r="CP162" t="s">
        <v>204</v>
      </c>
      <c r="CQ162" t="s">
        <v>205</v>
      </c>
      <c r="CR162" t="s">
        <v>206</v>
      </c>
    </row>
    <row r="163" spans="1:96">
      <c r="A163">
        <v>4</v>
      </c>
      <c r="B163" s="3">
        <v>0.82567129629629632</v>
      </c>
      <c r="C163" s="1">
        <v>45133</v>
      </c>
      <c r="D163" t="s">
        <v>196</v>
      </c>
      <c r="E163" t="s">
        <v>197</v>
      </c>
      <c r="G163">
        <v>4</v>
      </c>
      <c r="J163">
        <v>0.12895899999999999</v>
      </c>
      <c r="K163">
        <v>2.9198870000000001</v>
      </c>
      <c r="L163">
        <v>0.123504</v>
      </c>
      <c r="M163">
        <v>3.531498</v>
      </c>
      <c r="N163">
        <v>2.30504</v>
      </c>
      <c r="O163">
        <v>2.2125279999999998</v>
      </c>
      <c r="P163">
        <v>4.920744</v>
      </c>
      <c r="Q163">
        <v>2.615704</v>
      </c>
      <c r="R163">
        <v>23.267786000000001</v>
      </c>
      <c r="S163">
        <v>24.240677000000002</v>
      </c>
      <c r="T163">
        <v>51.748412999999999</v>
      </c>
      <c r="U163">
        <v>0.44178600000000001</v>
      </c>
      <c r="V163" t="s">
        <v>424</v>
      </c>
      <c r="W163">
        <v>0</v>
      </c>
      <c r="X163">
        <v>0</v>
      </c>
      <c r="Y163">
        <v>0</v>
      </c>
      <c r="Z163">
        <v>103.750702</v>
      </c>
      <c r="AA163">
        <v>292.83151199999998</v>
      </c>
      <c r="AB163">
        <v>0.64569799999999999</v>
      </c>
      <c r="AC163">
        <v>0.5</v>
      </c>
      <c r="AD163">
        <v>0.8</v>
      </c>
      <c r="AE163">
        <v>209.22737100000001</v>
      </c>
      <c r="AF163">
        <v>45.53</v>
      </c>
      <c r="AG163">
        <v>43.71</v>
      </c>
      <c r="AH163">
        <v>33.04</v>
      </c>
      <c r="AI163">
        <v>32.53</v>
      </c>
      <c r="AJ163">
        <v>95.09</v>
      </c>
      <c r="AK163">
        <v>156.5</v>
      </c>
      <c r="AL163">
        <v>147</v>
      </c>
      <c r="AM163">
        <v>6</v>
      </c>
      <c r="AN163">
        <v>810</v>
      </c>
      <c r="AO163">
        <v>3.9860000000000002</v>
      </c>
      <c r="AP163" s="3">
        <v>0.82482638888888893</v>
      </c>
      <c r="AQ163" s="1">
        <v>45133</v>
      </c>
      <c r="AR163">
        <v>-0.08</v>
      </c>
      <c r="AS163">
        <v>2E-3</v>
      </c>
      <c r="AT163">
        <v>4.0000000000000001E-3</v>
      </c>
      <c r="AU163">
        <v>1.2999999999999999E-2</v>
      </c>
      <c r="AV163">
        <v>2.4780000000000002</v>
      </c>
      <c r="AW163">
        <v>3.9510000000000001</v>
      </c>
      <c r="AX163">
        <v>3.0539999999999998</v>
      </c>
      <c r="AY163">
        <v>1</v>
      </c>
      <c r="AZ163">
        <v>150</v>
      </c>
      <c r="BA163">
        <v>5.0000000000000001E-3</v>
      </c>
      <c r="BB163">
        <v>2</v>
      </c>
      <c r="BC163">
        <v>0</v>
      </c>
      <c r="BD163" t="s">
        <v>200</v>
      </c>
      <c r="BE163">
        <v>7000</v>
      </c>
      <c r="BF163">
        <v>500</v>
      </c>
      <c r="BG163">
        <v>5</v>
      </c>
      <c r="BH163">
        <v>2</v>
      </c>
      <c r="BI163">
        <v>300</v>
      </c>
      <c r="BJ163">
        <v>300</v>
      </c>
      <c r="BK163">
        <v>300</v>
      </c>
      <c r="BL163">
        <v>270.65884399999999</v>
      </c>
      <c r="BM163">
        <v>25</v>
      </c>
      <c r="BN163">
        <v>-15.339509</v>
      </c>
      <c r="BO163">
        <v>271.33477800000003</v>
      </c>
      <c r="BP163">
        <v>270.829926</v>
      </c>
      <c r="BQ163">
        <v>0.50485199999999997</v>
      </c>
      <c r="BR163">
        <v>2.4123809999999999</v>
      </c>
      <c r="BS163">
        <v>2.4820120000000001</v>
      </c>
      <c r="BT163">
        <v>1.588978</v>
      </c>
      <c r="BU163">
        <v>0.96939900000000001</v>
      </c>
      <c r="BV163">
        <v>0.19852300000000001</v>
      </c>
      <c r="BW163">
        <v>-6.7559999999999999E-3</v>
      </c>
      <c r="BX163">
        <v>0.21640200000000001</v>
      </c>
      <c r="BY163">
        <v>0.82571000000000006</v>
      </c>
      <c r="BZ163">
        <v>103.750702</v>
      </c>
      <c r="CA163">
        <v>3.4600000000000001E-4</v>
      </c>
      <c r="CB163">
        <v>2.3486280000000002</v>
      </c>
      <c r="CC163">
        <v>-5.1E-5</v>
      </c>
      <c r="CD163">
        <v>1</v>
      </c>
      <c r="CE163">
        <v>2.4109430000000001</v>
      </c>
      <c r="CF163">
        <v>-5.7000000000000003E-5</v>
      </c>
      <c r="CG163">
        <v>1</v>
      </c>
      <c r="CH163">
        <v>0.60051900000000002</v>
      </c>
      <c r="CI163">
        <v>0.60216099999999995</v>
      </c>
      <c r="CJ163">
        <v>0.107265</v>
      </c>
      <c r="CK163">
        <v>0</v>
      </c>
      <c r="CL163" t="s">
        <v>424</v>
      </c>
      <c r="CM163" t="s">
        <v>201</v>
      </c>
      <c r="CN163" t="s">
        <v>202</v>
      </c>
      <c r="CO163" t="s">
        <v>203</v>
      </c>
      <c r="CP163" t="s">
        <v>204</v>
      </c>
      <c r="CQ163" t="s">
        <v>205</v>
      </c>
      <c r="CR163" t="s">
        <v>206</v>
      </c>
    </row>
    <row r="164" spans="1:96">
      <c r="A164">
        <v>5</v>
      </c>
      <c r="B164" s="3">
        <v>0.82581018518518512</v>
      </c>
      <c r="C164" s="1">
        <v>45133</v>
      </c>
      <c r="D164" t="s">
        <v>196</v>
      </c>
      <c r="E164" t="s">
        <v>197</v>
      </c>
      <c r="G164">
        <v>5</v>
      </c>
      <c r="J164">
        <v>0.18240600000000001</v>
      </c>
      <c r="K164">
        <v>2.9194279999999999</v>
      </c>
      <c r="L164">
        <v>0.171679</v>
      </c>
      <c r="M164">
        <v>4.930707</v>
      </c>
      <c r="N164">
        <v>2.3408220000000002</v>
      </c>
      <c r="O164">
        <v>2.211652</v>
      </c>
      <c r="P164">
        <v>4.9670290000000001</v>
      </c>
      <c r="Q164">
        <v>2.626207</v>
      </c>
      <c r="R164">
        <v>23.257474999999999</v>
      </c>
      <c r="S164">
        <v>24.615805000000002</v>
      </c>
      <c r="T164">
        <v>52.232689000000001</v>
      </c>
      <c r="U164">
        <v>0.44178600000000001</v>
      </c>
      <c r="V164" t="s">
        <v>425</v>
      </c>
      <c r="W164">
        <v>0</v>
      </c>
      <c r="X164">
        <v>0</v>
      </c>
      <c r="Y164">
        <v>0</v>
      </c>
      <c r="Z164">
        <v>118.92235599999999</v>
      </c>
      <c r="AA164">
        <v>271.67712399999999</v>
      </c>
      <c r="AB164">
        <v>0.56226600000000004</v>
      </c>
      <c r="AC164">
        <v>0.5</v>
      </c>
      <c r="AD164">
        <v>0.8</v>
      </c>
      <c r="AE164">
        <v>227.83227500000001</v>
      </c>
      <c r="AF164">
        <v>46.27</v>
      </c>
      <c r="AG164">
        <v>43.71</v>
      </c>
      <c r="AH164">
        <v>33.03</v>
      </c>
      <c r="AI164">
        <v>32.700000000000003</v>
      </c>
      <c r="AJ164">
        <v>95.09</v>
      </c>
      <c r="AK164">
        <v>156.4</v>
      </c>
      <c r="AL164">
        <v>147.30000000000001</v>
      </c>
      <c r="AM164">
        <v>5.8</v>
      </c>
      <c r="AN164">
        <v>1013</v>
      </c>
      <c r="AO164">
        <v>3.9849999999999999</v>
      </c>
      <c r="AP164" s="3">
        <v>0.82482638888888893</v>
      </c>
      <c r="AQ164" s="1">
        <v>45133</v>
      </c>
      <c r="AR164">
        <v>-0.08</v>
      </c>
      <c r="AS164">
        <v>2E-3</v>
      </c>
      <c r="AT164">
        <v>0</v>
      </c>
      <c r="AU164">
        <v>-9999</v>
      </c>
      <c r="AV164">
        <v>4.4999999999999998E-2</v>
      </c>
      <c r="AW164">
        <v>0.71399999999999997</v>
      </c>
      <c r="AX164">
        <v>-9999</v>
      </c>
      <c r="AY164">
        <v>1</v>
      </c>
      <c r="AZ164">
        <v>150</v>
      </c>
      <c r="BA164">
        <v>5.0000000000000001E-3</v>
      </c>
      <c r="BB164">
        <v>2</v>
      </c>
      <c r="BC164">
        <v>0</v>
      </c>
      <c r="BD164" t="s">
        <v>200</v>
      </c>
      <c r="BE164">
        <v>7000</v>
      </c>
      <c r="BF164">
        <v>500</v>
      </c>
      <c r="BG164">
        <v>5</v>
      </c>
      <c r="BH164">
        <v>2</v>
      </c>
      <c r="BI164">
        <v>300</v>
      </c>
      <c r="BJ164">
        <v>300</v>
      </c>
      <c r="BK164">
        <v>300</v>
      </c>
      <c r="BL164">
        <v>248.446945</v>
      </c>
      <c r="BM164">
        <v>25</v>
      </c>
      <c r="BN164">
        <v>-16.208397000000001</v>
      </c>
      <c r="BO164">
        <v>248.09039300000001</v>
      </c>
      <c r="BP164">
        <v>248.42929100000001</v>
      </c>
      <c r="BQ164">
        <v>-0.33889799999999998</v>
      </c>
      <c r="BR164">
        <v>2.4123899999999998</v>
      </c>
      <c r="BS164">
        <v>2.4830070000000002</v>
      </c>
      <c r="BT164">
        <v>1.5885339999999999</v>
      </c>
      <c r="BU164">
        <v>0.97030400000000006</v>
      </c>
      <c r="BV164">
        <v>0.19859599999999999</v>
      </c>
      <c r="BW164">
        <v>-4.5040000000000002E-3</v>
      </c>
      <c r="BX164">
        <v>0.21776999999999999</v>
      </c>
      <c r="BY164">
        <v>1.0056830000000001</v>
      </c>
      <c r="BZ164">
        <v>118.92235599999999</v>
      </c>
      <c r="CA164">
        <v>3.4900000000000003E-4</v>
      </c>
      <c r="CB164">
        <v>2.3486280000000002</v>
      </c>
      <c r="CC164">
        <v>-5.1E-5</v>
      </c>
      <c r="CD164">
        <v>1</v>
      </c>
      <c r="CE164">
        <v>2.4109430000000001</v>
      </c>
      <c r="CF164">
        <v>-5.7000000000000003E-5</v>
      </c>
      <c r="CG164">
        <v>1</v>
      </c>
      <c r="CH164">
        <v>0.60051900000000002</v>
      </c>
      <c r="CI164">
        <v>0.60216099999999995</v>
      </c>
      <c r="CJ164">
        <v>0.107265</v>
      </c>
      <c r="CK164">
        <v>0</v>
      </c>
      <c r="CL164" t="s">
        <v>425</v>
      </c>
      <c r="CM164" t="s">
        <v>201</v>
      </c>
      <c r="CN164" t="s">
        <v>202</v>
      </c>
      <c r="CO164" t="s">
        <v>203</v>
      </c>
      <c r="CP164" t="s">
        <v>204</v>
      </c>
      <c r="CQ164" t="s">
        <v>205</v>
      </c>
      <c r="CR164" t="s">
        <v>206</v>
      </c>
    </row>
    <row r="165" spans="1:96">
      <c r="A165">
        <v>1</v>
      </c>
      <c r="B165" s="3">
        <v>0.83298611111111109</v>
      </c>
      <c r="C165" s="1">
        <v>45133</v>
      </c>
      <c r="D165" t="s">
        <v>196</v>
      </c>
      <c r="E165" t="s">
        <v>197</v>
      </c>
      <c r="G165">
        <v>1</v>
      </c>
      <c r="J165">
        <v>6.9538000000000003E-2</v>
      </c>
      <c r="K165">
        <v>2.9185449999999999</v>
      </c>
      <c r="L165">
        <v>6.7919999999999994E-2</v>
      </c>
      <c r="M165">
        <v>1.540729</v>
      </c>
      <c r="N165">
        <v>2.1628409999999998</v>
      </c>
      <c r="O165">
        <v>2.1223860000000001</v>
      </c>
      <c r="P165">
        <v>4.2466049999999997</v>
      </c>
      <c r="Q165">
        <v>2.0837650000000001</v>
      </c>
      <c r="R165">
        <v>22.326162</v>
      </c>
      <c r="S165">
        <v>22.751715000000001</v>
      </c>
      <c r="T165">
        <v>44.671604000000002</v>
      </c>
      <c r="U165">
        <v>0.44178600000000001</v>
      </c>
      <c r="V165" t="s">
        <v>426</v>
      </c>
      <c r="W165">
        <v>0</v>
      </c>
      <c r="X165">
        <v>0</v>
      </c>
      <c r="Y165">
        <v>0</v>
      </c>
      <c r="Z165">
        <v>87.368842999999998</v>
      </c>
      <c r="AA165">
        <v>338.73376500000001</v>
      </c>
      <c r="AB165">
        <v>0.74207199999999995</v>
      </c>
      <c r="AC165">
        <v>0.5</v>
      </c>
      <c r="AD165">
        <v>0.8</v>
      </c>
      <c r="AE165">
        <v>26.832462</v>
      </c>
      <c r="AF165">
        <v>43.79</v>
      </c>
      <c r="AG165">
        <v>42.97</v>
      </c>
      <c r="AH165">
        <v>32.6</v>
      </c>
      <c r="AI165">
        <v>29.94</v>
      </c>
      <c r="AJ165">
        <v>95.06</v>
      </c>
      <c r="AK165">
        <v>156.30000000000001</v>
      </c>
      <c r="AL165">
        <v>147.30000000000001</v>
      </c>
      <c r="AM165">
        <v>5.8</v>
      </c>
      <c r="AN165">
        <v>90</v>
      </c>
      <c r="AO165">
        <v>3.9860000000000002</v>
      </c>
      <c r="AP165" s="3">
        <v>0.83287037037037026</v>
      </c>
      <c r="AQ165" s="1">
        <v>45133</v>
      </c>
      <c r="AR165">
        <v>-0.08</v>
      </c>
      <c r="AS165">
        <v>0</v>
      </c>
      <c r="AT165">
        <v>2E-3</v>
      </c>
      <c r="AU165">
        <v>-9999</v>
      </c>
      <c r="AV165">
        <v>4.2999999999999997E-2</v>
      </c>
      <c r="AW165">
        <v>0.31900000000000001</v>
      </c>
      <c r="AX165">
        <v>-9999</v>
      </c>
      <c r="AY165">
        <v>1</v>
      </c>
      <c r="AZ165">
        <v>150</v>
      </c>
      <c r="BA165">
        <v>5.0000000000000001E-3</v>
      </c>
      <c r="BB165">
        <v>2</v>
      </c>
      <c r="BC165">
        <v>0</v>
      </c>
      <c r="BD165" t="s">
        <v>200</v>
      </c>
      <c r="BE165">
        <v>7000</v>
      </c>
      <c r="BF165">
        <v>500</v>
      </c>
      <c r="BG165">
        <v>5</v>
      </c>
      <c r="BH165">
        <v>2</v>
      </c>
      <c r="BI165">
        <v>300</v>
      </c>
      <c r="BJ165">
        <v>300</v>
      </c>
      <c r="BK165">
        <v>300</v>
      </c>
      <c r="BL165">
        <v>315.52899200000002</v>
      </c>
      <c r="BM165">
        <v>25</v>
      </c>
      <c r="BN165">
        <v>-17.175035000000001</v>
      </c>
      <c r="BO165">
        <v>314.059845</v>
      </c>
      <c r="BP165">
        <v>314.09948700000001</v>
      </c>
      <c r="BQ165">
        <v>-3.9641999999999997E-2</v>
      </c>
      <c r="BR165">
        <v>2.4115310000000001</v>
      </c>
      <c r="BS165">
        <v>2.47973</v>
      </c>
      <c r="BT165">
        <v>1.58768</v>
      </c>
      <c r="BU165">
        <v>0.970217</v>
      </c>
      <c r="BV165">
        <v>0.20193900000000001</v>
      </c>
      <c r="BW165">
        <v>-3.3870999999999998E-2</v>
      </c>
      <c r="BX165">
        <v>0.17511199999999999</v>
      </c>
      <c r="BY165">
        <v>0.18743599999999999</v>
      </c>
      <c r="BZ165">
        <v>87.368842999999998</v>
      </c>
      <c r="CA165">
        <v>3.5300000000000002E-4</v>
      </c>
      <c r="CB165">
        <v>2.3486280000000002</v>
      </c>
      <c r="CC165">
        <v>-5.1E-5</v>
      </c>
      <c r="CD165">
        <v>1</v>
      </c>
      <c r="CE165">
        <v>2.4109430000000001</v>
      </c>
      <c r="CF165">
        <v>-5.7000000000000003E-5</v>
      </c>
      <c r="CG165">
        <v>1</v>
      </c>
      <c r="CH165">
        <v>0.60051900000000002</v>
      </c>
      <c r="CI165">
        <v>0.60216099999999995</v>
      </c>
      <c r="CJ165">
        <v>0.107265</v>
      </c>
      <c r="CK165">
        <v>0</v>
      </c>
      <c r="CL165" t="s">
        <v>426</v>
      </c>
      <c r="CM165" t="s">
        <v>201</v>
      </c>
      <c r="CN165" t="s">
        <v>202</v>
      </c>
      <c r="CO165" t="s">
        <v>203</v>
      </c>
      <c r="CP165" t="s">
        <v>204</v>
      </c>
      <c r="CQ165" t="s">
        <v>205</v>
      </c>
      <c r="CR165" t="s">
        <v>206</v>
      </c>
    </row>
    <row r="166" spans="1:96">
      <c r="A166">
        <v>2</v>
      </c>
      <c r="B166" s="3">
        <v>0.83315972222222223</v>
      </c>
      <c r="C166" s="1">
        <v>45133</v>
      </c>
      <c r="D166" t="s">
        <v>196</v>
      </c>
      <c r="E166" t="s">
        <v>197</v>
      </c>
      <c r="G166">
        <v>2</v>
      </c>
      <c r="J166">
        <v>2.4784E-2</v>
      </c>
      <c r="K166">
        <v>2.9193530000000001</v>
      </c>
      <c r="L166">
        <v>2.4575E-2</v>
      </c>
      <c r="M166">
        <v>0.63462300000000005</v>
      </c>
      <c r="N166">
        <v>2.1490070000000001</v>
      </c>
      <c r="O166">
        <v>2.1323539999999999</v>
      </c>
      <c r="P166">
        <v>4.5175409999999996</v>
      </c>
      <c r="Q166">
        <v>2.3685339999999999</v>
      </c>
      <c r="R166">
        <v>22.433197</v>
      </c>
      <c r="S166">
        <v>22.608397</v>
      </c>
      <c r="T166">
        <v>47.526302000000001</v>
      </c>
      <c r="U166">
        <v>0.44178600000000001</v>
      </c>
      <c r="V166" t="s">
        <v>427</v>
      </c>
      <c r="W166">
        <v>0</v>
      </c>
      <c r="X166">
        <v>0</v>
      </c>
      <c r="Y166">
        <v>0</v>
      </c>
      <c r="Z166">
        <v>87.984322000000006</v>
      </c>
      <c r="AA166">
        <v>309.10086100000001</v>
      </c>
      <c r="AB166">
        <v>0.71535400000000005</v>
      </c>
      <c r="AC166">
        <v>0.5</v>
      </c>
      <c r="AD166">
        <v>0.8</v>
      </c>
      <c r="AE166">
        <v>36.601280000000003</v>
      </c>
      <c r="AF166">
        <v>43.55</v>
      </c>
      <c r="AG166">
        <v>43.22</v>
      </c>
      <c r="AH166">
        <v>32.58</v>
      </c>
      <c r="AI166">
        <v>31.02</v>
      </c>
      <c r="AJ166">
        <v>95.05</v>
      </c>
      <c r="AK166">
        <v>156.4</v>
      </c>
      <c r="AL166">
        <v>147.30000000000001</v>
      </c>
      <c r="AM166">
        <v>5.9</v>
      </c>
      <c r="AN166">
        <v>128</v>
      </c>
      <c r="AO166">
        <v>3.984</v>
      </c>
      <c r="AP166" s="3">
        <v>0.83287037037037026</v>
      </c>
      <c r="AQ166" s="1">
        <v>45133</v>
      </c>
      <c r="AR166">
        <v>-0.08</v>
      </c>
      <c r="AS166">
        <v>1E-3</v>
      </c>
      <c r="AT166">
        <v>1E-3</v>
      </c>
      <c r="AU166">
        <v>-1E-3</v>
      </c>
      <c r="AV166">
        <v>4.6630000000000003</v>
      </c>
      <c r="AW166">
        <v>4.3049999999999997</v>
      </c>
      <c r="AX166">
        <v>-1.8660000000000001</v>
      </c>
      <c r="AY166">
        <v>1</v>
      </c>
      <c r="AZ166">
        <v>150</v>
      </c>
      <c r="BA166">
        <v>5.0000000000000001E-3</v>
      </c>
      <c r="BB166">
        <v>2</v>
      </c>
      <c r="BC166">
        <v>0</v>
      </c>
      <c r="BD166" t="s">
        <v>200</v>
      </c>
      <c r="BE166">
        <v>7000</v>
      </c>
      <c r="BF166">
        <v>500</v>
      </c>
      <c r="BG166">
        <v>5</v>
      </c>
      <c r="BH166">
        <v>2</v>
      </c>
      <c r="BI166">
        <v>300</v>
      </c>
      <c r="BJ166">
        <v>300</v>
      </c>
      <c r="BK166">
        <v>300</v>
      </c>
      <c r="BL166">
        <v>299.72470099999998</v>
      </c>
      <c r="BM166">
        <v>25</v>
      </c>
      <c r="BN166">
        <v>-6.7356990000000003</v>
      </c>
      <c r="BO166">
        <v>305.08947799999999</v>
      </c>
      <c r="BP166">
        <v>299.43978900000002</v>
      </c>
      <c r="BQ166">
        <v>5.6496890000000004</v>
      </c>
      <c r="BR166">
        <v>2.4118529999999998</v>
      </c>
      <c r="BS166">
        <v>2.4794170000000002</v>
      </c>
      <c r="BT166">
        <v>1.5884609999999999</v>
      </c>
      <c r="BU166">
        <v>0.97008799999999995</v>
      </c>
      <c r="BV166">
        <v>0.202094</v>
      </c>
      <c r="BW166">
        <v>-2.0067999999999999E-2</v>
      </c>
      <c r="BX166">
        <v>0.176949</v>
      </c>
      <c r="BY166">
        <v>0.22070899999999999</v>
      </c>
      <c r="BZ166">
        <v>87.984322000000006</v>
      </c>
      <c r="CA166">
        <v>3.5399999999999999E-4</v>
      </c>
      <c r="CB166">
        <v>2.3486280000000002</v>
      </c>
      <c r="CC166">
        <v>-5.1E-5</v>
      </c>
      <c r="CD166">
        <v>1</v>
      </c>
      <c r="CE166">
        <v>2.4109430000000001</v>
      </c>
      <c r="CF166">
        <v>-5.7000000000000003E-5</v>
      </c>
      <c r="CG166">
        <v>1</v>
      </c>
      <c r="CH166">
        <v>0.60051900000000002</v>
      </c>
      <c r="CI166">
        <v>0.60216099999999995</v>
      </c>
      <c r="CJ166">
        <v>0.107265</v>
      </c>
      <c r="CK166">
        <v>0</v>
      </c>
      <c r="CL166" t="s">
        <v>427</v>
      </c>
      <c r="CM166" t="s">
        <v>201</v>
      </c>
      <c r="CN166" t="s">
        <v>202</v>
      </c>
      <c r="CO166" t="s">
        <v>203</v>
      </c>
      <c r="CP166" t="s">
        <v>204</v>
      </c>
      <c r="CQ166" t="s">
        <v>205</v>
      </c>
      <c r="CR166" t="s">
        <v>206</v>
      </c>
    </row>
    <row r="167" spans="1:96">
      <c r="A167">
        <v>3</v>
      </c>
      <c r="B167" s="3">
        <v>0.83329861111111114</v>
      </c>
      <c r="C167" s="1">
        <v>45133</v>
      </c>
      <c r="D167" t="s">
        <v>196</v>
      </c>
      <c r="E167" t="s">
        <v>197</v>
      </c>
      <c r="G167">
        <v>3</v>
      </c>
      <c r="J167">
        <v>7.5854000000000005E-2</v>
      </c>
      <c r="K167">
        <v>2.9190999999999998</v>
      </c>
      <c r="L167">
        <v>7.3932999999999999E-2</v>
      </c>
      <c r="M167">
        <v>1.623909</v>
      </c>
      <c r="N167">
        <v>2.17041</v>
      </c>
      <c r="O167">
        <v>2.1277970000000002</v>
      </c>
      <c r="P167">
        <v>4.188472</v>
      </c>
      <c r="Q167">
        <v>2.018062</v>
      </c>
      <c r="R167">
        <v>22.384429999999998</v>
      </c>
      <c r="S167">
        <v>22.832723999999999</v>
      </c>
      <c r="T167">
        <v>44.062744000000002</v>
      </c>
      <c r="U167">
        <v>0.44178600000000001</v>
      </c>
      <c r="V167" t="s">
        <v>428</v>
      </c>
      <c r="W167">
        <v>0</v>
      </c>
      <c r="X167">
        <v>0</v>
      </c>
      <c r="Y167">
        <v>0</v>
      </c>
      <c r="Z167">
        <v>90.50882</v>
      </c>
      <c r="AA167">
        <v>397.50408900000002</v>
      </c>
      <c r="AB167">
        <v>0.77230699999999997</v>
      </c>
      <c r="AC167">
        <v>0.5</v>
      </c>
      <c r="AD167">
        <v>0.8</v>
      </c>
      <c r="AE167">
        <v>35.557437999999998</v>
      </c>
      <c r="AF167">
        <v>44.04</v>
      </c>
      <c r="AG167">
        <v>43.18</v>
      </c>
      <c r="AH167">
        <v>32.56</v>
      </c>
      <c r="AI167">
        <v>29.7</v>
      </c>
      <c r="AJ167">
        <v>95.06</v>
      </c>
      <c r="AK167">
        <v>156.4</v>
      </c>
      <c r="AL167">
        <v>147.1</v>
      </c>
      <c r="AM167">
        <v>5.9</v>
      </c>
      <c r="AN167">
        <v>115</v>
      </c>
      <c r="AO167">
        <v>3.9830000000000001</v>
      </c>
      <c r="AP167" s="3">
        <v>0.83287037037037026</v>
      </c>
      <c r="AQ167" s="1">
        <v>45133</v>
      </c>
      <c r="AR167">
        <v>-0.08</v>
      </c>
      <c r="AS167">
        <v>4.0000000000000001E-3</v>
      </c>
      <c r="AT167">
        <v>3.0000000000000001E-3</v>
      </c>
      <c r="AU167">
        <v>-9999</v>
      </c>
      <c r="AV167">
        <v>0.36699999999999999</v>
      </c>
      <c r="AW167">
        <v>0.93600000000000005</v>
      </c>
      <c r="AX167">
        <v>-9999</v>
      </c>
      <c r="AY167">
        <v>1</v>
      </c>
      <c r="AZ167">
        <v>150</v>
      </c>
      <c r="BA167">
        <v>5.0000000000000001E-3</v>
      </c>
      <c r="BB167">
        <v>2</v>
      </c>
      <c r="BC167">
        <v>0</v>
      </c>
      <c r="BD167" t="s">
        <v>200</v>
      </c>
      <c r="BE167">
        <v>7000</v>
      </c>
      <c r="BF167">
        <v>500</v>
      </c>
      <c r="BG167">
        <v>5</v>
      </c>
      <c r="BH167">
        <v>2</v>
      </c>
      <c r="BI167">
        <v>300</v>
      </c>
      <c r="BJ167">
        <v>300</v>
      </c>
      <c r="BK167">
        <v>300</v>
      </c>
      <c r="BL167">
        <v>384.03653000000003</v>
      </c>
      <c r="BM167">
        <v>25</v>
      </c>
      <c r="BN167">
        <v>-9.3260740000000002</v>
      </c>
      <c r="BO167">
        <v>385.63156099999998</v>
      </c>
      <c r="BP167">
        <v>384.12762500000002</v>
      </c>
      <c r="BQ167">
        <v>1.5039370000000001</v>
      </c>
      <c r="BR167">
        <v>2.41181</v>
      </c>
      <c r="BS167">
        <v>2.480092</v>
      </c>
      <c r="BT167">
        <v>1.588217</v>
      </c>
      <c r="BU167">
        <v>0.96974300000000002</v>
      </c>
      <c r="BV167">
        <v>0.20227300000000001</v>
      </c>
      <c r="BW167">
        <v>-3.6315E-2</v>
      </c>
      <c r="BX167">
        <v>0.17846500000000001</v>
      </c>
      <c r="BY167">
        <v>0.209346</v>
      </c>
      <c r="BZ167">
        <v>90.50882</v>
      </c>
      <c r="CA167">
        <v>3.5300000000000002E-4</v>
      </c>
      <c r="CB167">
        <v>2.3486280000000002</v>
      </c>
      <c r="CC167">
        <v>-5.1E-5</v>
      </c>
      <c r="CD167">
        <v>1</v>
      </c>
      <c r="CE167">
        <v>2.4109430000000001</v>
      </c>
      <c r="CF167">
        <v>-5.7000000000000003E-5</v>
      </c>
      <c r="CG167">
        <v>1</v>
      </c>
      <c r="CH167">
        <v>0.60051900000000002</v>
      </c>
      <c r="CI167">
        <v>0.60216099999999995</v>
      </c>
      <c r="CJ167">
        <v>0.107265</v>
      </c>
      <c r="CK167">
        <v>0</v>
      </c>
      <c r="CL167" t="s">
        <v>428</v>
      </c>
      <c r="CM167" t="s">
        <v>201</v>
      </c>
      <c r="CN167" t="s">
        <v>202</v>
      </c>
      <c r="CO167" t="s">
        <v>203</v>
      </c>
      <c r="CP167" t="s">
        <v>204</v>
      </c>
      <c r="CQ167" t="s">
        <v>205</v>
      </c>
      <c r="CR167" t="s">
        <v>206</v>
      </c>
    </row>
    <row r="168" spans="1:96">
      <c r="A168">
        <v>4</v>
      </c>
      <c r="B168" s="3">
        <v>0.8334259259259259</v>
      </c>
      <c r="C168" s="1">
        <v>45133</v>
      </c>
      <c r="D168" t="s">
        <v>196</v>
      </c>
      <c r="E168" t="s">
        <v>197</v>
      </c>
      <c r="G168">
        <v>4</v>
      </c>
      <c r="J168">
        <v>2.3356999999999999E-2</v>
      </c>
      <c r="K168">
        <v>2.919737</v>
      </c>
      <c r="L168">
        <v>2.3172000000000002E-2</v>
      </c>
      <c r="M168">
        <v>0.55880600000000002</v>
      </c>
      <c r="N168">
        <v>2.146531</v>
      </c>
      <c r="O168">
        <v>2.131872</v>
      </c>
      <c r="P168">
        <v>4.3602600000000002</v>
      </c>
      <c r="Q168">
        <v>2.2137289999999998</v>
      </c>
      <c r="R168">
        <v>22.428834999999999</v>
      </c>
      <c r="S168">
        <v>22.583058999999999</v>
      </c>
      <c r="T168">
        <v>45.873089</v>
      </c>
      <c r="U168">
        <v>0.44178600000000001</v>
      </c>
      <c r="V168" t="s">
        <v>429</v>
      </c>
      <c r="W168">
        <v>0</v>
      </c>
      <c r="X168">
        <v>0</v>
      </c>
      <c r="Y168">
        <v>0</v>
      </c>
      <c r="Z168">
        <v>92.870238999999998</v>
      </c>
      <c r="AA168">
        <v>444.41162100000003</v>
      </c>
      <c r="AB168">
        <v>0.79102700000000004</v>
      </c>
      <c r="AC168">
        <v>0.5</v>
      </c>
      <c r="AD168">
        <v>0.8</v>
      </c>
      <c r="AE168">
        <v>237.11904899999999</v>
      </c>
      <c r="AF168">
        <v>43.62</v>
      </c>
      <c r="AG168">
        <v>43.32</v>
      </c>
      <c r="AH168">
        <v>32.53</v>
      </c>
      <c r="AI168">
        <v>30.4</v>
      </c>
      <c r="AJ168">
        <v>95.05</v>
      </c>
      <c r="AK168">
        <v>156.5</v>
      </c>
      <c r="AL168">
        <v>147.30000000000001</v>
      </c>
      <c r="AM168">
        <v>5.9</v>
      </c>
      <c r="AN168">
        <v>749</v>
      </c>
      <c r="AO168">
        <v>3.984</v>
      </c>
      <c r="AP168" s="3">
        <v>0.83287037037037026</v>
      </c>
      <c r="AQ168" s="1">
        <v>45133</v>
      </c>
      <c r="AR168">
        <v>-0.08</v>
      </c>
      <c r="AS168">
        <v>-2E-3</v>
      </c>
      <c r="AT168">
        <v>0</v>
      </c>
      <c r="AU168">
        <v>-9999</v>
      </c>
      <c r="AV168">
        <v>0.52400000000000002</v>
      </c>
      <c r="AW168">
        <v>0.39300000000000002</v>
      </c>
      <c r="AX168">
        <v>-9999</v>
      </c>
      <c r="AY168">
        <v>1</v>
      </c>
      <c r="AZ168">
        <v>150</v>
      </c>
      <c r="BA168">
        <v>5.0000000000000001E-3</v>
      </c>
      <c r="BB168">
        <v>2</v>
      </c>
      <c r="BC168">
        <v>0</v>
      </c>
      <c r="BD168" t="s">
        <v>200</v>
      </c>
      <c r="BE168">
        <v>7000</v>
      </c>
      <c r="BF168">
        <v>500</v>
      </c>
      <c r="BG168">
        <v>5</v>
      </c>
      <c r="BH168">
        <v>2</v>
      </c>
      <c r="BI168">
        <v>300</v>
      </c>
      <c r="BJ168">
        <v>300</v>
      </c>
      <c r="BK168">
        <v>300</v>
      </c>
      <c r="BL168">
        <v>444.41162100000003</v>
      </c>
      <c r="BM168">
        <v>25</v>
      </c>
      <c r="BN168">
        <v>2.820268</v>
      </c>
      <c r="BO168">
        <v>452.41857900000002</v>
      </c>
      <c r="BP168">
        <v>448.45675699999998</v>
      </c>
      <c r="BQ168">
        <v>3.9618229999999999</v>
      </c>
      <c r="BR168">
        <v>2.4119950000000001</v>
      </c>
      <c r="BS168">
        <v>2.4795159999999998</v>
      </c>
      <c r="BT168">
        <v>1.5888329999999999</v>
      </c>
      <c r="BU168">
        <v>0.97014100000000003</v>
      </c>
      <c r="BV168">
        <v>0.20246400000000001</v>
      </c>
      <c r="BW168">
        <v>-2.7265999999999999E-2</v>
      </c>
      <c r="BX168">
        <v>0.17976300000000001</v>
      </c>
      <c r="BY168">
        <v>0.771895</v>
      </c>
      <c r="BZ168">
        <v>92.870238999999998</v>
      </c>
      <c r="CA168">
        <v>3.5100000000000002E-4</v>
      </c>
      <c r="CB168">
        <v>2.3486280000000002</v>
      </c>
      <c r="CC168">
        <v>-5.1E-5</v>
      </c>
      <c r="CD168">
        <v>1</v>
      </c>
      <c r="CE168">
        <v>2.4109430000000001</v>
      </c>
      <c r="CF168">
        <v>-5.7000000000000003E-5</v>
      </c>
      <c r="CG168">
        <v>1</v>
      </c>
      <c r="CH168">
        <v>0.60051900000000002</v>
      </c>
      <c r="CI168">
        <v>0.60216099999999995</v>
      </c>
      <c r="CJ168">
        <v>0.107265</v>
      </c>
      <c r="CK168">
        <v>0</v>
      </c>
      <c r="CL168" t="s">
        <v>429</v>
      </c>
      <c r="CM168" t="s">
        <v>201</v>
      </c>
      <c r="CN168" t="s">
        <v>202</v>
      </c>
      <c r="CO168" t="s">
        <v>203</v>
      </c>
      <c r="CP168" t="s">
        <v>204</v>
      </c>
      <c r="CQ168" t="s">
        <v>205</v>
      </c>
      <c r="CR168" t="s">
        <v>206</v>
      </c>
    </row>
    <row r="169" spans="1:96">
      <c r="A169">
        <v>1</v>
      </c>
      <c r="B169" s="3">
        <v>0.83619212962962963</v>
      </c>
      <c r="C169" s="1">
        <v>45133</v>
      </c>
      <c r="D169" t="s">
        <v>196</v>
      </c>
      <c r="E169" t="s">
        <v>197</v>
      </c>
      <c r="G169">
        <v>1</v>
      </c>
      <c r="J169">
        <v>0.14371900000000001</v>
      </c>
      <c r="K169">
        <v>2.919959</v>
      </c>
      <c r="L169">
        <v>0.13697699999999999</v>
      </c>
      <c r="M169">
        <v>3.8293059999999999</v>
      </c>
      <c r="N169">
        <v>2.2313830000000001</v>
      </c>
      <c r="O169">
        <v>2.1310470000000001</v>
      </c>
      <c r="P169">
        <v>4.7902060000000004</v>
      </c>
      <c r="Q169">
        <v>2.558824</v>
      </c>
      <c r="R169">
        <v>22.422163000000001</v>
      </c>
      <c r="S169">
        <v>23.477861000000001</v>
      </c>
      <c r="T169">
        <v>50.400944000000003</v>
      </c>
      <c r="U169">
        <v>0.44178600000000001</v>
      </c>
      <c r="V169" t="s">
        <v>430</v>
      </c>
      <c r="W169">
        <v>0</v>
      </c>
      <c r="X169">
        <v>0</v>
      </c>
      <c r="Y169">
        <v>0</v>
      </c>
      <c r="Z169">
        <v>135.72764599999999</v>
      </c>
      <c r="AA169">
        <v>270.06997699999999</v>
      </c>
      <c r="AB169">
        <v>0.49743500000000002</v>
      </c>
      <c r="AC169">
        <v>0.5</v>
      </c>
      <c r="AD169">
        <v>0.8</v>
      </c>
      <c r="AE169">
        <v>189.07540900000001</v>
      </c>
      <c r="AF169">
        <v>45.96</v>
      </c>
      <c r="AG169">
        <v>43.89</v>
      </c>
      <c r="AH169">
        <v>32.29</v>
      </c>
      <c r="AI169">
        <v>32.06</v>
      </c>
      <c r="AJ169">
        <v>95.04</v>
      </c>
      <c r="AK169">
        <v>156.5</v>
      </c>
      <c r="AL169">
        <v>147.5</v>
      </c>
      <c r="AM169">
        <v>5.8</v>
      </c>
      <c r="AN169">
        <v>950</v>
      </c>
      <c r="AO169">
        <v>3.984</v>
      </c>
      <c r="AP169" s="3">
        <v>0.83608796296296306</v>
      </c>
      <c r="AQ169" s="1">
        <v>45133</v>
      </c>
      <c r="AR169">
        <v>-0.09</v>
      </c>
      <c r="AS169">
        <v>2E-3</v>
      </c>
      <c r="AT169">
        <v>3.0000000000000001E-3</v>
      </c>
      <c r="AU169">
        <v>0.01</v>
      </c>
      <c r="AV169">
        <v>0.47499999999999998</v>
      </c>
      <c r="AW169">
        <v>1.8</v>
      </c>
      <c r="AX169">
        <v>5.6349999999999998</v>
      </c>
      <c r="AY169">
        <v>1</v>
      </c>
      <c r="AZ169">
        <v>150</v>
      </c>
      <c r="BA169">
        <v>5.0000000000000001E-3</v>
      </c>
      <c r="BB169">
        <v>2</v>
      </c>
      <c r="BC169">
        <v>0</v>
      </c>
      <c r="BD169" t="s">
        <v>200</v>
      </c>
      <c r="BE169">
        <v>7000</v>
      </c>
      <c r="BF169">
        <v>500</v>
      </c>
      <c r="BG169">
        <v>5</v>
      </c>
      <c r="BH169">
        <v>2</v>
      </c>
      <c r="BI169">
        <v>300</v>
      </c>
      <c r="BJ169">
        <v>300</v>
      </c>
      <c r="BK169">
        <v>300</v>
      </c>
      <c r="BL169">
        <v>252.74920700000001</v>
      </c>
      <c r="BM169">
        <v>25</v>
      </c>
      <c r="BN169">
        <v>-12.041351000000001</v>
      </c>
      <c r="BO169">
        <v>251.61051900000001</v>
      </c>
      <c r="BP169">
        <v>252.798981</v>
      </c>
      <c r="BQ169">
        <v>-1.188461</v>
      </c>
      <c r="BR169">
        <v>2.4127730000000001</v>
      </c>
      <c r="BS169">
        <v>2.4827680000000001</v>
      </c>
      <c r="BT169">
        <v>1.589048</v>
      </c>
      <c r="BU169">
        <v>0.97074899999999997</v>
      </c>
      <c r="BV169">
        <v>0.20436799999999999</v>
      </c>
      <c r="BW169">
        <v>-3.3149999999999998E-3</v>
      </c>
      <c r="BX169">
        <v>0.194415</v>
      </c>
      <c r="BY169">
        <v>0.95002399999999998</v>
      </c>
      <c r="BZ169">
        <v>135.72764599999999</v>
      </c>
      <c r="CA169">
        <v>3.4900000000000003E-4</v>
      </c>
      <c r="CB169">
        <v>2.3486280000000002</v>
      </c>
      <c r="CC169">
        <v>-5.1E-5</v>
      </c>
      <c r="CD169">
        <v>1</v>
      </c>
      <c r="CE169">
        <v>2.4109430000000001</v>
      </c>
      <c r="CF169">
        <v>-5.7000000000000003E-5</v>
      </c>
      <c r="CG169">
        <v>1</v>
      </c>
      <c r="CH169">
        <v>0.60051900000000002</v>
      </c>
      <c r="CI169">
        <v>0.60216099999999995</v>
      </c>
      <c r="CJ169">
        <v>0.107265</v>
      </c>
      <c r="CK169">
        <v>0</v>
      </c>
      <c r="CL169" t="s">
        <v>430</v>
      </c>
      <c r="CM169" t="s">
        <v>201</v>
      </c>
      <c r="CN169" t="s">
        <v>202</v>
      </c>
      <c r="CO169" t="s">
        <v>203</v>
      </c>
      <c r="CP169" t="s">
        <v>204</v>
      </c>
      <c r="CQ169" t="s">
        <v>205</v>
      </c>
      <c r="CR169" t="s">
        <v>206</v>
      </c>
    </row>
    <row r="170" spans="1:96">
      <c r="A170">
        <v>2</v>
      </c>
      <c r="B170" s="3">
        <v>0.83638888888888896</v>
      </c>
      <c r="C170" s="1">
        <v>45133</v>
      </c>
      <c r="D170" t="s">
        <v>196</v>
      </c>
      <c r="E170" t="s">
        <v>197</v>
      </c>
      <c r="G170">
        <v>2</v>
      </c>
      <c r="J170">
        <v>0.18264</v>
      </c>
      <c r="K170">
        <v>2.9194119999999999</v>
      </c>
      <c r="L170">
        <v>0.17188700000000001</v>
      </c>
      <c r="M170">
        <v>4.5505680000000002</v>
      </c>
      <c r="N170">
        <v>2.2260170000000001</v>
      </c>
      <c r="O170">
        <v>2.1067209999999998</v>
      </c>
      <c r="P170">
        <v>4.6512250000000002</v>
      </c>
      <c r="Q170">
        <v>2.4252069999999999</v>
      </c>
      <c r="R170">
        <v>22.165510000000001</v>
      </c>
      <c r="S170">
        <v>23.420670000000001</v>
      </c>
      <c r="T170">
        <v>48.937080000000002</v>
      </c>
      <c r="U170">
        <v>0.44178600000000001</v>
      </c>
      <c r="V170" t="s">
        <v>431</v>
      </c>
      <c r="W170">
        <v>0</v>
      </c>
      <c r="X170">
        <v>0</v>
      </c>
      <c r="Y170">
        <v>0</v>
      </c>
      <c r="Z170">
        <v>123.577591</v>
      </c>
      <c r="AA170">
        <v>297.364441</v>
      </c>
      <c r="AB170">
        <v>0.58442400000000005</v>
      </c>
      <c r="AC170">
        <v>0.5</v>
      </c>
      <c r="AD170">
        <v>0.8</v>
      </c>
      <c r="AE170">
        <v>211.34757999999999</v>
      </c>
      <c r="AF170">
        <v>45.86</v>
      </c>
      <c r="AG170">
        <v>43.4</v>
      </c>
      <c r="AH170">
        <v>32.29</v>
      </c>
      <c r="AI170">
        <v>31.54</v>
      </c>
      <c r="AJ170">
        <v>95.04</v>
      </c>
      <c r="AK170">
        <v>156.4</v>
      </c>
      <c r="AL170">
        <v>147.5</v>
      </c>
      <c r="AM170">
        <v>5.7</v>
      </c>
      <c r="AN170">
        <v>904</v>
      </c>
      <c r="AO170">
        <v>3.9820000000000002</v>
      </c>
      <c r="AP170" s="3">
        <v>0.83608796296296306</v>
      </c>
      <c r="AQ170" s="1">
        <v>45133</v>
      </c>
      <c r="AR170">
        <v>-0.09</v>
      </c>
      <c r="AS170">
        <v>3.0000000000000001E-3</v>
      </c>
      <c r="AT170">
        <v>4.0000000000000001E-3</v>
      </c>
      <c r="AU170">
        <v>-9999</v>
      </c>
      <c r="AV170">
        <v>0.64700000000000002</v>
      </c>
      <c r="AW170">
        <v>1.5529999999999999</v>
      </c>
      <c r="AX170">
        <v>-9999</v>
      </c>
      <c r="AY170">
        <v>1</v>
      </c>
      <c r="AZ170">
        <v>150</v>
      </c>
      <c r="BA170">
        <v>5.0000000000000001E-3</v>
      </c>
      <c r="BB170">
        <v>2</v>
      </c>
      <c r="BC170">
        <v>0</v>
      </c>
      <c r="BD170" t="s">
        <v>200</v>
      </c>
      <c r="BE170">
        <v>7000</v>
      </c>
      <c r="BF170">
        <v>500</v>
      </c>
      <c r="BG170">
        <v>5</v>
      </c>
      <c r="BH170">
        <v>2</v>
      </c>
      <c r="BI170">
        <v>300</v>
      </c>
      <c r="BJ170">
        <v>300</v>
      </c>
      <c r="BK170">
        <v>300</v>
      </c>
      <c r="BL170">
        <v>279.75619499999999</v>
      </c>
      <c r="BM170">
        <v>25</v>
      </c>
      <c r="BN170">
        <v>-12.117379</v>
      </c>
      <c r="BO170">
        <v>279.64926100000002</v>
      </c>
      <c r="BP170">
        <v>279.98440599999998</v>
      </c>
      <c r="BQ170">
        <v>-0.335144</v>
      </c>
      <c r="BR170">
        <v>2.41215</v>
      </c>
      <c r="BS170">
        <v>2.4826350000000001</v>
      </c>
      <c r="BT170">
        <v>1.588519</v>
      </c>
      <c r="BU170">
        <v>0.97081899999999999</v>
      </c>
      <c r="BV170">
        <v>0.204406</v>
      </c>
      <c r="BW170">
        <v>-9.8630000000000002E-3</v>
      </c>
      <c r="BX170">
        <v>0.19686999999999999</v>
      </c>
      <c r="BY170">
        <v>0.90908</v>
      </c>
      <c r="BZ170">
        <v>123.577591</v>
      </c>
      <c r="CA170">
        <v>3.57E-4</v>
      </c>
      <c r="CB170">
        <v>2.3486280000000002</v>
      </c>
      <c r="CC170">
        <v>-5.1E-5</v>
      </c>
      <c r="CD170">
        <v>1</v>
      </c>
      <c r="CE170">
        <v>2.4109430000000001</v>
      </c>
      <c r="CF170">
        <v>-5.7000000000000003E-5</v>
      </c>
      <c r="CG170">
        <v>1</v>
      </c>
      <c r="CH170">
        <v>0.60051900000000002</v>
      </c>
      <c r="CI170">
        <v>0.60216099999999995</v>
      </c>
      <c r="CJ170">
        <v>0.107265</v>
      </c>
      <c r="CK170">
        <v>0</v>
      </c>
      <c r="CL170" t="s">
        <v>431</v>
      </c>
      <c r="CM170" t="s">
        <v>201</v>
      </c>
      <c r="CN170" t="s">
        <v>202</v>
      </c>
      <c r="CO170" t="s">
        <v>203</v>
      </c>
      <c r="CP170" t="s">
        <v>204</v>
      </c>
      <c r="CQ170" t="s">
        <v>205</v>
      </c>
      <c r="CR170" t="s">
        <v>206</v>
      </c>
    </row>
    <row r="171" spans="1:96">
      <c r="A171">
        <v>3</v>
      </c>
      <c r="B171" s="3">
        <v>0.83677083333333335</v>
      </c>
      <c r="C171" s="1">
        <v>45133</v>
      </c>
      <c r="D171" t="s">
        <v>196</v>
      </c>
      <c r="E171" t="s">
        <v>197</v>
      </c>
      <c r="G171">
        <v>3</v>
      </c>
      <c r="J171">
        <v>0.19787199999999999</v>
      </c>
      <c r="K171">
        <v>2.9209450000000001</v>
      </c>
      <c r="L171">
        <v>0.18531800000000001</v>
      </c>
      <c r="M171">
        <v>5.0982079999999996</v>
      </c>
      <c r="N171">
        <v>2.2466849999999998</v>
      </c>
      <c r="O171">
        <v>2.113213</v>
      </c>
      <c r="P171">
        <v>4.7651880000000002</v>
      </c>
      <c r="Q171">
        <v>2.5185019999999998</v>
      </c>
      <c r="R171">
        <v>22.232059</v>
      </c>
      <c r="S171">
        <v>23.636257000000001</v>
      </c>
      <c r="T171">
        <v>50.132168</v>
      </c>
      <c r="U171">
        <v>0.44178600000000001</v>
      </c>
      <c r="V171" t="s">
        <v>432</v>
      </c>
      <c r="W171">
        <v>0</v>
      </c>
      <c r="X171">
        <v>0</v>
      </c>
      <c r="Y171">
        <v>0</v>
      </c>
      <c r="Z171">
        <v>136.94215399999999</v>
      </c>
      <c r="AA171">
        <v>319.77926600000001</v>
      </c>
      <c r="AB171">
        <v>0.57176000000000005</v>
      </c>
      <c r="AC171">
        <v>0.5</v>
      </c>
      <c r="AD171">
        <v>0.8</v>
      </c>
      <c r="AE171">
        <v>173.80754099999999</v>
      </c>
      <c r="AF171">
        <v>46.4</v>
      </c>
      <c r="AG171">
        <v>43.64</v>
      </c>
      <c r="AH171">
        <v>32.25</v>
      </c>
      <c r="AI171">
        <v>31.96</v>
      </c>
      <c r="AJ171">
        <v>95.05</v>
      </c>
      <c r="AK171">
        <v>156.6</v>
      </c>
      <c r="AL171">
        <v>147.5</v>
      </c>
      <c r="AM171">
        <v>5.8</v>
      </c>
      <c r="AN171">
        <v>760</v>
      </c>
      <c r="AO171">
        <v>3.9820000000000002</v>
      </c>
      <c r="AP171" s="3">
        <v>0.83608796296296306</v>
      </c>
      <c r="AQ171" s="1">
        <v>45133</v>
      </c>
      <c r="AR171">
        <v>-0.09</v>
      </c>
      <c r="AS171">
        <v>0</v>
      </c>
      <c r="AT171">
        <v>-1E-3</v>
      </c>
      <c r="AU171">
        <v>-9999</v>
      </c>
      <c r="AV171">
        <v>1.8560000000000001</v>
      </c>
      <c r="AW171">
        <v>1.6220000000000001</v>
      </c>
      <c r="AX171">
        <v>-9999</v>
      </c>
      <c r="AY171">
        <v>1</v>
      </c>
      <c r="AZ171">
        <v>150</v>
      </c>
      <c r="BA171">
        <v>5.0000000000000001E-3</v>
      </c>
      <c r="BB171">
        <v>2</v>
      </c>
      <c r="BC171">
        <v>0</v>
      </c>
      <c r="BD171" t="s">
        <v>200</v>
      </c>
      <c r="BE171">
        <v>7000</v>
      </c>
      <c r="BF171">
        <v>500</v>
      </c>
      <c r="BG171">
        <v>5</v>
      </c>
      <c r="BH171">
        <v>2</v>
      </c>
      <c r="BI171">
        <v>300</v>
      </c>
      <c r="BJ171">
        <v>300</v>
      </c>
      <c r="BK171">
        <v>300</v>
      </c>
      <c r="BL171">
        <v>298.12252799999999</v>
      </c>
      <c r="BM171">
        <v>25</v>
      </c>
      <c r="BN171">
        <v>-15.346749000000001</v>
      </c>
      <c r="BO171">
        <v>294.94644199999999</v>
      </c>
      <c r="BP171">
        <v>297.76730300000003</v>
      </c>
      <c r="BQ171">
        <v>-2.820862</v>
      </c>
      <c r="BR171">
        <v>2.4124639999999999</v>
      </c>
      <c r="BS171">
        <v>2.4833759999999998</v>
      </c>
      <c r="BT171">
        <v>1.5900049999999999</v>
      </c>
      <c r="BU171">
        <v>0.97088799999999997</v>
      </c>
      <c r="BV171">
        <v>0.20474899999999999</v>
      </c>
      <c r="BW171">
        <v>-3.8869999999999998E-3</v>
      </c>
      <c r="BX171">
        <v>0.201513</v>
      </c>
      <c r="BY171">
        <v>0.78126399999999996</v>
      </c>
      <c r="BZ171">
        <v>136.94215399999999</v>
      </c>
      <c r="CA171">
        <v>3.4499999999999998E-4</v>
      </c>
      <c r="CB171">
        <v>2.3486280000000002</v>
      </c>
      <c r="CC171">
        <v>-5.1E-5</v>
      </c>
      <c r="CD171">
        <v>1</v>
      </c>
      <c r="CE171">
        <v>2.4109430000000001</v>
      </c>
      <c r="CF171">
        <v>-5.7000000000000003E-5</v>
      </c>
      <c r="CG171">
        <v>1</v>
      </c>
      <c r="CH171">
        <v>0.60051900000000002</v>
      </c>
      <c r="CI171">
        <v>0.60216099999999995</v>
      </c>
      <c r="CJ171">
        <v>0.107265</v>
      </c>
      <c r="CK171">
        <v>0</v>
      </c>
      <c r="CL171" t="s">
        <v>432</v>
      </c>
      <c r="CM171" t="s">
        <v>201</v>
      </c>
      <c r="CN171" t="s">
        <v>202</v>
      </c>
      <c r="CO171" t="s">
        <v>203</v>
      </c>
      <c r="CP171" t="s">
        <v>204</v>
      </c>
      <c r="CQ171" t="s">
        <v>205</v>
      </c>
      <c r="CR171" t="s">
        <v>206</v>
      </c>
    </row>
    <row r="172" spans="1:96">
      <c r="A172">
        <v>4</v>
      </c>
      <c r="B172" s="3">
        <v>0.83689814814814811</v>
      </c>
      <c r="C172" s="1">
        <v>45133</v>
      </c>
      <c r="D172" t="s">
        <v>196</v>
      </c>
      <c r="E172" t="s">
        <v>197</v>
      </c>
      <c r="G172">
        <v>4</v>
      </c>
      <c r="J172">
        <v>0.203009</v>
      </c>
      <c r="K172">
        <v>2.9189319999999999</v>
      </c>
      <c r="L172">
        <v>0.189808</v>
      </c>
      <c r="M172">
        <v>4.2278000000000002</v>
      </c>
      <c r="N172">
        <v>2.2321309999999999</v>
      </c>
      <c r="O172">
        <v>2.1212499999999999</v>
      </c>
      <c r="P172">
        <v>4.276885</v>
      </c>
      <c r="Q172">
        <v>2.0447540000000002</v>
      </c>
      <c r="R172">
        <v>22.316262999999999</v>
      </c>
      <c r="S172">
        <v>23.482761</v>
      </c>
      <c r="T172">
        <v>44.994262999999997</v>
      </c>
      <c r="U172">
        <v>0.44178600000000001</v>
      </c>
      <c r="V172" t="s">
        <v>433</v>
      </c>
      <c r="W172">
        <v>0</v>
      </c>
      <c r="X172">
        <v>0</v>
      </c>
      <c r="Y172">
        <v>0</v>
      </c>
      <c r="Z172">
        <v>83.992835999999997</v>
      </c>
      <c r="AA172">
        <v>273.16171300000002</v>
      </c>
      <c r="AB172">
        <v>0.69251600000000002</v>
      </c>
      <c r="AC172">
        <v>0.5</v>
      </c>
      <c r="AD172">
        <v>0.8</v>
      </c>
      <c r="AE172">
        <v>236.03561400000001</v>
      </c>
      <c r="AF172">
        <v>46.13</v>
      </c>
      <c r="AG172">
        <v>43.84</v>
      </c>
      <c r="AH172">
        <v>32.229999999999997</v>
      </c>
      <c r="AI172">
        <v>30.07</v>
      </c>
      <c r="AJ172">
        <v>95.05</v>
      </c>
      <c r="AK172">
        <v>156.4</v>
      </c>
      <c r="AL172">
        <v>147.30000000000001</v>
      </c>
      <c r="AM172">
        <v>5.8</v>
      </c>
      <c r="AN172">
        <v>852</v>
      </c>
      <c r="AO172">
        <v>3.9809999999999999</v>
      </c>
      <c r="AP172" s="3">
        <v>0.83608796296296306</v>
      </c>
      <c r="AQ172" s="1">
        <v>45133</v>
      </c>
      <c r="AR172">
        <v>-0.09</v>
      </c>
      <c r="AS172">
        <v>-1E-3</v>
      </c>
      <c r="AT172">
        <v>2E-3</v>
      </c>
      <c r="AU172">
        <v>2.1000000000000001E-2</v>
      </c>
      <c r="AV172">
        <v>0.17499999999999999</v>
      </c>
      <c r="AW172">
        <v>-0.27</v>
      </c>
      <c r="AX172">
        <v>-2.1920000000000002</v>
      </c>
      <c r="AY172">
        <v>1</v>
      </c>
      <c r="AZ172">
        <v>150</v>
      </c>
      <c r="BA172">
        <v>5.0000000000000001E-3</v>
      </c>
      <c r="BB172">
        <v>2</v>
      </c>
      <c r="BC172">
        <v>0</v>
      </c>
      <c r="BD172" t="s">
        <v>200</v>
      </c>
      <c r="BE172">
        <v>7000</v>
      </c>
      <c r="BF172">
        <v>500</v>
      </c>
      <c r="BG172">
        <v>5</v>
      </c>
      <c r="BH172">
        <v>2</v>
      </c>
      <c r="BI172">
        <v>300</v>
      </c>
      <c r="BJ172">
        <v>300</v>
      </c>
      <c r="BK172">
        <v>300</v>
      </c>
      <c r="BL172">
        <v>258.55242900000002</v>
      </c>
      <c r="BM172">
        <v>25</v>
      </c>
      <c r="BN172">
        <v>-9.9469670000000008</v>
      </c>
      <c r="BO172">
        <v>261.60836799999998</v>
      </c>
      <c r="BP172">
        <v>258.89471400000002</v>
      </c>
      <c r="BQ172">
        <v>2.713654</v>
      </c>
      <c r="BR172">
        <v>2.412722</v>
      </c>
      <c r="BS172">
        <v>2.4830190000000001</v>
      </c>
      <c r="BT172">
        <v>1.588055</v>
      </c>
      <c r="BU172">
        <v>0.97021000000000002</v>
      </c>
      <c r="BV172">
        <v>0.20485999999999999</v>
      </c>
      <c r="BW172">
        <v>-2.7636999999999998E-2</v>
      </c>
      <c r="BX172">
        <v>0.20288600000000001</v>
      </c>
      <c r="BY172">
        <v>0.86297000000000001</v>
      </c>
      <c r="BZ172">
        <v>83.992835999999997</v>
      </c>
      <c r="CA172">
        <v>3.5500000000000001E-4</v>
      </c>
      <c r="CB172">
        <v>2.3486280000000002</v>
      </c>
      <c r="CC172">
        <v>-5.1E-5</v>
      </c>
      <c r="CD172">
        <v>1</v>
      </c>
      <c r="CE172">
        <v>2.4109430000000001</v>
      </c>
      <c r="CF172">
        <v>-5.7000000000000003E-5</v>
      </c>
      <c r="CG172">
        <v>1</v>
      </c>
      <c r="CH172">
        <v>0.60051900000000002</v>
      </c>
      <c r="CI172">
        <v>0.60216099999999995</v>
      </c>
      <c r="CJ172">
        <v>0.107265</v>
      </c>
      <c r="CK172">
        <v>0</v>
      </c>
      <c r="CL172" t="s">
        <v>433</v>
      </c>
      <c r="CM172" t="s">
        <v>201</v>
      </c>
      <c r="CN172" t="s">
        <v>202</v>
      </c>
      <c r="CO172" t="s">
        <v>203</v>
      </c>
      <c r="CP172" t="s">
        <v>204</v>
      </c>
      <c r="CQ172" t="s">
        <v>205</v>
      </c>
      <c r="CR172" t="s">
        <v>206</v>
      </c>
    </row>
    <row r="173" spans="1:96">
      <c r="A173">
        <v>5</v>
      </c>
      <c r="B173" s="3">
        <v>0.83703703703703702</v>
      </c>
      <c r="C173" s="1">
        <v>45133</v>
      </c>
      <c r="D173" t="s">
        <v>196</v>
      </c>
      <c r="E173" t="s">
        <v>197</v>
      </c>
      <c r="G173">
        <v>5</v>
      </c>
      <c r="J173">
        <v>0.20629</v>
      </c>
      <c r="K173">
        <v>2.917195</v>
      </c>
      <c r="L173">
        <v>0.192665</v>
      </c>
      <c r="M173">
        <v>4.4885760000000001</v>
      </c>
      <c r="N173">
        <v>2.2364109999999999</v>
      </c>
      <c r="O173">
        <v>2.1185330000000002</v>
      </c>
      <c r="P173">
        <v>4.3739540000000003</v>
      </c>
      <c r="Q173">
        <v>2.1375419999999998</v>
      </c>
      <c r="R173">
        <v>22.287213999999999</v>
      </c>
      <c r="S173">
        <v>23.527304000000001</v>
      </c>
      <c r="T173">
        <v>46.014496000000001</v>
      </c>
      <c r="U173">
        <v>0.44178600000000001</v>
      </c>
      <c r="V173" t="s">
        <v>434</v>
      </c>
      <c r="W173">
        <v>0</v>
      </c>
      <c r="X173">
        <v>0</v>
      </c>
      <c r="Y173">
        <v>0</v>
      </c>
      <c r="Z173">
        <v>104.577545</v>
      </c>
      <c r="AA173">
        <v>296.907104</v>
      </c>
      <c r="AB173">
        <v>0.64777700000000005</v>
      </c>
      <c r="AC173">
        <v>0.5</v>
      </c>
      <c r="AD173">
        <v>0.8</v>
      </c>
      <c r="AE173">
        <v>241.233521</v>
      </c>
      <c r="AF173">
        <v>46.28</v>
      </c>
      <c r="AG173">
        <v>43.84</v>
      </c>
      <c r="AH173">
        <v>32.21</v>
      </c>
      <c r="AI173">
        <v>30.46</v>
      </c>
      <c r="AJ173">
        <v>95.06</v>
      </c>
      <c r="AK173">
        <v>156.1</v>
      </c>
      <c r="AL173">
        <v>147.30000000000001</v>
      </c>
      <c r="AM173">
        <v>5.7</v>
      </c>
      <c r="AN173">
        <v>931</v>
      </c>
      <c r="AO173">
        <v>3.9809999999999999</v>
      </c>
      <c r="AP173" s="3">
        <v>0.83608796296296306</v>
      </c>
      <c r="AQ173" s="1">
        <v>45133</v>
      </c>
      <c r="AR173">
        <v>-0.09</v>
      </c>
      <c r="AS173">
        <v>2E-3</v>
      </c>
      <c r="AT173">
        <v>4.0000000000000001E-3</v>
      </c>
      <c r="AU173">
        <v>1.4E-2</v>
      </c>
      <c r="AV173">
        <v>0.77100000000000002</v>
      </c>
      <c r="AW173">
        <v>4.4509999999999996</v>
      </c>
      <c r="AX173">
        <v>-10.879</v>
      </c>
      <c r="AY173">
        <v>1</v>
      </c>
      <c r="AZ173">
        <v>150</v>
      </c>
      <c r="BA173">
        <v>5.0000000000000001E-3</v>
      </c>
      <c r="BB173">
        <v>2</v>
      </c>
      <c r="BC173">
        <v>0</v>
      </c>
      <c r="BD173" t="s">
        <v>200</v>
      </c>
      <c r="BE173">
        <v>7000</v>
      </c>
      <c r="BF173">
        <v>500</v>
      </c>
      <c r="BG173">
        <v>5</v>
      </c>
      <c r="BH173">
        <v>2</v>
      </c>
      <c r="BI173">
        <v>300</v>
      </c>
      <c r="BJ173">
        <v>300</v>
      </c>
      <c r="BK173">
        <v>300</v>
      </c>
      <c r="BL173">
        <v>278.55276500000002</v>
      </c>
      <c r="BM173">
        <v>25</v>
      </c>
      <c r="BN173">
        <v>-12.723791</v>
      </c>
      <c r="BO173">
        <v>280.51971400000002</v>
      </c>
      <c r="BP173">
        <v>278.65728799999999</v>
      </c>
      <c r="BQ173">
        <v>1.8624270000000001</v>
      </c>
      <c r="BR173">
        <v>2.4127179999999999</v>
      </c>
      <c r="BS173">
        <v>2.4832160000000001</v>
      </c>
      <c r="BT173">
        <v>1.586379</v>
      </c>
      <c r="BU173">
        <v>0.97023199999999998</v>
      </c>
      <c r="BV173">
        <v>0.20502300000000001</v>
      </c>
      <c r="BW173">
        <v>-2.2478000000000001E-2</v>
      </c>
      <c r="BX173">
        <v>0.204454</v>
      </c>
      <c r="BY173">
        <v>0.93295499999999998</v>
      </c>
      <c r="BZ173">
        <v>104.577545</v>
      </c>
      <c r="CA173">
        <v>3.5300000000000002E-4</v>
      </c>
      <c r="CB173">
        <v>2.3486280000000002</v>
      </c>
      <c r="CC173">
        <v>-5.1E-5</v>
      </c>
      <c r="CD173">
        <v>1</v>
      </c>
      <c r="CE173">
        <v>2.4109430000000001</v>
      </c>
      <c r="CF173">
        <v>-5.7000000000000003E-5</v>
      </c>
      <c r="CG173">
        <v>1</v>
      </c>
      <c r="CH173">
        <v>0.60051900000000002</v>
      </c>
      <c r="CI173">
        <v>0.60216099999999995</v>
      </c>
      <c r="CJ173">
        <v>0.107265</v>
      </c>
      <c r="CK173">
        <v>0</v>
      </c>
      <c r="CL173" t="s">
        <v>434</v>
      </c>
      <c r="CM173" t="s">
        <v>201</v>
      </c>
      <c r="CN173" t="s">
        <v>202</v>
      </c>
      <c r="CO173" t="s">
        <v>203</v>
      </c>
      <c r="CP173" t="s">
        <v>204</v>
      </c>
      <c r="CQ173" t="s">
        <v>205</v>
      </c>
      <c r="CR173" t="s">
        <v>206</v>
      </c>
    </row>
    <row r="174" spans="1:96">
      <c r="A174">
        <v>1</v>
      </c>
      <c r="B174" s="3">
        <v>0.84016203703703696</v>
      </c>
      <c r="C174" s="1">
        <v>45133</v>
      </c>
      <c r="D174" t="s">
        <v>196</v>
      </c>
      <c r="E174" t="s">
        <v>197</v>
      </c>
      <c r="G174">
        <v>1</v>
      </c>
      <c r="J174">
        <v>6.2715000000000007E-2</v>
      </c>
      <c r="K174">
        <v>2.918317</v>
      </c>
      <c r="L174">
        <v>6.1395999999999999E-2</v>
      </c>
      <c r="M174">
        <v>1.5870230000000001</v>
      </c>
      <c r="N174">
        <v>2.1509140000000002</v>
      </c>
      <c r="O174">
        <v>2.1092330000000001</v>
      </c>
      <c r="P174">
        <v>4.5218780000000001</v>
      </c>
      <c r="Q174">
        <v>2.3709639999999998</v>
      </c>
      <c r="R174">
        <v>22.188552999999999</v>
      </c>
      <c r="S174">
        <v>22.627027999999999</v>
      </c>
      <c r="T174">
        <v>47.568919999999999</v>
      </c>
      <c r="U174">
        <v>0.44178600000000001</v>
      </c>
      <c r="V174" t="s">
        <v>435</v>
      </c>
      <c r="W174">
        <v>0</v>
      </c>
      <c r="X174">
        <v>0</v>
      </c>
      <c r="Y174">
        <v>0</v>
      </c>
      <c r="Z174">
        <v>96.658942999999994</v>
      </c>
      <c r="AA174">
        <v>261.83746300000001</v>
      </c>
      <c r="AB174">
        <v>0.63084399999999996</v>
      </c>
      <c r="AC174">
        <v>0.5</v>
      </c>
      <c r="AD174">
        <v>0.8</v>
      </c>
      <c r="AE174">
        <v>181.43017599999999</v>
      </c>
      <c r="AF174">
        <v>45.16</v>
      </c>
      <c r="AG174">
        <v>44.29</v>
      </c>
      <c r="AH174">
        <v>31.95</v>
      </c>
      <c r="AI174">
        <v>31.04</v>
      </c>
      <c r="AJ174">
        <v>95.06</v>
      </c>
      <c r="AK174">
        <v>156.30000000000001</v>
      </c>
      <c r="AL174">
        <v>147.19999999999999</v>
      </c>
      <c r="AM174">
        <v>5.8</v>
      </c>
      <c r="AN174">
        <v>719</v>
      </c>
      <c r="AO174">
        <v>3.9820000000000002</v>
      </c>
      <c r="AP174" s="3">
        <v>0.84008101851851846</v>
      </c>
      <c r="AQ174" s="1">
        <v>45133</v>
      </c>
      <c r="AR174">
        <v>-0.1</v>
      </c>
      <c r="AS174">
        <v>1E-3</v>
      </c>
      <c r="AT174">
        <v>2E-3</v>
      </c>
      <c r="AU174">
        <v>-9999</v>
      </c>
      <c r="AV174">
        <v>0.68799999999999994</v>
      </c>
      <c r="AW174">
        <v>-0.19600000000000001</v>
      </c>
      <c r="AX174">
        <v>-9999</v>
      </c>
      <c r="AY174">
        <v>1</v>
      </c>
      <c r="AZ174">
        <v>150</v>
      </c>
      <c r="BA174">
        <v>5.0000000000000001E-3</v>
      </c>
      <c r="BB174">
        <v>2</v>
      </c>
      <c r="BC174">
        <v>0</v>
      </c>
      <c r="BD174" t="s">
        <v>200</v>
      </c>
      <c r="BE174">
        <v>7000</v>
      </c>
      <c r="BF174">
        <v>500</v>
      </c>
      <c r="BG174">
        <v>5</v>
      </c>
      <c r="BH174">
        <v>2</v>
      </c>
      <c r="BI174">
        <v>300</v>
      </c>
      <c r="BJ174">
        <v>300</v>
      </c>
      <c r="BK174">
        <v>300</v>
      </c>
      <c r="BL174">
        <v>243.904358</v>
      </c>
      <c r="BM174">
        <v>25</v>
      </c>
      <c r="BN174">
        <v>-12.716551000000001</v>
      </c>
      <c r="BO174">
        <v>242.47241199999999</v>
      </c>
      <c r="BP174">
        <v>243.59802199999999</v>
      </c>
      <c r="BQ174">
        <v>-1.12561</v>
      </c>
      <c r="BR174">
        <v>2.4133490000000002</v>
      </c>
      <c r="BS174">
        <v>2.4817849999999999</v>
      </c>
      <c r="BT174">
        <v>1.5874600000000001</v>
      </c>
      <c r="BU174">
        <v>0.96982800000000002</v>
      </c>
      <c r="BV174">
        <v>0.207119</v>
      </c>
      <c r="BW174">
        <v>-1.1839000000000001E-2</v>
      </c>
      <c r="BX174">
        <v>0.20354800000000001</v>
      </c>
      <c r="BY174">
        <v>0.74492999999999998</v>
      </c>
      <c r="BZ174">
        <v>96.658942999999994</v>
      </c>
      <c r="CA174">
        <v>3.48E-4</v>
      </c>
      <c r="CB174">
        <v>2.3486280000000002</v>
      </c>
      <c r="CC174">
        <v>-5.1E-5</v>
      </c>
      <c r="CD174">
        <v>1</v>
      </c>
      <c r="CE174">
        <v>2.4109430000000001</v>
      </c>
      <c r="CF174">
        <v>-5.7000000000000003E-5</v>
      </c>
      <c r="CG174">
        <v>1</v>
      </c>
      <c r="CH174">
        <v>0.60051900000000002</v>
      </c>
      <c r="CI174">
        <v>0.60216099999999995</v>
      </c>
      <c r="CJ174">
        <v>0.107265</v>
      </c>
      <c r="CK174">
        <v>0</v>
      </c>
      <c r="CL174" t="s">
        <v>435</v>
      </c>
      <c r="CM174" t="s">
        <v>201</v>
      </c>
      <c r="CN174" t="s">
        <v>202</v>
      </c>
      <c r="CO174" t="s">
        <v>203</v>
      </c>
      <c r="CP174" t="s">
        <v>204</v>
      </c>
      <c r="CQ174" t="s">
        <v>205</v>
      </c>
      <c r="CR174" t="s">
        <v>206</v>
      </c>
    </row>
    <row r="175" spans="1:96">
      <c r="A175">
        <v>2</v>
      </c>
      <c r="B175" s="3">
        <v>0.84027777777777779</v>
      </c>
      <c r="C175" s="1">
        <v>45133</v>
      </c>
      <c r="D175" t="s">
        <v>196</v>
      </c>
      <c r="E175" t="s">
        <v>197</v>
      </c>
      <c r="G175">
        <v>2</v>
      </c>
      <c r="J175">
        <v>7.8450000000000006E-2</v>
      </c>
      <c r="K175">
        <v>2.9196080000000002</v>
      </c>
      <c r="L175">
        <v>7.6397000000000007E-2</v>
      </c>
      <c r="M175">
        <v>1.9574260000000001</v>
      </c>
      <c r="N175">
        <v>2.1549450000000001</v>
      </c>
      <c r="O175">
        <v>2.1035900000000001</v>
      </c>
      <c r="P175">
        <v>4.5052599999999998</v>
      </c>
      <c r="Q175">
        <v>2.350314</v>
      </c>
      <c r="R175">
        <v>22.128782000000001</v>
      </c>
      <c r="S175">
        <v>22.669021999999998</v>
      </c>
      <c r="T175">
        <v>47.393230000000003</v>
      </c>
      <c r="U175">
        <v>0.44178600000000001</v>
      </c>
      <c r="V175" t="s">
        <v>436</v>
      </c>
      <c r="W175">
        <v>0</v>
      </c>
      <c r="X175">
        <v>0</v>
      </c>
      <c r="Y175">
        <v>0</v>
      </c>
      <c r="Z175">
        <v>113.65091700000001</v>
      </c>
      <c r="AA175">
        <v>305.83575400000001</v>
      </c>
      <c r="AB175">
        <v>0.62839199999999995</v>
      </c>
      <c r="AC175">
        <v>0.5</v>
      </c>
      <c r="AD175">
        <v>0.8</v>
      </c>
      <c r="AE175">
        <v>178.70356799999999</v>
      </c>
      <c r="AF175">
        <v>45.23</v>
      </c>
      <c r="AG175">
        <v>44.16</v>
      </c>
      <c r="AH175">
        <v>31.96</v>
      </c>
      <c r="AI175">
        <v>30.98</v>
      </c>
      <c r="AJ175">
        <v>95.06</v>
      </c>
      <c r="AK175">
        <v>156.4</v>
      </c>
      <c r="AL175">
        <v>147.30000000000001</v>
      </c>
      <c r="AM175">
        <v>5.8</v>
      </c>
      <c r="AN175">
        <v>711</v>
      </c>
      <c r="AO175">
        <v>3.9809999999999999</v>
      </c>
      <c r="AP175" s="3">
        <v>0.84008101851851846</v>
      </c>
      <c r="AQ175" s="1">
        <v>45133</v>
      </c>
      <c r="AR175">
        <v>-0.1</v>
      </c>
      <c r="AS175">
        <v>0</v>
      </c>
      <c r="AT175">
        <v>1E-3</v>
      </c>
      <c r="AU175">
        <v>-9999</v>
      </c>
      <c r="AV175">
        <v>0.27</v>
      </c>
      <c r="AW175">
        <v>1.7430000000000001</v>
      </c>
      <c r="AX175">
        <v>-9999</v>
      </c>
      <c r="AY175">
        <v>1</v>
      </c>
      <c r="AZ175">
        <v>150</v>
      </c>
      <c r="BA175">
        <v>5.0000000000000001E-3</v>
      </c>
      <c r="BB175">
        <v>2</v>
      </c>
      <c r="BC175">
        <v>0</v>
      </c>
      <c r="BD175" t="s">
        <v>200</v>
      </c>
      <c r="BE175">
        <v>7000</v>
      </c>
      <c r="BF175">
        <v>500</v>
      </c>
      <c r="BG175">
        <v>5</v>
      </c>
      <c r="BH175">
        <v>2</v>
      </c>
      <c r="BI175">
        <v>300</v>
      </c>
      <c r="BJ175">
        <v>300</v>
      </c>
      <c r="BK175">
        <v>300</v>
      </c>
      <c r="BL175">
        <v>285.98498499999999</v>
      </c>
      <c r="BM175">
        <v>25</v>
      </c>
      <c r="BN175">
        <v>-13.730254</v>
      </c>
      <c r="BO175">
        <v>286.00537100000003</v>
      </c>
      <c r="BP175">
        <v>286.14233400000001</v>
      </c>
      <c r="BQ175">
        <v>-0.136963</v>
      </c>
      <c r="BR175">
        <v>2.4131779999999998</v>
      </c>
      <c r="BS175">
        <v>2.4818769999999999</v>
      </c>
      <c r="BT175">
        <v>1.5887089999999999</v>
      </c>
      <c r="BU175">
        <v>0.97035700000000003</v>
      </c>
      <c r="BV175">
        <v>0.207069</v>
      </c>
      <c r="BW175">
        <v>-1.2733E-2</v>
      </c>
      <c r="BX175">
        <v>0.20485100000000001</v>
      </c>
      <c r="BY175">
        <v>0.73779700000000004</v>
      </c>
      <c r="BZ175">
        <v>113.65091700000001</v>
      </c>
      <c r="CA175">
        <v>3.4699999999999998E-4</v>
      </c>
      <c r="CB175">
        <v>2.3486280000000002</v>
      </c>
      <c r="CC175">
        <v>-5.1E-5</v>
      </c>
      <c r="CD175">
        <v>1</v>
      </c>
      <c r="CE175">
        <v>2.4109430000000001</v>
      </c>
      <c r="CF175">
        <v>-5.7000000000000003E-5</v>
      </c>
      <c r="CG175">
        <v>1</v>
      </c>
      <c r="CH175">
        <v>0.60051900000000002</v>
      </c>
      <c r="CI175">
        <v>0.60216099999999995</v>
      </c>
      <c r="CJ175">
        <v>0.107265</v>
      </c>
      <c r="CK175">
        <v>0</v>
      </c>
      <c r="CL175" t="s">
        <v>436</v>
      </c>
      <c r="CM175" t="s">
        <v>201</v>
      </c>
      <c r="CN175" t="s">
        <v>202</v>
      </c>
      <c r="CO175" t="s">
        <v>203</v>
      </c>
      <c r="CP175" t="s">
        <v>204</v>
      </c>
      <c r="CQ175" t="s">
        <v>205</v>
      </c>
      <c r="CR175" t="s">
        <v>206</v>
      </c>
    </row>
    <row r="176" spans="1:96">
      <c r="A176">
        <v>3</v>
      </c>
      <c r="B176" s="3">
        <v>0.84038194444444436</v>
      </c>
      <c r="C176" s="1">
        <v>45133</v>
      </c>
      <c r="D176" t="s">
        <v>196</v>
      </c>
      <c r="E176" t="s">
        <v>197</v>
      </c>
      <c r="G176">
        <v>3</v>
      </c>
      <c r="J176">
        <v>0.10770100000000001</v>
      </c>
      <c r="K176">
        <v>2.918104</v>
      </c>
      <c r="L176">
        <v>0.103868</v>
      </c>
      <c r="M176">
        <v>2.5173770000000002</v>
      </c>
      <c r="N176">
        <v>2.2161360000000001</v>
      </c>
      <c r="O176">
        <v>2.1500530000000002</v>
      </c>
      <c r="P176">
        <v>4.4394729999999996</v>
      </c>
      <c r="Q176">
        <v>2.2233369999999999</v>
      </c>
      <c r="R176">
        <v>22.617014000000001</v>
      </c>
      <c r="S176">
        <v>23.312162000000001</v>
      </c>
      <c r="T176">
        <v>46.700080999999997</v>
      </c>
      <c r="U176">
        <v>0.44178600000000001</v>
      </c>
      <c r="V176" t="s">
        <v>437</v>
      </c>
      <c r="W176">
        <v>0</v>
      </c>
      <c r="X176">
        <v>0</v>
      </c>
      <c r="Y176">
        <v>0</v>
      </c>
      <c r="Z176">
        <v>116.460083</v>
      </c>
      <c r="AA176">
        <v>315.72250400000001</v>
      </c>
      <c r="AB176">
        <v>0.63113200000000003</v>
      </c>
      <c r="AC176">
        <v>0.5</v>
      </c>
      <c r="AD176">
        <v>0.8</v>
      </c>
      <c r="AE176">
        <v>167.53767400000001</v>
      </c>
      <c r="AF176">
        <v>46.51</v>
      </c>
      <c r="AG176">
        <v>45.13</v>
      </c>
      <c r="AH176">
        <v>31.96</v>
      </c>
      <c r="AI176">
        <v>30.72</v>
      </c>
      <c r="AJ176">
        <v>95.06</v>
      </c>
      <c r="AK176">
        <v>156.30000000000001</v>
      </c>
      <c r="AL176">
        <v>147.30000000000001</v>
      </c>
      <c r="AM176">
        <v>5.7</v>
      </c>
      <c r="AN176">
        <v>664</v>
      </c>
      <c r="AO176">
        <v>3.98</v>
      </c>
      <c r="AP176" s="3">
        <v>0.84008101851851846</v>
      </c>
      <c r="AQ176" s="1">
        <v>45133</v>
      </c>
      <c r="AR176">
        <v>-0.1</v>
      </c>
      <c r="AS176">
        <v>1E-3</v>
      </c>
      <c r="AT176">
        <v>-2E-3</v>
      </c>
      <c r="AU176">
        <v>-9999</v>
      </c>
      <c r="AV176">
        <v>1.0660000000000001</v>
      </c>
      <c r="AW176">
        <v>1.629</v>
      </c>
      <c r="AX176">
        <v>-9999</v>
      </c>
      <c r="AY176">
        <v>1</v>
      </c>
      <c r="AZ176">
        <v>150</v>
      </c>
      <c r="BA176">
        <v>5.0000000000000001E-3</v>
      </c>
      <c r="BB176">
        <v>2</v>
      </c>
      <c r="BC176">
        <v>0</v>
      </c>
      <c r="BD176" t="s">
        <v>200</v>
      </c>
      <c r="BE176">
        <v>7000</v>
      </c>
      <c r="BF176">
        <v>500</v>
      </c>
      <c r="BG176">
        <v>5</v>
      </c>
      <c r="BH176">
        <v>2</v>
      </c>
      <c r="BI176">
        <v>300</v>
      </c>
      <c r="BJ176">
        <v>300</v>
      </c>
      <c r="BK176">
        <v>300</v>
      </c>
      <c r="BL176">
        <v>295.97283900000002</v>
      </c>
      <c r="BM176">
        <v>25</v>
      </c>
      <c r="BN176">
        <v>-13.675948</v>
      </c>
      <c r="BO176">
        <v>295.72747800000002</v>
      </c>
      <c r="BP176">
        <v>296.10699499999998</v>
      </c>
      <c r="BQ176">
        <v>-0.37951699999999999</v>
      </c>
      <c r="BR176">
        <v>2.414412</v>
      </c>
      <c r="BS176">
        <v>2.4836200000000002</v>
      </c>
      <c r="BT176">
        <v>1.5872539999999999</v>
      </c>
      <c r="BU176">
        <v>0.970194</v>
      </c>
      <c r="BV176">
        <v>0.20705799999999999</v>
      </c>
      <c r="BW176">
        <v>-1.5996E-2</v>
      </c>
      <c r="BX176">
        <v>0.20618500000000001</v>
      </c>
      <c r="BY176">
        <v>0.69583399999999995</v>
      </c>
      <c r="BZ176">
        <v>116.460083</v>
      </c>
      <c r="CA176">
        <v>3.5E-4</v>
      </c>
      <c r="CB176">
        <v>2.3486280000000002</v>
      </c>
      <c r="CC176">
        <v>-5.1E-5</v>
      </c>
      <c r="CD176">
        <v>1</v>
      </c>
      <c r="CE176">
        <v>2.4109430000000001</v>
      </c>
      <c r="CF176">
        <v>-5.7000000000000003E-5</v>
      </c>
      <c r="CG176">
        <v>1</v>
      </c>
      <c r="CH176">
        <v>0.60051900000000002</v>
      </c>
      <c r="CI176">
        <v>0.60216099999999995</v>
      </c>
      <c r="CJ176">
        <v>0.107265</v>
      </c>
      <c r="CK176">
        <v>0</v>
      </c>
      <c r="CL176" t="s">
        <v>437</v>
      </c>
      <c r="CM176" t="s">
        <v>201</v>
      </c>
      <c r="CN176" t="s">
        <v>202</v>
      </c>
      <c r="CO176" t="s">
        <v>203</v>
      </c>
      <c r="CP176" t="s">
        <v>204</v>
      </c>
      <c r="CQ176" t="s">
        <v>205</v>
      </c>
      <c r="CR176" t="s">
        <v>206</v>
      </c>
    </row>
    <row r="177" spans="1:96">
      <c r="A177">
        <v>4</v>
      </c>
      <c r="B177" s="3">
        <v>0.84049768518518519</v>
      </c>
      <c r="C177" s="1">
        <v>45133</v>
      </c>
      <c r="D177" t="s">
        <v>196</v>
      </c>
      <c r="E177" t="s">
        <v>197</v>
      </c>
      <c r="G177">
        <v>4</v>
      </c>
      <c r="J177">
        <v>2.9985000000000001E-2</v>
      </c>
      <c r="K177">
        <v>2.9173740000000001</v>
      </c>
      <c r="L177">
        <v>2.9680000000000002E-2</v>
      </c>
      <c r="M177">
        <v>0.73240499999999997</v>
      </c>
      <c r="N177">
        <v>2.1473939999999998</v>
      </c>
      <c r="O177">
        <v>2.1281430000000001</v>
      </c>
      <c r="P177">
        <v>4.4122680000000001</v>
      </c>
      <c r="Q177">
        <v>2.2648739999999998</v>
      </c>
      <c r="R177">
        <v>22.387305999999999</v>
      </c>
      <c r="S177">
        <v>22.589818999999999</v>
      </c>
      <c r="T177">
        <v>46.415484999999997</v>
      </c>
      <c r="U177">
        <v>0.44178600000000001</v>
      </c>
      <c r="V177" t="s">
        <v>438</v>
      </c>
      <c r="W177">
        <v>0</v>
      </c>
      <c r="X177">
        <v>0</v>
      </c>
      <c r="Y177">
        <v>0</v>
      </c>
      <c r="Z177">
        <v>89.567902000000004</v>
      </c>
      <c r="AA177">
        <v>300.98391700000002</v>
      </c>
      <c r="AB177">
        <v>0.70241600000000004</v>
      </c>
      <c r="AC177">
        <v>0.5</v>
      </c>
      <c r="AD177">
        <v>0.8</v>
      </c>
      <c r="AE177">
        <v>208.04023699999999</v>
      </c>
      <c r="AF177">
        <v>45.09</v>
      </c>
      <c r="AG177">
        <v>44.68</v>
      </c>
      <c r="AH177">
        <v>31.95</v>
      </c>
      <c r="AI177">
        <v>30.61</v>
      </c>
      <c r="AJ177">
        <v>95.06</v>
      </c>
      <c r="AK177">
        <v>156.19999999999999</v>
      </c>
      <c r="AL177">
        <v>147.30000000000001</v>
      </c>
      <c r="AM177">
        <v>5.7</v>
      </c>
      <c r="AN177">
        <v>740</v>
      </c>
      <c r="AO177">
        <v>3.98</v>
      </c>
      <c r="AP177" s="3">
        <v>0.84008101851851846</v>
      </c>
      <c r="AQ177" s="1">
        <v>45133</v>
      </c>
      <c r="AR177">
        <v>-0.1</v>
      </c>
      <c r="AS177">
        <v>1E-3</v>
      </c>
      <c r="AT177">
        <v>3.0000000000000001E-3</v>
      </c>
      <c r="AU177">
        <v>-9999</v>
      </c>
      <c r="AV177">
        <v>3.5659999999999998</v>
      </c>
      <c r="AW177">
        <v>-0.70099999999999996</v>
      </c>
      <c r="AX177">
        <v>-9999</v>
      </c>
      <c r="AY177">
        <v>1</v>
      </c>
      <c r="AZ177">
        <v>150</v>
      </c>
      <c r="BA177">
        <v>5.0000000000000001E-3</v>
      </c>
      <c r="BB177">
        <v>2</v>
      </c>
      <c r="BC177">
        <v>0</v>
      </c>
      <c r="BD177" t="s">
        <v>200</v>
      </c>
      <c r="BE177">
        <v>7000</v>
      </c>
      <c r="BF177">
        <v>500</v>
      </c>
      <c r="BG177">
        <v>5</v>
      </c>
      <c r="BH177">
        <v>2</v>
      </c>
      <c r="BI177">
        <v>300</v>
      </c>
      <c r="BJ177">
        <v>300</v>
      </c>
      <c r="BK177">
        <v>300</v>
      </c>
      <c r="BL177">
        <v>277.94409200000001</v>
      </c>
      <c r="BM177">
        <v>25</v>
      </c>
      <c r="BN177">
        <v>-17.265544999999999</v>
      </c>
      <c r="BO177">
        <v>276.37802099999999</v>
      </c>
      <c r="BP177">
        <v>276.21981799999998</v>
      </c>
      <c r="BQ177">
        <v>0.15820300000000001</v>
      </c>
      <c r="BR177">
        <v>2.4138500000000001</v>
      </c>
      <c r="BS177">
        <v>2.4816799999999999</v>
      </c>
      <c r="BT177">
        <v>1.586551</v>
      </c>
      <c r="BU177">
        <v>0.97019</v>
      </c>
      <c r="BV177">
        <v>0.20710899999999999</v>
      </c>
      <c r="BW177">
        <v>-1.7267999999999999E-2</v>
      </c>
      <c r="BX177">
        <v>0.20741200000000001</v>
      </c>
      <c r="BY177">
        <v>0.76395100000000005</v>
      </c>
      <c r="BZ177">
        <v>89.567902000000004</v>
      </c>
      <c r="CA177">
        <v>3.4900000000000003E-4</v>
      </c>
      <c r="CB177">
        <v>2.3486280000000002</v>
      </c>
      <c r="CC177">
        <v>-5.1E-5</v>
      </c>
      <c r="CD177">
        <v>1</v>
      </c>
      <c r="CE177">
        <v>2.4109430000000001</v>
      </c>
      <c r="CF177">
        <v>-5.7000000000000003E-5</v>
      </c>
      <c r="CG177">
        <v>1</v>
      </c>
      <c r="CH177">
        <v>0.60051900000000002</v>
      </c>
      <c r="CI177">
        <v>0.60216099999999995</v>
      </c>
      <c r="CJ177">
        <v>0.107265</v>
      </c>
      <c r="CK177">
        <v>0</v>
      </c>
      <c r="CL177" t="s">
        <v>438</v>
      </c>
      <c r="CM177" t="s">
        <v>201</v>
      </c>
      <c r="CN177" t="s">
        <v>202</v>
      </c>
      <c r="CO177" t="s">
        <v>203</v>
      </c>
      <c r="CP177" t="s">
        <v>204</v>
      </c>
      <c r="CQ177" t="s">
        <v>205</v>
      </c>
      <c r="CR177" t="s">
        <v>206</v>
      </c>
    </row>
    <row r="178" spans="1:96">
      <c r="A178">
        <v>5</v>
      </c>
      <c r="B178" s="3">
        <v>0.84068287037037026</v>
      </c>
      <c r="C178" s="1">
        <v>45133</v>
      </c>
      <c r="D178" t="s">
        <v>196</v>
      </c>
      <c r="E178" t="s">
        <v>197</v>
      </c>
      <c r="G178">
        <v>5</v>
      </c>
      <c r="J178">
        <v>0.12221899999999999</v>
      </c>
      <c r="K178">
        <v>2.9182389999999998</v>
      </c>
      <c r="L178">
        <v>0.11730599999999999</v>
      </c>
      <c r="M178">
        <v>2.8482280000000002</v>
      </c>
      <c r="N178">
        <v>2.2138070000000001</v>
      </c>
      <c r="O178">
        <v>2.1390440000000002</v>
      </c>
      <c r="P178">
        <v>4.4411959999999997</v>
      </c>
      <c r="Q178">
        <v>2.2273900000000002</v>
      </c>
      <c r="R178">
        <v>22.501094999999999</v>
      </c>
      <c r="S178">
        <v>23.28754</v>
      </c>
      <c r="T178">
        <v>46.717959999999998</v>
      </c>
      <c r="U178">
        <v>0.44178600000000001</v>
      </c>
      <c r="V178" t="s">
        <v>439</v>
      </c>
      <c r="W178">
        <v>0</v>
      </c>
      <c r="X178">
        <v>0</v>
      </c>
      <c r="Y178">
        <v>0</v>
      </c>
      <c r="Z178">
        <v>96.764442000000003</v>
      </c>
      <c r="AA178">
        <v>316.87204000000003</v>
      </c>
      <c r="AB178">
        <v>0.69462599999999997</v>
      </c>
      <c r="AC178">
        <v>0.5</v>
      </c>
      <c r="AD178">
        <v>0.8</v>
      </c>
      <c r="AE178">
        <v>212.07046500000001</v>
      </c>
      <c r="AF178">
        <v>46.52</v>
      </c>
      <c r="AG178">
        <v>44.95</v>
      </c>
      <c r="AH178">
        <v>31.94</v>
      </c>
      <c r="AI178">
        <v>30.73</v>
      </c>
      <c r="AJ178">
        <v>95.06</v>
      </c>
      <c r="AK178">
        <v>156.30000000000001</v>
      </c>
      <c r="AL178">
        <v>147.4</v>
      </c>
      <c r="AM178">
        <v>5.7</v>
      </c>
      <c r="AN178">
        <v>763</v>
      </c>
      <c r="AO178">
        <v>3.9780000000000002</v>
      </c>
      <c r="AP178" s="3">
        <v>0.84008101851851846</v>
      </c>
      <c r="AQ178" s="1">
        <v>45133</v>
      </c>
      <c r="AR178">
        <v>-0.1</v>
      </c>
      <c r="AS178">
        <v>1E-3</v>
      </c>
      <c r="AT178">
        <v>-2E-3</v>
      </c>
      <c r="AU178">
        <v>-9999</v>
      </c>
      <c r="AV178">
        <v>-1.6559999999999999</v>
      </c>
      <c r="AW178">
        <v>-0.84799999999999998</v>
      </c>
      <c r="AX178">
        <v>-9999</v>
      </c>
      <c r="AY178">
        <v>1</v>
      </c>
      <c r="AZ178">
        <v>150</v>
      </c>
      <c r="BA178">
        <v>5.0000000000000001E-3</v>
      </c>
      <c r="BB178">
        <v>2</v>
      </c>
      <c r="BC178">
        <v>0</v>
      </c>
      <c r="BD178" t="s">
        <v>200</v>
      </c>
      <c r="BE178">
        <v>7000</v>
      </c>
      <c r="BF178">
        <v>500</v>
      </c>
      <c r="BG178">
        <v>5</v>
      </c>
      <c r="BH178">
        <v>2</v>
      </c>
      <c r="BI178">
        <v>300</v>
      </c>
      <c r="BJ178">
        <v>300</v>
      </c>
      <c r="BK178">
        <v>300</v>
      </c>
      <c r="BL178">
        <v>292.299622</v>
      </c>
      <c r="BM178">
        <v>25</v>
      </c>
      <c r="BN178">
        <v>-17.341574000000001</v>
      </c>
      <c r="BO178">
        <v>291.273956</v>
      </c>
      <c r="BP178">
        <v>291.99890099999999</v>
      </c>
      <c r="BQ178">
        <v>-0.72494499999999995</v>
      </c>
      <c r="BR178">
        <v>2.4141940000000002</v>
      </c>
      <c r="BS178">
        <v>2.4836369999999999</v>
      </c>
      <c r="BT178">
        <v>1.587385</v>
      </c>
      <c r="BU178">
        <v>0.97063600000000005</v>
      </c>
      <c r="BV178">
        <v>0.207236</v>
      </c>
      <c r="BW178">
        <v>-1.5632E-2</v>
      </c>
      <c r="BX178">
        <v>0.209565</v>
      </c>
      <c r="BY178">
        <v>0.78417999999999999</v>
      </c>
      <c r="BZ178">
        <v>96.764442000000003</v>
      </c>
      <c r="CA178">
        <v>3.5399999999999999E-4</v>
      </c>
      <c r="CB178">
        <v>2.3486280000000002</v>
      </c>
      <c r="CC178">
        <v>-5.1E-5</v>
      </c>
      <c r="CD178">
        <v>1</v>
      </c>
      <c r="CE178">
        <v>2.4109430000000001</v>
      </c>
      <c r="CF178">
        <v>-5.7000000000000003E-5</v>
      </c>
      <c r="CG178">
        <v>1</v>
      </c>
      <c r="CH178">
        <v>0.60051900000000002</v>
      </c>
      <c r="CI178">
        <v>0.60216099999999995</v>
      </c>
      <c r="CJ178">
        <v>0.107265</v>
      </c>
      <c r="CK178">
        <v>0</v>
      </c>
      <c r="CL178" t="s">
        <v>439</v>
      </c>
      <c r="CM178" t="s">
        <v>201</v>
      </c>
      <c r="CN178" t="s">
        <v>202</v>
      </c>
      <c r="CO178" t="s">
        <v>203</v>
      </c>
      <c r="CP178" t="s">
        <v>204</v>
      </c>
      <c r="CQ178" t="s">
        <v>205</v>
      </c>
      <c r="CR178" t="s">
        <v>206</v>
      </c>
    </row>
    <row r="179" spans="1:96">
      <c r="A179">
        <v>1</v>
      </c>
      <c r="B179" s="3">
        <v>0.84537037037037033</v>
      </c>
      <c r="C179" s="1">
        <v>45133</v>
      </c>
      <c r="D179" t="s">
        <v>196</v>
      </c>
      <c r="E179" t="s">
        <v>197</v>
      </c>
      <c r="G179">
        <v>1</v>
      </c>
      <c r="J179">
        <v>6.4923999999999996E-2</v>
      </c>
      <c r="K179">
        <v>2.918784</v>
      </c>
      <c r="L179">
        <v>6.3510999999999998E-2</v>
      </c>
      <c r="M179">
        <v>1.504629</v>
      </c>
      <c r="N179">
        <v>2.1482250000000001</v>
      </c>
      <c r="O179">
        <v>2.1087120000000001</v>
      </c>
      <c r="P179">
        <v>4.3241250000000004</v>
      </c>
      <c r="Q179">
        <v>2.1758999999999999</v>
      </c>
      <c r="R179">
        <v>22.177821999999999</v>
      </c>
      <c r="S179">
        <v>22.593392999999999</v>
      </c>
      <c r="T179">
        <v>45.477851999999999</v>
      </c>
      <c r="U179">
        <v>0.44178600000000001</v>
      </c>
      <c r="V179" t="s">
        <v>440</v>
      </c>
      <c r="W179">
        <v>0</v>
      </c>
      <c r="X179">
        <v>0</v>
      </c>
      <c r="Y179">
        <v>0</v>
      </c>
      <c r="Z179">
        <v>94.730614000000003</v>
      </c>
      <c r="AA179">
        <v>330.60119600000002</v>
      </c>
      <c r="AB179">
        <v>0.71345999999999998</v>
      </c>
      <c r="AC179">
        <v>0.5</v>
      </c>
      <c r="AD179">
        <v>0.8</v>
      </c>
      <c r="AE179">
        <v>114.917992</v>
      </c>
      <c r="AF179">
        <v>45.88</v>
      </c>
      <c r="AG179">
        <v>45.03</v>
      </c>
      <c r="AH179">
        <v>31.65</v>
      </c>
      <c r="AI179">
        <v>30.26</v>
      </c>
      <c r="AJ179">
        <v>95.08</v>
      </c>
      <c r="AK179">
        <v>156.30000000000001</v>
      </c>
      <c r="AL179">
        <v>147.1</v>
      </c>
      <c r="AM179">
        <v>5.9</v>
      </c>
      <c r="AN179">
        <v>403</v>
      </c>
      <c r="AO179">
        <v>3.9780000000000002</v>
      </c>
      <c r="AP179" s="3">
        <v>0.84526620370370376</v>
      </c>
      <c r="AQ179" s="1">
        <v>45133</v>
      </c>
      <c r="AR179">
        <v>-0.11</v>
      </c>
      <c r="AS179">
        <v>1E-3</v>
      </c>
      <c r="AT179">
        <v>4.0000000000000001E-3</v>
      </c>
      <c r="AU179">
        <v>-9999</v>
      </c>
      <c r="AV179">
        <v>1.3380000000000001</v>
      </c>
      <c r="AW179">
        <v>-0.38700000000000001</v>
      </c>
      <c r="AX179">
        <v>-9999</v>
      </c>
      <c r="AY179">
        <v>1</v>
      </c>
      <c r="AZ179">
        <v>150</v>
      </c>
      <c r="BA179">
        <v>5.0000000000000001E-3</v>
      </c>
      <c r="BB179">
        <v>2</v>
      </c>
      <c r="BC179">
        <v>0</v>
      </c>
      <c r="BD179" t="s">
        <v>200</v>
      </c>
      <c r="BE179">
        <v>7000</v>
      </c>
      <c r="BF179">
        <v>500</v>
      </c>
      <c r="BG179">
        <v>5</v>
      </c>
      <c r="BH179">
        <v>2</v>
      </c>
      <c r="BI179">
        <v>300</v>
      </c>
      <c r="BJ179">
        <v>300</v>
      </c>
      <c r="BK179">
        <v>300</v>
      </c>
      <c r="BL179">
        <v>319.83734099999998</v>
      </c>
      <c r="BM179">
        <v>25</v>
      </c>
      <c r="BN179">
        <v>-7.3927959999999997</v>
      </c>
      <c r="BO179">
        <v>323.14788800000002</v>
      </c>
      <c r="BP179">
        <v>319.99765000000002</v>
      </c>
      <c r="BQ179">
        <v>3.1502379999999999</v>
      </c>
      <c r="BR179">
        <v>2.414358</v>
      </c>
      <c r="BS179">
        <v>2.4828290000000002</v>
      </c>
      <c r="BT179">
        <v>1.5879110000000001</v>
      </c>
      <c r="BU179">
        <v>0.96968799999999999</v>
      </c>
      <c r="BV179">
        <v>0.20955699999999999</v>
      </c>
      <c r="BW179">
        <v>-1.7878000000000002E-2</v>
      </c>
      <c r="BX179">
        <v>0.186918</v>
      </c>
      <c r="BY179">
        <v>0.464393</v>
      </c>
      <c r="BZ179">
        <v>94.730614000000003</v>
      </c>
      <c r="CA179">
        <v>3.48E-4</v>
      </c>
      <c r="CB179">
        <v>2.3486280000000002</v>
      </c>
      <c r="CC179">
        <v>-5.1E-5</v>
      </c>
      <c r="CD179">
        <v>1</v>
      </c>
      <c r="CE179">
        <v>2.4109430000000001</v>
      </c>
      <c r="CF179">
        <v>-5.7000000000000003E-5</v>
      </c>
      <c r="CG179">
        <v>1</v>
      </c>
      <c r="CH179">
        <v>0.60051900000000002</v>
      </c>
      <c r="CI179">
        <v>0.60216099999999995</v>
      </c>
      <c r="CJ179">
        <v>0.107265</v>
      </c>
      <c r="CK179">
        <v>0</v>
      </c>
      <c r="CL179" t="s">
        <v>440</v>
      </c>
      <c r="CM179" t="s">
        <v>201</v>
      </c>
      <c r="CN179" t="s">
        <v>202</v>
      </c>
      <c r="CO179" t="s">
        <v>203</v>
      </c>
      <c r="CP179" t="s">
        <v>204</v>
      </c>
      <c r="CQ179" t="s">
        <v>205</v>
      </c>
      <c r="CR179" t="s">
        <v>206</v>
      </c>
    </row>
    <row r="180" spans="1:96">
      <c r="A180">
        <v>2</v>
      </c>
      <c r="B180" s="3">
        <v>0.84553240740740743</v>
      </c>
      <c r="C180" s="1">
        <v>45133</v>
      </c>
      <c r="D180" t="s">
        <v>196</v>
      </c>
      <c r="E180" t="s">
        <v>197</v>
      </c>
      <c r="G180">
        <v>2</v>
      </c>
      <c r="J180">
        <v>0.16501099999999999</v>
      </c>
      <c r="K180">
        <v>2.9188390000000002</v>
      </c>
      <c r="L180">
        <v>0.15618099999999999</v>
      </c>
      <c r="M180">
        <v>3.7552780000000001</v>
      </c>
      <c r="N180">
        <v>2.2298819999999999</v>
      </c>
      <c r="O180">
        <v>2.1313589999999998</v>
      </c>
      <c r="P180">
        <v>4.4358389999999996</v>
      </c>
      <c r="Q180">
        <v>2.2059570000000002</v>
      </c>
      <c r="R180">
        <v>22.416889000000001</v>
      </c>
      <c r="S180">
        <v>23.453120999999999</v>
      </c>
      <c r="T180">
        <v>46.654617000000002</v>
      </c>
      <c r="U180">
        <v>0.44178600000000001</v>
      </c>
      <c r="V180" t="s">
        <v>441</v>
      </c>
      <c r="W180">
        <v>0</v>
      </c>
      <c r="X180">
        <v>0</v>
      </c>
      <c r="Y180">
        <v>0</v>
      </c>
      <c r="Z180">
        <v>95.576408000000001</v>
      </c>
      <c r="AA180">
        <v>276.775848</v>
      </c>
      <c r="AB180">
        <v>0.65467900000000001</v>
      </c>
      <c r="AC180">
        <v>0.5</v>
      </c>
      <c r="AD180">
        <v>0.8</v>
      </c>
      <c r="AE180">
        <v>60.734130999999998</v>
      </c>
      <c r="AF180">
        <v>47.63</v>
      </c>
      <c r="AG180">
        <v>45.52</v>
      </c>
      <c r="AH180">
        <v>31.65</v>
      </c>
      <c r="AI180">
        <v>30.7</v>
      </c>
      <c r="AJ180">
        <v>95.08</v>
      </c>
      <c r="AK180">
        <v>156.30000000000001</v>
      </c>
      <c r="AL180">
        <v>147.19999999999999</v>
      </c>
      <c r="AM180">
        <v>5.8</v>
      </c>
      <c r="AN180">
        <v>232</v>
      </c>
      <c r="AO180">
        <v>3.9780000000000002</v>
      </c>
      <c r="AP180" s="3">
        <v>0.84526620370370376</v>
      </c>
      <c r="AQ180" s="1">
        <v>45133</v>
      </c>
      <c r="AR180">
        <v>-0.11</v>
      </c>
      <c r="AS180">
        <v>-1E-3</v>
      </c>
      <c r="AT180">
        <v>1E-3</v>
      </c>
      <c r="AU180">
        <v>0</v>
      </c>
      <c r="AV180">
        <v>9.2899999999999991</v>
      </c>
      <c r="AW180">
        <v>-3.0510000000000002</v>
      </c>
      <c r="AX180">
        <v>-5.7569999999999997</v>
      </c>
      <c r="AY180">
        <v>1</v>
      </c>
      <c r="AZ180">
        <v>150</v>
      </c>
      <c r="BA180">
        <v>5.0000000000000001E-3</v>
      </c>
      <c r="BB180">
        <v>2</v>
      </c>
      <c r="BC180">
        <v>0</v>
      </c>
      <c r="BD180" t="s">
        <v>200</v>
      </c>
      <c r="BE180">
        <v>7000</v>
      </c>
      <c r="BF180">
        <v>500</v>
      </c>
      <c r="BG180">
        <v>5</v>
      </c>
      <c r="BH180">
        <v>2</v>
      </c>
      <c r="BI180">
        <v>300</v>
      </c>
      <c r="BJ180">
        <v>300</v>
      </c>
      <c r="BK180">
        <v>300</v>
      </c>
      <c r="BL180">
        <v>264.71899400000001</v>
      </c>
      <c r="BM180">
        <v>25</v>
      </c>
      <c r="BN180">
        <v>-8.5277820000000002</v>
      </c>
      <c r="BO180">
        <v>267.92193600000002</v>
      </c>
      <c r="BP180">
        <v>264.54437300000001</v>
      </c>
      <c r="BQ180">
        <v>3.3775629999999999</v>
      </c>
      <c r="BR180">
        <v>2.4149799999999999</v>
      </c>
      <c r="BS180">
        <v>2.4852069999999999</v>
      </c>
      <c r="BT180">
        <v>1.5879639999999999</v>
      </c>
      <c r="BU180">
        <v>0.96998399999999996</v>
      </c>
      <c r="BV180">
        <v>0.20957700000000001</v>
      </c>
      <c r="BW180">
        <v>-1.2251E-2</v>
      </c>
      <c r="BX180">
        <v>0.189079</v>
      </c>
      <c r="BY180">
        <v>0.31295299999999998</v>
      </c>
      <c r="BZ180">
        <v>95.576408000000001</v>
      </c>
      <c r="CA180">
        <v>3.5799999999999997E-4</v>
      </c>
      <c r="CB180">
        <v>2.3486280000000002</v>
      </c>
      <c r="CC180">
        <v>-5.1E-5</v>
      </c>
      <c r="CD180">
        <v>1</v>
      </c>
      <c r="CE180">
        <v>2.4109430000000001</v>
      </c>
      <c r="CF180">
        <v>-5.7000000000000003E-5</v>
      </c>
      <c r="CG180">
        <v>1</v>
      </c>
      <c r="CH180">
        <v>0.60051900000000002</v>
      </c>
      <c r="CI180">
        <v>0.60216099999999995</v>
      </c>
      <c r="CJ180">
        <v>0.107265</v>
      </c>
      <c r="CK180">
        <v>0</v>
      </c>
      <c r="CL180" t="s">
        <v>441</v>
      </c>
      <c r="CM180" t="s">
        <v>201</v>
      </c>
      <c r="CN180" t="s">
        <v>202</v>
      </c>
      <c r="CO180" t="s">
        <v>203</v>
      </c>
      <c r="CP180" t="s">
        <v>204</v>
      </c>
      <c r="CQ180" t="s">
        <v>205</v>
      </c>
      <c r="CR180" t="s">
        <v>206</v>
      </c>
    </row>
    <row r="181" spans="1:96">
      <c r="A181">
        <v>3</v>
      </c>
      <c r="B181" s="3">
        <v>0.84601851851851861</v>
      </c>
      <c r="C181" s="1">
        <v>45133</v>
      </c>
      <c r="D181" t="s">
        <v>196</v>
      </c>
      <c r="E181" t="s">
        <v>197</v>
      </c>
      <c r="G181">
        <v>3</v>
      </c>
      <c r="J181">
        <v>3.7428999999999997E-2</v>
      </c>
      <c r="K181">
        <v>2.9193190000000002</v>
      </c>
      <c r="L181">
        <v>3.6956000000000003E-2</v>
      </c>
      <c r="M181">
        <v>0.99507400000000001</v>
      </c>
      <c r="N181">
        <v>2.158652</v>
      </c>
      <c r="O181">
        <v>2.1325340000000002</v>
      </c>
      <c r="P181">
        <v>4.6275329999999997</v>
      </c>
      <c r="Q181">
        <v>2.4688810000000001</v>
      </c>
      <c r="R181">
        <v>22.427952000000001</v>
      </c>
      <c r="S181">
        <v>22.702641</v>
      </c>
      <c r="T181">
        <v>48.667973000000003</v>
      </c>
      <c r="U181">
        <v>0.44178600000000001</v>
      </c>
      <c r="V181" t="s">
        <v>442</v>
      </c>
      <c r="W181">
        <v>0</v>
      </c>
      <c r="X181">
        <v>0</v>
      </c>
      <c r="Y181">
        <v>0</v>
      </c>
      <c r="Z181">
        <v>93.342299999999994</v>
      </c>
      <c r="AA181">
        <v>217.89872700000001</v>
      </c>
      <c r="AB181">
        <v>0.57162500000000005</v>
      </c>
      <c r="AC181">
        <v>0.5</v>
      </c>
      <c r="AD181">
        <v>0.8</v>
      </c>
      <c r="AE181">
        <v>44.269196000000001</v>
      </c>
      <c r="AF181">
        <v>46.26</v>
      </c>
      <c r="AG181">
        <v>45.7</v>
      </c>
      <c r="AH181">
        <v>31.59</v>
      </c>
      <c r="AI181">
        <v>31.45</v>
      </c>
      <c r="AJ181">
        <v>95.08</v>
      </c>
      <c r="AK181">
        <v>156.4</v>
      </c>
      <c r="AL181">
        <v>147.1</v>
      </c>
      <c r="AM181">
        <v>5.9</v>
      </c>
      <c r="AN181">
        <v>194</v>
      </c>
      <c r="AO181">
        <v>3.976</v>
      </c>
      <c r="AP181" s="3">
        <v>0.84526620370370376</v>
      </c>
      <c r="AQ181" s="1">
        <v>45133</v>
      </c>
      <c r="AR181">
        <v>-0.11</v>
      </c>
      <c r="AS181">
        <v>1E-3</v>
      </c>
      <c r="AT181">
        <v>2E-3</v>
      </c>
      <c r="AU181">
        <v>0</v>
      </c>
      <c r="AV181">
        <v>-13.827999999999999</v>
      </c>
      <c r="AW181">
        <v>-2.0419999999999998</v>
      </c>
      <c r="AX181">
        <v>-6.4790000000000001</v>
      </c>
      <c r="AY181">
        <v>1</v>
      </c>
      <c r="AZ181">
        <v>150</v>
      </c>
      <c r="BA181">
        <v>5.0000000000000001E-3</v>
      </c>
      <c r="BB181">
        <v>2</v>
      </c>
      <c r="BC181">
        <v>0</v>
      </c>
      <c r="BD181" t="s">
        <v>200</v>
      </c>
      <c r="BE181">
        <v>7000</v>
      </c>
      <c r="BF181">
        <v>500</v>
      </c>
      <c r="BG181">
        <v>5</v>
      </c>
      <c r="BH181">
        <v>2</v>
      </c>
      <c r="BI181">
        <v>300</v>
      </c>
      <c r="BJ181">
        <v>300</v>
      </c>
      <c r="BK181">
        <v>300</v>
      </c>
      <c r="BL181">
        <v>217.89872700000001</v>
      </c>
      <c r="BM181">
        <v>25</v>
      </c>
      <c r="BN181">
        <v>2.6609720000000001</v>
      </c>
      <c r="BO181">
        <v>224.05136100000001</v>
      </c>
      <c r="BP181">
        <v>221.71537799999999</v>
      </c>
      <c r="BQ181">
        <v>2.3359830000000001</v>
      </c>
      <c r="BR181">
        <v>2.4152140000000002</v>
      </c>
      <c r="BS181">
        <v>2.4833599999999998</v>
      </c>
      <c r="BT181">
        <v>1.588428</v>
      </c>
      <c r="BU181">
        <v>0.96967199999999998</v>
      </c>
      <c r="BV181">
        <v>0.21005199999999999</v>
      </c>
      <c r="BW181">
        <v>-2.1359999999999999E-3</v>
      </c>
      <c r="BX181">
        <v>0.19480800000000001</v>
      </c>
      <c r="BY181">
        <v>0.27897499999999997</v>
      </c>
      <c r="BZ181">
        <v>93.342299999999994</v>
      </c>
      <c r="CA181">
        <v>3.5300000000000002E-4</v>
      </c>
      <c r="CB181">
        <v>2.3486280000000002</v>
      </c>
      <c r="CC181">
        <v>-5.1E-5</v>
      </c>
      <c r="CD181">
        <v>1</v>
      </c>
      <c r="CE181">
        <v>2.4109430000000001</v>
      </c>
      <c r="CF181">
        <v>-5.7000000000000003E-5</v>
      </c>
      <c r="CG181">
        <v>1</v>
      </c>
      <c r="CH181">
        <v>0.60051900000000002</v>
      </c>
      <c r="CI181">
        <v>0.60216099999999995</v>
      </c>
      <c r="CJ181">
        <v>0.107265</v>
      </c>
      <c r="CK181">
        <v>0</v>
      </c>
      <c r="CL181" t="s">
        <v>442</v>
      </c>
      <c r="CM181" t="s">
        <v>201</v>
      </c>
      <c r="CN181" t="s">
        <v>202</v>
      </c>
      <c r="CO181" t="s">
        <v>203</v>
      </c>
      <c r="CP181" t="s">
        <v>204</v>
      </c>
      <c r="CQ181" t="s">
        <v>205</v>
      </c>
      <c r="CR181" t="s">
        <v>206</v>
      </c>
    </row>
    <row r="182" spans="1:96">
      <c r="A182">
        <v>4</v>
      </c>
      <c r="B182" s="3">
        <v>0.8461574074074073</v>
      </c>
      <c r="C182" s="1">
        <v>45133</v>
      </c>
      <c r="D182" t="s">
        <v>196</v>
      </c>
      <c r="E182" t="s">
        <v>197</v>
      </c>
      <c r="G182">
        <v>4</v>
      </c>
      <c r="J182">
        <v>0.12939300000000001</v>
      </c>
      <c r="K182">
        <v>2.920439</v>
      </c>
      <c r="L182">
        <v>0.123903</v>
      </c>
      <c r="M182">
        <v>3.1890329999999998</v>
      </c>
      <c r="N182">
        <v>2.2128540000000001</v>
      </c>
      <c r="O182">
        <v>2.1292740000000001</v>
      </c>
      <c r="P182">
        <v>4.5727419999999999</v>
      </c>
      <c r="Q182">
        <v>2.3598880000000002</v>
      </c>
      <c r="R182">
        <v>22.394258000000001</v>
      </c>
      <c r="S182">
        <v>23.273291</v>
      </c>
      <c r="T182">
        <v>48.092990999999998</v>
      </c>
      <c r="U182">
        <v>0.44178600000000001</v>
      </c>
      <c r="V182" t="s">
        <v>443</v>
      </c>
      <c r="W182">
        <v>0</v>
      </c>
      <c r="X182">
        <v>0</v>
      </c>
      <c r="Y182">
        <v>0</v>
      </c>
      <c r="Z182">
        <v>124.11546300000001</v>
      </c>
      <c r="AA182">
        <v>247.91386399999999</v>
      </c>
      <c r="AB182">
        <v>0.499361</v>
      </c>
      <c r="AC182">
        <v>0.5</v>
      </c>
      <c r="AD182">
        <v>0.8</v>
      </c>
      <c r="AE182">
        <v>158.85311899999999</v>
      </c>
      <c r="AF182">
        <v>47.47</v>
      </c>
      <c r="AG182">
        <v>45.67</v>
      </c>
      <c r="AH182">
        <v>31.58</v>
      </c>
      <c r="AI182">
        <v>31.24</v>
      </c>
      <c r="AJ182">
        <v>95.08</v>
      </c>
      <c r="AK182">
        <v>156.5</v>
      </c>
      <c r="AL182">
        <v>147</v>
      </c>
      <c r="AM182">
        <v>6.1</v>
      </c>
      <c r="AN182">
        <v>795</v>
      </c>
      <c r="AO182">
        <v>3.9390000000000001</v>
      </c>
      <c r="AP182" s="3">
        <v>0.84526620370370376</v>
      </c>
      <c r="AQ182" s="1">
        <v>45133</v>
      </c>
      <c r="AR182">
        <v>-0.11</v>
      </c>
      <c r="AS182">
        <v>0</v>
      </c>
      <c r="AT182">
        <v>0</v>
      </c>
      <c r="AU182">
        <v>-9999</v>
      </c>
      <c r="AV182">
        <v>-1.569</v>
      </c>
      <c r="AW182">
        <v>-0.26600000000000001</v>
      </c>
      <c r="AX182">
        <v>-9999</v>
      </c>
      <c r="AY182">
        <v>1</v>
      </c>
      <c r="AZ182">
        <v>150</v>
      </c>
      <c r="BA182">
        <v>5.0000000000000001E-3</v>
      </c>
      <c r="BB182">
        <v>2</v>
      </c>
      <c r="BC182">
        <v>0</v>
      </c>
      <c r="BD182" t="s">
        <v>200</v>
      </c>
      <c r="BE182">
        <v>7000</v>
      </c>
      <c r="BF182">
        <v>500</v>
      </c>
      <c r="BG182">
        <v>5</v>
      </c>
      <c r="BH182">
        <v>2</v>
      </c>
      <c r="BI182">
        <v>300</v>
      </c>
      <c r="BJ182">
        <v>300</v>
      </c>
      <c r="BK182">
        <v>300</v>
      </c>
      <c r="BL182">
        <v>233.583923</v>
      </c>
      <c r="BM182">
        <v>25</v>
      </c>
      <c r="BN182">
        <v>-9.8872309999999999</v>
      </c>
      <c r="BO182">
        <v>233.40081799999999</v>
      </c>
      <c r="BP182">
        <v>233.732529</v>
      </c>
      <c r="BQ182">
        <v>-0.33171099999999998</v>
      </c>
      <c r="BR182">
        <v>2.4151859999999998</v>
      </c>
      <c r="BS182">
        <v>2.485004</v>
      </c>
      <c r="BT182">
        <v>1.5895140000000001</v>
      </c>
      <c r="BU182">
        <v>0.969445</v>
      </c>
      <c r="BV182">
        <v>0.21019499999999999</v>
      </c>
      <c r="BW182">
        <v>-4.5700000000000003E-3</v>
      </c>
      <c r="BX182">
        <v>0.19619600000000001</v>
      </c>
      <c r="BY182">
        <v>0.812585</v>
      </c>
      <c r="BZ182">
        <v>124.11546300000001</v>
      </c>
      <c r="CA182">
        <v>3.4699999999999998E-4</v>
      </c>
      <c r="CB182">
        <v>2.3486280000000002</v>
      </c>
      <c r="CC182">
        <v>-5.1E-5</v>
      </c>
      <c r="CD182">
        <v>1</v>
      </c>
      <c r="CE182">
        <v>2.4109430000000001</v>
      </c>
      <c r="CF182">
        <v>-5.7000000000000003E-5</v>
      </c>
      <c r="CG182">
        <v>1</v>
      </c>
      <c r="CH182">
        <v>0.60051900000000002</v>
      </c>
      <c r="CI182">
        <v>0.60216099999999995</v>
      </c>
      <c r="CJ182">
        <v>0.107265</v>
      </c>
      <c r="CK182">
        <v>0</v>
      </c>
      <c r="CL182" t="s">
        <v>443</v>
      </c>
      <c r="CM182" t="s">
        <v>201</v>
      </c>
      <c r="CN182" t="s">
        <v>202</v>
      </c>
      <c r="CO182" t="s">
        <v>203</v>
      </c>
      <c r="CP182" t="s">
        <v>204</v>
      </c>
      <c r="CQ182" t="s">
        <v>205</v>
      </c>
      <c r="CR182" t="s">
        <v>206</v>
      </c>
    </row>
    <row r="183" spans="1:96">
      <c r="A183">
        <v>5</v>
      </c>
      <c r="B183" s="3">
        <v>0.8462615740740741</v>
      </c>
      <c r="C183" s="1">
        <v>45133</v>
      </c>
      <c r="D183" t="s">
        <v>196</v>
      </c>
      <c r="E183" t="s">
        <v>197</v>
      </c>
      <c r="G183">
        <v>5</v>
      </c>
      <c r="J183">
        <v>0.160103</v>
      </c>
      <c r="K183">
        <v>2.9188459999999998</v>
      </c>
      <c r="L183">
        <v>0.151778</v>
      </c>
      <c r="M183">
        <v>3.4397229999999999</v>
      </c>
      <c r="N183">
        <v>2.2064119999999998</v>
      </c>
      <c r="O183">
        <v>2.1161460000000001</v>
      </c>
      <c r="P183">
        <v>4.28756</v>
      </c>
      <c r="Q183">
        <v>2.0811489999999999</v>
      </c>
      <c r="R183">
        <v>22.257000000000001</v>
      </c>
      <c r="S183">
        <v>23.206392000000001</v>
      </c>
      <c r="T183">
        <v>45.095309999999998</v>
      </c>
      <c r="U183">
        <v>0.44178600000000001</v>
      </c>
      <c r="V183" t="s">
        <v>444</v>
      </c>
      <c r="W183">
        <v>0</v>
      </c>
      <c r="X183">
        <v>0</v>
      </c>
      <c r="Y183">
        <v>0</v>
      </c>
      <c r="Z183">
        <v>106.985809</v>
      </c>
      <c r="AA183">
        <v>300.21444700000001</v>
      </c>
      <c r="AB183">
        <v>0.64363499999999996</v>
      </c>
      <c r="AC183">
        <v>0.5</v>
      </c>
      <c r="AD183">
        <v>0.8</v>
      </c>
      <c r="AE183">
        <v>200.31463600000001</v>
      </c>
      <c r="AF183">
        <v>47.38</v>
      </c>
      <c r="AG183">
        <v>45.44</v>
      </c>
      <c r="AH183">
        <v>31.56</v>
      </c>
      <c r="AI183">
        <v>30.11</v>
      </c>
      <c r="AJ183">
        <v>95.08</v>
      </c>
      <c r="AK183">
        <v>156.30000000000001</v>
      </c>
      <c r="AL183">
        <v>146.80000000000001</v>
      </c>
      <c r="AM183">
        <v>6.1</v>
      </c>
      <c r="AN183">
        <v>778</v>
      </c>
      <c r="AO183">
        <v>3.9750000000000001</v>
      </c>
      <c r="AP183" s="3">
        <v>0.84526620370370376</v>
      </c>
      <c r="AQ183" s="1">
        <v>45133</v>
      </c>
      <c r="AR183">
        <v>-0.11</v>
      </c>
      <c r="AS183">
        <v>2E-3</v>
      </c>
      <c r="AT183">
        <v>1E-3</v>
      </c>
      <c r="AU183">
        <v>-9999</v>
      </c>
      <c r="AV183">
        <v>-0.39400000000000002</v>
      </c>
      <c r="AW183">
        <v>0.876</v>
      </c>
      <c r="AX183">
        <v>-9999</v>
      </c>
      <c r="AY183">
        <v>1</v>
      </c>
      <c r="AZ183">
        <v>150</v>
      </c>
      <c r="BA183">
        <v>5.0000000000000001E-3</v>
      </c>
      <c r="BB183">
        <v>2</v>
      </c>
      <c r="BC183">
        <v>0</v>
      </c>
      <c r="BD183" t="s">
        <v>200</v>
      </c>
      <c r="BE183">
        <v>7000</v>
      </c>
      <c r="BF183">
        <v>500</v>
      </c>
      <c r="BG183">
        <v>5</v>
      </c>
      <c r="BH183">
        <v>2</v>
      </c>
      <c r="BI183">
        <v>300</v>
      </c>
      <c r="BJ183">
        <v>300</v>
      </c>
      <c r="BK183">
        <v>300</v>
      </c>
      <c r="BL183">
        <v>282.87326000000002</v>
      </c>
      <c r="BM183">
        <v>25</v>
      </c>
      <c r="BN183">
        <v>-12.008768</v>
      </c>
      <c r="BO183">
        <v>283.41149899999999</v>
      </c>
      <c r="BP183">
        <v>282.99017300000003</v>
      </c>
      <c r="BQ183">
        <v>0.42132599999999998</v>
      </c>
      <c r="BR183">
        <v>2.4148939999999999</v>
      </c>
      <c r="BS183">
        <v>2.4848889999999999</v>
      </c>
      <c r="BT183">
        <v>1.587971</v>
      </c>
      <c r="BU183">
        <v>0.96874199999999999</v>
      </c>
      <c r="BV183">
        <v>0.21034800000000001</v>
      </c>
      <c r="BW183">
        <v>-1.8509999999999999E-2</v>
      </c>
      <c r="BX183">
        <v>0.19730600000000001</v>
      </c>
      <c r="BY183">
        <v>0.79730999999999996</v>
      </c>
      <c r="BZ183">
        <v>106.985809</v>
      </c>
      <c r="CA183">
        <v>3.5799999999999997E-4</v>
      </c>
      <c r="CB183">
        <v>2.3486280000000002</v>
      </c>
      <c r="CC183">
        <v>-5.1E-5</v>
      </c>
      <c r="CD183">
        <v>1</v>
      </c>
      <c r="CE183">
        <v>2.4109430000000001</v>
      </c>
      <c r="CF183">
        <v>-5.7000000000000003E-5</v>
      </c>
      <c r="CG183">
        <v>1</v>
      </c>
      <c r="CH183">
        <v>0.60051900000000002</v>
      </c>
      <c r="CI183">
        <v>0.60216099999999995</v>
      </c>
      <c r="CJ183">
        <v>0.107265</v>
      </c>
      <c r="CK183">
        <v>0</v>
      </c>
      <c r="CL183" t="s">
        <v>444</v>
      </c>
      <c r="CM183" t="s">
        <v>201</v>
      </c>
      <c r="CN183" t="s">
        <v>202</v>
      </c>
      <c r="CO183" t="s">
        <v>203</v>
      </c>
      <c r="CP183" t="s">
        <v>204</v>
      </c>
      <c r="CQ183" t="s">
        <v>205</v>
      </c>
      <c r="CR183"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73"/>
  <sheetViews>
    <sheetView zoomScale="55" zoomScaleNormal="55" workbookViewId="0">
      <pane xSplit="2" ySplit="1" topLeftCell="C38" activePane="bottomRight" state="frozen"/>
      <selection pane="bottomRight" activeCell="AC35" sqref="AC35"/>
      <selection pane="bottomLeft" activeCell="A2" sqref="A2"/>
      <selection pane="topRight" activeCell="C1" sqref="C1"/>
    </sheetView>
  </sheetViews>
  <sheetFormatPr defaultColWidth="11.42578125" defaultRowHeight="15"/>
  <cols>
    <col min="28" max="28" width="16.5703125" customWidth="1"/>
    <col min="29" max="29" width="14" customWidth="1"/>
    <col min="31" max="31" width="16.140625" customWidth="1"/>
    <col min="33" max="33" width="20.140625" bestFit="1" customWidth="1"/>
    <col min="34" max="34" width="16" customWidth="1"/>
  </cols>
  <sheetData>
    <row r="1" spans="1:34">
      <c r="A1" t="s">
        <v>445</v>
      </c>
      <c r="B1" t="s">
        <v>446</v>
      </c>
      <c r="C1" t="s">
        <v>447</v>
      </c>
      <c r="D1" t="s">
        <v>448</v>
      </c>
      <c r="E1" t="s">
        <v>449</v>
      </c>
      <c r="F1" t="s">
        <v>448</v>
      </c>
      <c r="G1" t="s">
        <v>450</v>
      </c>
      <c r="H1" t="s">
        <v>448</v>
      </c>
      <c r="I1" t="s">
        <v>451</v>
      </c>
      <c r="J1" t="s">
        <v>448</v>
      </c>
      <c r="K1" t="s">
        <v>452</v>
      </c>
      <c r="L1" t="s">
        <v>448</v>
      </c>
      <c r="M1" t="s">
        <v>453</v>
      </c>
      <c r="N1" t="s">
        <v>454</v>
      </c>
      <c r="O1" t="s">
        <v>455</v>
      </c>
      <c r="P1" t="s">
        <v>456</v>
      </c>
      <c r="Q1" t="s">
        <v>457</v>
      </c>
      <c r="R1" t="s">
        <v>458</v>
      </c>
      <c r="S1" t="s">
        <v>459</v>
      </c>
      <c r="T1" t="s">
        <v>460</v>
      </c>
      <c r="U1" t="s">
        <v>461</v>
      </c>
      <c r="V1" t="s">
        <v>462</v>
      </c>
      <c r="W1" t="s">
        <v>463</v>
      </c>
      <c r="X1" t="s">
        <v>464</v>
      </c>
      <c r="Y1" t="s">
        <v>465</v>
      </c>
      <c r="Z1" t="s">
        <v>466</v>
      </c>
      <c r="AB1" t="s">
        <v>467</v>
      </c>
      <c r="AC1" t="s">
        <v>468</v>
      </c>
      <c r="AD1" t="s">
        <v>469</v>
      </c>
      <c r="AE1" t="s">
        <v>470</v>
      </c>
      <c r="AF1" t="s">
        <v>471</v>
      </c>
      <c r="AG1" t="s">
        <v>472</v>
      </c>
      <c r="AH1" t="s">
        <v>473</v>
      </c>
    </row>
    <row r="2" spans="1:34">
      <c r="A2">
        <v>2.1</v>
      </c>
      <c r="B2">
        <v>1</v>
      </c>
      <c r="C2">
        <v>9</v>
      </c>
      <c r="D2" s="2">
        <v>0.3263888888888889</v>
      </c>
      <c r="E2">
        <v>9.1999999999999993</v>
      </c>
      <c r="F2" s="2">
        <v>0.32777777777777778</v>
      </c>
      <c r="G2">
        <v>9</v>
      </c>
      <c r="H2" s="2">
        <v>0.32916666666666666</v>
      </c>
      <c r="I2">
        <v>9.1999999999999993</v>
      </c>
      <c r="J2" s="2">
        <v>0.3298611111111111</v>
      </c>
      <c r="K2">
        <v>5.5</v>
      </c>
      <c r="L2" s="2">
        <v>0.33124999999999999</v>
      </c>
      <c r="M2">
        <v>6.4908999999999994E-2</v>
      </c>
      <c r="N2">
        <v>0.14565600000000001</v>
      </c>
      <c r="O2">
        <v>0.24353</v>
      </c>
      <c r="P2">
        <v>0.20241200000000001</v>
      </c>
      <c r="T2">
        <v>1.4187149999999999</v>
      </c>
      <c r="U2">
        <v>1.128096</v>
      </c>
      <c r="V2">
        <v>1.1914439999999999</v>
      </c>
      <c r="W2">
        <v>1.185754</v>
      </c>
      <c r="AB2" s="6">
        <f>AVERAGE(D2,F2,H2,J2,L2)</f>
        <v>0.3288888888888889</v>
      </c>
      <c r="AC2" s="5">
        <f>AVERAGE(C2,E2,G2,I2,K2)</f>
        <v>8.379999999999999</v>
      </c>
      <c r="AD2" s="7">
        <f>STDEV(C2,E2,G2,I2,K2)/SQRT(COUNT(C2,E2,G2,I2,K2))</f>
        <v>0.72138755187485781</v>
      </c>
      <c r="AE2" s="9">
        <f>AVERAGE(M2:S2)</f>
        <v>0.16412675000000002</v>
      </c>
      <c r="AF2">
        <f>STDEV(M2:S2)/SQRT(COUNT(M2:S2))</f>
        <v>3.8682432488523336E-2</v>
      </c>
      <c r="AG2" s="5">
        <f>AVERAGE(T2:Z2)</f>
        <v>1.23100225</v>
      </c>
      <c r="AH2">
        <f>STDEV(T2:Z2)/SQRT(COUNT(T2:Z2))</f>
        <v>6.4185948665284209E-2</v>
      </c>
    </row>
    <row r="3" spans="1:34">
      <c r="A3">
        <v>1.2</v>
      </c>
      <c r="B3">
        <v>1</v>
      </c>
      <c r="C3">
        <v>9.1999999999999993</v>
      </c>
      <c r="D3" s="2">
        <v>0.3354166666666667</v>
      </c>
      <c r="E3">
        <v>10</v>
      </c>
      <c r="F3" s="2">
        <v>0.33611111111111108</v>
      </c>
      <c r="G3">
        <v>9.1999999999999993</v>
      </c>
      <c r="H3" s="2">
        <v>0.33680555555555558</v>
      </c>
      <c r="I3">
        <v>9.3000000000000007</v>
      </c>
      <c r="J3" s="2">
        <v>0.33819444444444446</v>
      </c>
      <c r="K3">
        <v>5</v>
      </c>
      <c r="L3" s="2">
        <v>0.33888888888888885</v>
      </c>
      <c r="M3">
        <v>0.20030100000000001</v>
      </c>
      <c r="N3">
        <v>7.0233000000000004E-2</v>
      </c>
      <c r="O3">
        <v>9.0193999999999996E-2</v>
      </c>
      <c r="P3">
        <v>6.5636E-2</v>
      </c>
      <c r="T3">
        <v>1.1594310000000001</v>
      </c>
      <c r="U3">
        <v>1.250999</v>
      </c>
      <c r="V3">
        <v>1.1340460000000001</v>
      </c>
      <c r="W3">
        <v>1.509207</v>
      </c>
      <c r="AB3" s="6">
        <f t="shared" ref="AB3:AB9" si="0">AVERAGE(D3,F3,H3,J3,L3)</f>
        <v>0.33708333333333329</v>
      </c>
      <c r="AC3" s="5">
        <f t="shared" ref="AC3:AC9" si="1">AVERAGE(C3,E3,G3,I3,K3)</f>
        <v>8.5400000000000009</v>
      </c>
      <c r="AD3" s="7">
        <f t="shared" ref="AD3:AD9" si="2">STDEV(C3,E3,G3,I3,K3)/SQRT(COUNT(C3,E3,G3,I3,K3))</f>
        <v>0.89755222689267411</v>
      </c>
      <c r="AE3" s="9">
        <f t="shared" ref="AE3:AE9" si="3">AVERAGE(M3:S3)</f>
        <v>0.10659099999999999</v>
      </c>
      <c r="AF3">
        <f t="shared" ref="AF3:AF9" si="4">STDEV(M3:S3)/SQRT(COUNT(M3:S3))</f>
        <v>3.1688118038680282E-2</v>
      </c>
      <c r="AG3" s="5">
        <f t="shared" ref="AG3:AG9" si="5">AVERAGE(T3:Z3)</f>
        <v>1.2634207499999999</v>
      </c>
      <c r="AH3">
        <f t="shared" ref="AH3:AH9" si="6">STDEV(T3:Z3)/SQRT(COUNT(T3:Z3))</f>
        <v>8.5691731711579386E-2</v>
      </c>
    </row>
    <row r="4" spans="1:34">
      <c r="A4">
        <v>3.2</v>
      </c>
      <c r="B4">
        <v>1</v>
      </c>
      <c r="C4">
        <v>7.6</v>
      </c>
      <c r="D4" s="2">
        <v>0.34652777777777777</v>
      </c>
      <c r="E4">
        <v>6.5</v>
      </c>
      <c r="F4" s="2">
        <v>0.34722222222222227</v>
      </c>
      <c r="G4">
        <v>7</v>
      </c>
      <c r="H4" s="2">
        <v>0.34861111111111115</v>
      </c>
      <c r="I4">
        <v>8</v>
      </c>
      <c r="J4" s="2">
        <v>0.34930555555555554</v>
      </c>
      <c r="M4">
        <v>0.120626</v>
      </c>
      <c r="N4">
        <v>0.208624</v>
      </c>
      <c r="O4">
        <v>0.15304400000000001</v>
      </c>
      <c r="P4">
        <v>0.175875</v>
      </c>
      <c r="T4">
        <v>1.1459269999999999</v>
      </c>
      <c r="U4">
        <v>1.0826819999999999</v>
      </c>
      <c r="V4">
        <v>1.0328980000000001</v>
      </c>
      <c r="W4">
        <v>1.081752</v>
      </c>
      <c r="AB4" s="6">
        <f t="shared" si="0"/>
        <v>0.34791666666666671</v>
      </c>
      <c r="AC4" s="5">
        <f t="shared" si="1"/>
        <v>7.2750000000000004</v>
      </c>
      <c r="AD4" s="7">
        <f t="shared" si="2"/>
        <v>0.33008837200563929</v>
      </c>
      <c r="AE4" s="9">
        <f t="shared" si="3"/>
        <v>0.16454225</v>
      </c>
      <c r="AF4">
        <f t="shared" si="4"/>
        <v>1.8557295673916716E-2</v>
      </c>
      <c r="AG4" s="5">
        <f t="shared" si="5"/>
        <v>1.0858147499999999</v>
      </c>
      <c r="AH4">
        <f t="shared" si="6"/>
        <v>2.3166040322618042E-2</v>
      </c>
    </row>
    <row r="5" spans="1:34">
      <c r="A5">
        <v>2.2000000000000002</v>
      </c>
      <c r="B5">
        <v>1</v>
      </c>
      <c r="C5">
        <v>4.5</v>
      </c>
      <c r="D5" s="2">
        <v>0.3527777777777778</v>
      </c>
      <c r="E5">
        <v>7.5</v>
      </c>
      <c r="F5" s="2">
        <v>0.35347222222222219</v>
      </c>
      <c r="G5">
        <v>8</v>
      </c>
      <c r="H5" s="2">
        <v>0.35486111111111113</v>
      </c>
      <c r="I5">
        <v>8.1999999999999993</v>
      </c>
      <c r="J5" s="2">
        <v>0.35555555555555557</v>
      </c>
      <c r="K5">
        <v>6</v>
      </c>
      <c r="L5" s="2">
        <v>0.35625000000000001</v>
      </c>
      <c r="M5">
        <v>0.33181699999999997</v>
      </c>
      <c r="N5">
        <v>0.11165799999999999</v>
      </c>
      <c r="O5">
        <v>0.16758300000000001</v>
      </c>
      <c r="P5">
        <v>0.17360500000000001</v>
      </c>
      <c r="T5">
        <v>1.0429850000000001</v>
      </c>
      <c r="U5">
        <v>1.1243479999999999</v>
      </c>
      <c r="V5">
        <v>0.96891899999999997</v>
      </c>
      <c r="W5">
        <v>1.0959570000000001</v>
      </c>
      <c r="AB5" s="6">
        <f t="shared" si="0"/>
        <v>0.35458333333333336</v>
      </c>
      <c r="AC5" s="5">
        <f t="shared" si="1"/>
        <v>6.8400000000000007</v>
      </c>
      <c r="AD5" s="7">
        <f t="shared" si="2"/>
        <v>0.70042844031349782</v>
      </c>
      <c r="AE5" s="9">
        <f t="shared" si="3"/>
        <v>0.19616575</v>
      </c>
      <c r="AF5">
        <f t="shared" si="4"/>
        <v>4.7318761672608935E-2</v>
      </c>
      <c r="AG5" s="5">
        <f t="shared" si="5"/>
        <v>1.05805225</v>
      </c>
      <c r="AH5">
        <f t="shared" si="6"/>
        <v>3.4160960684615313E-2</v>
      </c>
    </row>
    <row r="6" spans="1:34">
      <c r="A6">
        <v>1.1000000000000001</v>
      </c>
      <c r="B6">
        <v>1</v>
      </c>
      <c r="C6">
        <v>6.7</v>
      </c>
      <c r="D6" s="2">
        <v>0.35972222222222222</v>
      </c>
      <c r="E6">
        <v>7</v>
      </c>
      <c r="F6" s="2">
        <v>0.36041666666666666</v>
      </c>
      <c r="G6">
        <v>8</v>
      </c>
      <c r="H6" s="2">
        <v>0.3611111111111111</v>
      </c>
      <c r="I6">
        <v>7.6</v>
      </c>
      <c r="J6" s="2">
        <v>0.36180555555555555</v>
      </c>
      <c r="K6">
        <v>7.8</v>
      </c>
      <c r="L6" s="2">
        <v>0.36319444444444443</v>
      </c>
      <c r="M6">
        <v>0.17297000000000001</v>
      </c>
      <c r="N6">
        <v>0.26937</v>
      </c>
      <c r="O6">
        <v>0.233574</v>
      </c>
      <c r="P6">
        <v>0.10431699999999999</v>
      </c>
      <c r="T6">
        <v>1.1344639999999999</v>
      </c>
      <c r="U6">
        <v>1.006124</v>
      </c>
      <c r="V6">
        <v>1.0346230000000001</v>
      </c>
      <c r="W6">
        <v>1.255717</v>
      </c>
      <c r="AB6" s="6">
        <f t="shared" si="0"/>
        <v>0.36124999999999996</v>
      </c>
      <c r="AC6" s="5">
        <f t="shared" si="1"/>
        <v>7.419999999999999</v>
      </c>
      <c r="AD6" s="7">
        <f t="shared" si="2"/>
        <v>0.24576411454889011</v>
      </c>
      <c r="AE6" s="9">
        <f t="shared" si="3"/>
        <v>0.19505775</v>
      </c>
      <c r="AF6">
        <f t="shared" si="4"/>
        <v>3.6202629306849594E-2</v>
      </c>
      <c r="AG6" s="5">
        <f t="shared" si="5"/>
        <v>1.1077319999999999</v>
      </c>
      <c r="AH6">
        <f t="shared" si="6"/>
        <v>5.6482498464863702E-2</v>
      </c>
    </row>
    <row r="7" spans="1:34">
      <c r="A7">
        <v>3.1</v>
      </c>
      <c r="B7">
        <v>1</v>
      </c>
      <c r="C7">
        <v>10.5</v>
      </c>
      <c r="D7" s="2">
        <v>0.37083333333333335</v>
      </c>
      <c r="E7">
        <v>10</v>
      </c>
      <c r="F7" s="2">
        <v>0.37152777777777773</v>
      </c>
      <c r="G7">
        <v>10</v>
      </c>
      <c r="H7" s="2">
        <v>0.37291666666666662</v>
      </c>
      <c r="I7">
        <v>8.5</v>
      </c>
      <c r="J7" s="2">
        <v>0.37361111111111112</v>
      </c>
      <c r="K7">
        <v>12.5</v>
      </c>
      <c r="L7" s="2">
        <v>0.375</v>
      </c>
      <c r="M7">
        <v>0.172406</v>
      </c>
      <c r="N7">
        <v>0.24162700000000001</v>
      </c>
      <c r="O7">
        <v>0.23361999999999999</v>
      </c>
      <c r="P7">
        <v>0.20391300000000001</v>
      </c>
      <c r="T7">
        <v>1.1176459999999999</v>
      </c>
      <c r="U7">
        <v>1.283337</v>
      </c>
      <c r="V7">
        <v>1.367502</v>
      </c>
      <c r="W7">
        <v>1.578692</v>
      </c>
      <c r="AB7" s="6">
        <f t="shared" si="0"/>
        <v>0.37277777777777776</v>
      </c>
      <c r="AC7" s="5">
        <f t="shared" si="1"/>
        <v>10.3</v>
      </c>
      <c r="AD7" s="7">
        <f t="shared" si="2"/>
        <v>0.64420493633625442</v>
      </c>
      <c r="AE7" s="9">
        <f t="shared" si="3"/>
        <v>0.21289150000000001</v>
      </c>
      <c r="AF7">
        <f t="shared" si="4"/>
        <v>1.5745604796789062E-2</v>
      </c>
      <c r="AG7" s="5">
        <f t="shared" si="5"/>
        <v>1.3367942500000001</v>
      </c>
      <c r="AH7">
        <f t="shared" si="6"/>
        <v>9.5891049469675457E-2</v>
      </c>
    </row>
    <row r="8" spans="1:34">
      <c r="A8">
        <v>4.0999999999999996</v>
      </c>
      <c r="B8">
        <v>1</v>
      </c>
      <c r="C8">
        <v>7</v>
      </c>
      <c r="D8" s="2">
        <v>0.37847222222222227</v>
      </c>
      <c r="E8">
        <v>6.5</v>
      </c>
      <c r="F8" s="2">
        <v>0.37916666666666665</v>
      </c>
      <c r="G8">
        <v>8.5</v>
      </c>
      <c r="H8" s="2">
        <v>0.37986111111111115</v>
      </c>
      <c r="I8">
        <v>7</v>
      </c>
      <c r="J8" s="2">
        <v>0.38125000000000003</v>
      </c>
      <c r="K8">
        <v>8</v>
      </c>
      <c r="L8" s="2">
        <v>0.38194444444444442</v>
      </c>
      <c r="M8">
        <v>0.32096799999999998</v>
      </c>
      <c r="N8">
        <v>0.29773500000000003</v>
      </c>
      <c r="O8">
        <v>0.36694199999999999</v>
      </c>
      <c r="P8">
        <v>0.249949</v>
      </c>
      <c r="T8">
        <v>1.196998</v>
      </c>
      <c r="U8">
        <v>1.6373679999999999</v>
      </c>
      <c r="V8">
        <v>1.1971890000000001</v>
      </c>
      <c r="W8">
        <v>1.1684079999999999</v>
      </c>
      <c r="AB8" s="6">
        <f t="shared" si="0"/>
        <v>0.38013888888888892</v>
      </c>
      <c r="AC8" s="5">
        <f t="shared" si="1"/>
        <v>7.4</v>
      </c>
      <c r="AD8" s="7">
        <f t="shared" si="2"/>
        <v>0.36742346141747667</v>
      </c>
      <c r="AE8" s="9">
        <f t="shared" si="3"/>
        <v>0.30889850000000002</v>
      </c>
      <c r="AF8">
        <f t="shared" si="4"/>
        <v>2.4348832971691499E-2</v>
      </c>
      <c r="AG8" s="5">
        <f t="shared" si="5"/>
        <v>1.2999907500000001</v>
      </c>
      <c r="AH8">
        <f t="shared" si="6"/>
        <v>0.11266215545853184</v>
      </c>
    </row>
    <row r="9" spans="1:34">
      <c r="A9">
        <v>5</v>
      </c>
      <c r="B9">
        <v>1</v>
      </c>
      <c r="C9">
        <v>20.5</v>
      </c>
      <c r="D9" s="2">
        <v>0.39166666666666666</v>
      </c>
      <c r="E9">
        <v>19.2</v>
      </c>
      <c r="F9" s="2">
        <v>0.39444444444444443</v>
      </c>
      <c r="G9">
        <v>21</v>
      </c>
      <c r="H9" s="2">
        <v>0.39374999999999999</v>
      </c>
      <c r="I9">
        <v>20</v>
      </c>
      <c r="J9" s="2">
        <v>0.39513888888888887</v>
      </c>
      <c r="K9">
        <v>20.5</v>
      </c>
      <c r="L9" s="2">
        <v>0.39652777777777781</v>
      </c>
      <c r="M9">
        <v>8.1420999999999993E-2</v>
      </c>
      <c r="N9">
        <v>0.16016</v>
      </c>
      <c r="O9">
        <v>0.16034399999999999</v>
      </c>
      <c r="P9">
        <v>0.11415500000000001</v>
      </c>
      <c r="Q9">
        <v>0.156666</v>
      </c>
      <c r="T9">
        <v>2.0964330000000002</v>
      </c>
      <c r="U9">
        <v>2.1950159999999999</v>
      </c>
      <c r="V9">
        <v>1.7050129999999999</v>
      </c>
      <c r="W9">
        <v>2.131119</v>
      </c>
      <c r="X9">
        <v>1.9359999999999999</v>
      </c>
      <c r="AB9" s="6">
        <f t="shared" si="0"/>
        <v>0.39430555555555558</v>
      </c>
      <c r="AC9" s="5">
        <f t="shared" si="1"/>
        <v>20.240000000000002</v>
      </c>
      <c r="AD9" s="7">
        <f t="shared" si="2"/>
        <v>0.30430248109405889</v>
      </c>
      <c r="AE9" s="9">
        <f t="shared" si="3"/>
        <v>0.13454919999999998</v>
      </c>
      <c r="AF9">
        <f t="shared" si="4"/>
        <v>1.5888622745222458E-2</v>
      </c>
      <c r="AG9" s="5">
        <f t="shared" si="5"/>
        <v>2.0127161999999998</v>
      </c>
      <c r="AH9">
        <f t="shared" si="6"/>
        <v>8.7985105944926839E-2</v>
      </c>
    </row>
    <row r="11" spans="1:34">
      <c r="A11">
        <v>2.1</v>
      </c>
      <c r="B11">
        <v>2</v>
      </c>
      <c r="C11">
        <v>18</v>
      </c>
      <c r="D11" s="2">
        <v>0.45694444444444443</v>
      </c>
      <c r="E11">
        <v>18.5</v>
      </c>
      <c r="F11" s="2">
        <v>0.45833333333333331</v>
      </c>
      <c r="G11">
        <v>20</v>
      </c>
      <c r="H11" s="2">
        <v>0.4597222222222222</v>
      </c>
      <c r="M11">
        <v>9.1060000000000002E-2</v>
      </c>
      <c r="N11">
        <v>7.9520999999999994E-2</v>
      </c>
      <c r="O11">
        <v>0.115522</v>
      </c>
      <c r="P11">
        <v>0.12013799999999999</v>
      </c>
      <c r="T11">
        <v>2.7663090000000001</v>
      </c>
      <c r="U11">
        <v>2.807579</v>
      </c>
      <c r="V11">
        <v>1.8663099999999999</v>
      </c>
      <c r="W11">
        <v>2.4388800000000002</v>
      </c>
      <c r="AB11" s="6">
        <f>AVERAGE(D11,F11,H11,J11,L11)</f>
        <v>0.45833333333333331</v>
      </c>
      <c r="AC11" s="5">
        <f>AVERAGE(C11,E11,G11,I11,K11)</f>
        <v>18.833333333333332</v>
      </c>
      <c r="AD11" s="7">
        <f>STDEV(C11,E11,G11,I11,K11)/SQRT(COUNT(C11,E11,G11,I11,K11))</f>
        <v>0.60092521257733156</v>
      </c>
      <c r="AE11" s="9">
        <f>AVERAGE(M11:S11)</f>
        <v>0.10156024999999999</v>
      </c>
      <c r="AF11">
        <f>STDEV(M11:S11)/SQRT(COUNT(M11:S11))</f>
        <v>9.7298811604167989E-3</v>
      </c>
      <c r="AG11" s="5">
        <f>AVERAGE(T11:Z11)</f>
        <v>2.4697695</v>
      </c>
      <c r="AH11">
        <f>STDEV(T11:Z11)/SQRT(COUNT(T11:Z11))</f>
        <v>0.21740294054684908</v>
      </c>
    </row>
    <row r="12" spans="1:34">
      <c r="A12">
        <v>1.2</v>
      </c>
      <c r="B12">
        <v>2</v>
      </c>
      <c r="C12">
        <v>20</v>
      </c>
      <c r="D12" s="2">
        <v>0.46180555555555558</v>
      </c>
      <c r="E12">
        <v>17.5</v>
      </c>
      <c r="F12" s="2">
        <v>0.46388888888888885</v>
      </c>
      <c r="G12">
        <v>19</v>
      </c>
      <c r="H12" s="2">
        <v>0.46458333333333335</v>
      </c>
      <c r="I12">
        <v>19</v>
      </c>
      <c r="J12" s="2">
        <v>0.46597222222222223</v>
      </c>
      <c r="M12">
        <v>0.15687499999999999</v>
      </c>
      <c r="N12">
        <v>0.18581500000000001</v>
      </c>
      <c r="O12">
        <v>8.1886E-2</v>
      </c>
      <c r="P12">
        <v>0.17080999999999999</v>
      </c>
      <c r="T12">
        <v>2.4678580000000001</v>
      </c>
      <c r="U12">
        <v>2.5495999999999999</v>
      </c>
      <c r="V12">
        <v>2.6962959999999998</v>
      </c>
      <c r="W12">
        <v>2.608311</v>
      </c>
      <c r="AB12" s="6">
        <f>AVERAGE(D12,F12,H12,J12,L12)</f>
        <v>0.46406249999999999</v>
      </c>
      <c r="AC12" s="5">
        <f>AVERAGE(C12,E12,G12,I12,K12)</f>
        <v>18.875</v>
      </c>
      <c r="AD12" s="7">
        <f>STDEV(C12,E12,G12,I12,K12)/SQRT(COUNT(C12,E12,G12,I12,K12))</f>
        <v>0.51538820320220757</v>
      </c>
      <c r="AE12" s="9">
        <f>AVERAGE(M12:S12)</f>
        <v>0.14884649999999999</v>
      </c>
      <c r="AF12">
        <f>STDEV(M12:S12)/SQRT(COUNT(M12:S12))</f>
        <v>2.3089013796248066E-2</v>
      </c>
      <c r="AG12" s="5">
        <f>AVERAGE(T12:Z12)</f>
        <v>2.5805162500000001</v>
      </c>
      <c r="AH12">
        <f>STDEV(T12:Z12)/SQRT(COUNT(T12:Z12))</f>
        <v>4.8153568961491963E-2</v>
      </c>
    </row>
    <row r="13" spans="1:34">
      <c r="A13">
        <v>3.2</v>
      </c>
      <c r="B13">
        <v>2</v>
      </c>
      <c r="C13">
        <v>17</v>
      </c>
      <c r="D13" s="2">
        <v>0.4826388888888889</v>
      </c>
      <c r="E13">
        <v>16.5</v>
      </c>
      <c r="F13" s="2">
        <v>0.48402777777777778</v>
      </c>
      <c r="G13">
        <v>17</v>
      </c>
      <c r="H13" s="2">
        <v>0.48472222222222222</v>
      </c>
      <c r="M13">
        <v>0.21901200000000001</v>
      </c>
      <c r="N13">
        <v>0.29925499999999999</v>
      </c>
      <c r="O13">
        <v>0.242871</v>
      </c>
      <c r="P13">
        <v>0.19428200000000001</v>
      </c>
      <c r="T13">
        <v>2.5815220000000001</v>
      </c>
      <c r="U13">
        <v>2.4718680000000002</v>
      </c>
      <c r="V13">
        <v>1.9680029999999999</v>
      </c>
      <c r="W13">
        <v>2.565696</v>
      </c>
      <c r="AB13" s="6">
        <f t="shared" ref="AB13:AB18" si="7">AVERAGE(D13,F13,H13,J13,L13)</f>
        <v>0.48379629629629628</v>
      </c>
      <c r="AC13" s="5">
        <f t="shared" ref="AC13:AC18" si="8">AVERAGE(C13,E13,G13,I13,K13)</f>
        <v>16.833333333333332</v>
      </c>
      <c r="AD13" s="7">
        <f t="shared" ref="AD13:AD18" si="9">STDEV(C13,E13,G13,I13,K13)/SQRT(COUNT(C13,E13,G13,I13,K13))</f>
        <v>0.16666666666666669</v>
      </c>
      <c r="AE13" s="9">
        <f t="shared" ref="AE13:AE19" si="10">AVERAGE(M13:S13)</f>
        <v>0.23885500000000004</v>
      </c>
      <c r="AF13">
        <f t="shared" ref="AF13:AF19" si="11">STDEV(M13:S13)/SQRT(COUNT(M13:S13))</f>
        <v>2.2443976983443182E-2</v>
      </c>
      <c r="AG13" s="5">
        <f t="shared" ref="AG13:AG19" si="12">AVERAGE(T13:Z13)</f>
        <v>2.3967722499999997</v>
      </c>
      <c r="AH13">
        <f t="shared" ref="AH13:AH19" si="13">STDEV(T13:Z13)/SQRT(COUNT(T13:Z13))</f>
        <v>0.14495693177997143</v>
      </c>
    </row>
    <row r="14" spans="1:34">
      <c r="A14">
        <v>2.2000000000000002</v>
      </c>
      <c r="B14">
        <v>2</v>
      </c>
      <c r="C14">
        <v>17.2</v>
      </c>
      <c r="D14" s="2">
        <v>0.4770833333333333</v>
      </c>
      <c r="E14">
        <v>17</v>
      </c>
      <c r="F14" s="2">
        <v>0.47847222222222219</v>
      </c>
      <c r="G14">
        <v>15</v>
      </c>
      <c r="H14" s="2">
        <v>0.47986111111111113</v>
      </c>
      <c r="M14">
        <v>0.118452</v>
      </c>
      <c r="N14">
        <v>0.12131699999999999</v>
      </c>
      <c r="O14">
        <v>0.20258499999999999</v>
      </c>
      <c r="P14">
        <v>0.27198099999999997</v>
      </c>
      <c r="T14">
        <v>3.0953750000000002</v>
      </c>
      <c r="U14">
        <v>2.8944000000000001</v>
      </c>
      <c r="V14">
        <v>2.5461040000000001</v>
      </c>
      <c r="W14">
        <v>2.3000959999999999</v>
      </c>
      <c r="AB14" s="6">
        <f t="shared" si="7"/>
        <v>0.47847222222222219</v>
      </c>
      <c r="AC14" s="5">
        <f t="shared" si="8"/>
        <v>16.400000000000002</v>
      </c>
      <c r="AD14" s="7">
        <f t="shared" si="9"/>
        <v>0.70237691685684922</v>
      </c>
      <c r="AE14" s="9">
        <f t="shared" si="10"/>
        <v>0.17858374999999999</v>
      </c>
      <c r="AF14">
        <f t="shared" si="11"/>
        <v>3.6736011309011683E-2</v>
      </c>
      <c r="AG14" s="5">
        <f t="shared" si="12"/>
        <v>2.7089937499999999</v>
      </c>
      <c r="AH14">
        <f t="shared" si="13"/>
        <v>0.17734062998007358</v>
      </c>
    </row>
    <row r="15" spans="1:34">
      <c r="A15">
        <v>1.1000000000000001</v>
      </c>
      <c r="B15">
        <v>2</v>
      </c>
      <c r="C15">
        <v>15</v>
      </c>
      <c r="D15" s="2">
        <v>0.47083333333333338</v>
      </c>
      <c r="E15">
        <v>15</v>
      </c>
      <c r="F15" s="2">
        <v>0.47222222222222227</v>
      </c>
      <c r="G15">
        <v>15.5</v>
      </c>
      <c r="H15" s="2">
        <v>0.47430555555555554</v>
      </c>
      <c r="M15">
        <v>0.22331799999999999</v>
      </c>
      <c r="N15">
        <v>0.22749</v>
      </c>
      <c r="O15">
        <v>0.35771799999999998</v>
      </c>
      <c r="P15">
        <v>0.20310900000000001</v>
      </c>
      <c r="T15">
        <v>2.245609</v>
      </c>
      <c r="U15">
        <v>2.3018519999999998</v>
      </c>
      <c r="V15">
        <v>2.1459519999999999</v>
      </c>
      <c r="W15">
        <v>2.381955</v>
      </c>
      <c r="AB15" s="6">
        <f t="shared" si="7"/>
        <v>0.47245370370370371</v>
      </c>
      <c r="AC15" s="5">
        <f t="shared" si="8"/>
        <v>15.166666666666666</v>
      </c>
      <c r="AD15" s="7">
        <f t="shared" si="9"/>
        <v>0.16666666666666669</v>
      </c>
      <c r="AE15" s="9">
        <f t="shared" si="10"/>
        <v>0.25290875000000002</v>
      </c>
      <c r="AF15">
        <f t="shared" si="11"/>
        <v>3.5339684165196374E-2</v>
      </c>
      <c r="AG15" s="5">
        <f t="shared" si="12"/>
        <v>2.2688419999999998</v>
      </c>
      <c r="AH15">
        <f t="shared" si="13"/>
        <v>4.96033729179109E-2</v>
      </c>
    </row>
    <row r="16" spans="1:34">
      <c r="A16">
        <v>3.1</v>
      </c>
      <c r="B16">
        <v>2</v>
      </c>
      <c r="C16">
        <v>18</v>
      </c>
      <c r="D16" s="2">
        <v>0.48888888888888887</v>
      </c>
      <c r="E16">
        <v>17</v>
      </c>
      <c r="F16" s="2">
        <v>0.49027777777777781</v>
      </c>
      <c r="G16">
        <v>17</v>
      </c>
      <c r="H16" s="2">
        <v>0.4909722222222222</v>
      </c>
      <c r="M16">
        <v>0.13397600000000001</v>
      </c>
      <c r="N16">
        <v>0.22348299999999999</v>
      </c>
      <c r="O16">
        <v>0.15703400000000001</v>
      </c>
      <c r="P16">
        <v>0.14074800000000001</v>
      </c>
      <c r="T16">
        <v>2.0606450000000001</v>
      </c>
      <c r="U16">
        <v>1.7012689999999999</v>
      </c>
      <c r="V16">
        <v>1.772626</v>
      </c>
      <c r="W16">
        <v>1.788462</v>
      </c>
      <c r="AB16" s="6">
        <f t="shared" si="7"/>
        <v>0.49004629629629631</v>
      </c>
      <c r="AC16" s="5">
        <f t="shared" si="8"/>
        <v>17.333333333333332</v>
      </c>
      <c r="AD16" s="7">
        <f t="shared" si="9"/>
        <v>0.33333333333333337</v>
      </c>
      <c r="AE16" s="9">
        <f t="shared" si="10"/>
        <v>0.16381024999999999</v>
      </c>
      <c r="AF16">
        <f t="shared" si="11"/>
        <v>2.0470923494780784E-2</v>
      </c>
      <c r="AG16" s="5">
        <f t="shared" si="12"/>
        <v>1.8307504999999999</v>
      </c>
      <c r="AH16">
        <f t="shared" si="13"/>
        <v>7.8942866843158613E-2</v>
      </c>
    </row>
    <row r="17" spans="1:34">
      <c r="A17">
        <v>4.0999999999999996</v>
      </c>
      <c r="B17">
        <v>2</v>
      </c>
      <c r="C17">
        <v>12</v>
      </c>
      <c r="D17" s="2">
        <v>0.49374999999999997</v>
      </c>
      <c r="E17">
        <v>13</v>
      </c>
      <c r="F17" s="2">
        <v>0.49444444444444446</v>
      </c>
      <c r="G17">
        <v>14</v>
      </c>
      <c r="H17" s="2">
        <v>0.49513888888888885</v>
      </c>
      <c r="I17">
        <v>14</v>
      </c>
      <c r="J17" s="2">
        <v>0.49652777777777773</v>
      </c>
      <c r="M17">
        <v>0.42132500000000001</v>
      </c>
      <c r="N17">
        <v>0.32139499999999999</v>
      </c>
      <c r="O17">
        <v>0.348883</v>
      </c>
      <c r="P17">
        <v>0.22856199999999999</v>
      </c>
      <c r="T17">
        <v>2.208958</v>
      </c>
      <c r="U17">
        <v>2.4248910000000001</v>
      </c>
      <c r="V17">
        <v>2.5079929999999999</v>
      </c>
      <c r="W17">
        <v>2.6336729999999999</v>
      </c>
      <c r="AB17" s="6">
        <f t="shared" si="7"/>
        <v>0.49496527777777771</v>
      </c>
      <c r="AC17" s="5">
        <f t="shared" si="8"/>
        <v>13.25</v>
      </c>
      <c r="AD17" s="7">
        <f t="shared" si="9"/>
        <v>0.47871355387816905</v>
      </c>
      <c r="AE17" s="9">
        <f t="shared" si="10"/>
        <v>0.33004125000000001</v>
      </c>
      <c r="AF17">
        <f t="shared" si="11"/>
        <v>3.9854454348238512E-2</v>
      </c>
      <c r="AG17" s="5">
        <f t="shared" si="12"/>
        <v>2.4438787499999997</v>
      </c>
      <c r="AH17">
        <f t="shared" si="13"/>
        <v>8.929389108292439E-2</v>
      </c>
    </row>
    <row r="18" spans="1:34">
      <c r="A18">
        <v>5</v>
      </c>
      <c r="B18">
        <v>2</v>
      </c>
      <c r="C18">
        <v>26</v>
      </c>
      <c r="D18" s="2">
        <v>0.50555555555555554</v>
      </c>
      <c r="E18">
        <v>24.5</v>
      </c>
      <c r="F18" s="2">
        <v>0.50694444444444442</v>
      </c>
      <c r="G18">
        <v>25</v>
      </c>
      <c r="H18" s="2">
        <v>0.5083333333333333</v>
      </c>
      <c r="M18">
        <v>2.9357000000000001E-2</v>
      </c>
      <c r="N18">
        <v>4.3157000000000001E-2</v>
      </c>
      <c r="O18">
        <v>1.8423999999999999E-2</v>
      </c>
      <c r="P18">
        <v>2.8556000000000002E-2</v>
      </c>
      <c r="T18">
        <v>3.4507189999999999</v>
      </c>
      <c r="U18">
        <v>3.5795940000000002</v>
      </c>
      <c r="V18">
        <v>3.337879</v>
      </c>
      <c r="W18">
        <v>3.8984260000000002</v>
      </c>
      <c r="AB18" s="6">
        <f t="shared" si="7"/>
        <v>0.50694444444444442</v>
      </c>
      <c r="AC18" s="5">
        <f t="shared" si="8"/>
        <v>25.166666666666668</v>
      </c>
      <c r="AD18" s="7">
        <f t="shared" si="9"/>
        <v>0.44095855184409843</v>
      </c>
      <c r="AE18" s="9">
        <f>AVERAGE(M18:S18)</f>
        <v>2.9873499999999997E-2</v>
      </c>
      <c r="AF18">
        <f t="shared" si="11"/>
        <v>5.0789188564102934E-3</v>
      </c>
      <c r="AG18" s="5">
        <f t="shared" si="12"/>
        <v>3.5666545000000003</v>
      </c>
      <c r="AH18">
        <f t="shared" si="13"/>
        <v>0.12111256074171943</v>
      </c>
    </row>
    <row r="19" spans="1:34">
      <c r="A19">
        <v>6</v>
      </c>
      <c r="B19">
        <v>2</v>
      </c>
      <c r="M19">
        <v>4.5978999999999999E-2</v>
      </c>
      <c r="N19">
        <v>4.3116000000000002E-2</v>
      </c>
      <c r="O19">
        <v>7.1568999999999994E-2</v>
      </c>
      <c r="P19">
        <v>7.0588999999999999E-2</v>
      </c>
      <c r="T19">
        <v>4.0803130000000003</v>
      </c>
      <c r="U19">
        <v>3.5845579999999999</v>
      </c>
      <c r="V19">
        <v>3.988569</v>
      </c>
      <c r="W19">
        <v>3.5629430000000002</v>
      </c>
      <c r="AB19" s="6"/>
      <c r="AC19" s="5"/>
      <c r="AD19" s="7"/>
      <c r="AE19" s="9">
        <f t="shared" si="10"/>
        <v>5.7813249999999997E-2</v>
      </c>
      <c r="AF19">
        <f t="shared" si="11"/>
        <v>7.6838525317165481E-3</v>
      </c>
      <c r="AG19" s="5">
        <f t="shared" si="12"/>
        <v>3.8040957500000001</v>
      </c>
      <c r="AH19">
        <f t="shared" si="13"/>
        <v>0.13437442144704914</v>
      </c>
    </row>
    <row r="21" spans="1:34">
      <c r="A21">
        <v>2.1</v>
      </c>
      <c r="B21">
        <v>3</v>
      </c>
      <c r="C21">
        <v>17</v>
      </c>
      <c r="D21" s="2">
        <v>0.54305555555555551</v>
      </c>
      <c r="E21">
        <v>17</v>
      </c>
      <c r="F21" s="2">
        <v>0.5444444444444444</v>
      </c>
      <c r="G21">
        <v>17</v>
      </c>
      <c r="H21" s="2">
        <v>0.54513888888888895</v>
      </c>
      <c r="M21">
        <v>5.6839000000000001E-2</v>
      </c>
      <c r="N21">
        <v>7.4098999999999998E-2</v>
      </c>
      <c r="O21">
        <v>5.7748000000000001E-2</v>
      </c>
      <c r="P21">
        <v>1.7253999999999999E-2</v>
      </c>
      <c r="Q21">
        <v>0.11833399999999999</v>
      </c>
      <c r="T21">
        <v>2.3849749999999998</v>
      </c>
      <c r="U21">
        <v>2.2097920000000002</v>
      </c>
      <c r="V21">
        <v>2.2884540000000002</v>
      </c>
      <c r="W21">
        <v>2.3902489999999998</v>
      </c>
      <c r="X21">
        <v>2.3157589999999999</v>
      </c>
      <c r="AB21" s="6">
        <f>AVERAGE(D21,F21,H21,J21,L21)</f>
        <v>0.54421296296296295</v>
      </c>
      <c r="AC21" s="5">
        <f>AVERAGE(C21,E21,G21,I21,K21)</f>
        <v>17</v>
      </c>
      <c r="AD21" s="7">
        <f>STDEV(C21,E21,G21,I21,K21)/SQRT(COUNT(C21,E21,G21,I21,K21))</f>
        <v>0</v>
      </c>
      <c r="AE21" s="9">
        <f>AVERAGE(M21:S21)</f>
        <v>6.485479999999999E-2</v>
      </c>
      <c r="AF21">
        <f>STDEV(M21:S21)/SQRT(COUNT(M21:S21))</f>
        <v>1.6318817179562992E-2</v>
      </c>
      <c r="AG21" s="5">
        <f>AVERAGE(T21:Z21)</f>
        <v>2.3178457999999997</v>
      </c>
      <c r="AH21">
        <f>STDEV(T21:Z21)/SQRT(COUNT(T21:Z21))</f>
        <v>3.3385932066365843E-2</v>
      </c>
    </row>
    <row r="22" spans="1:34">
      <c r="A22">
        <v>1.2</v>
      </c>
      <c r="B22">
        <v>3</v>
      </c>
      <c r="C22">
        <v>13</v>
      </c>
      <c r="D22" s="2">
        <v>0.54166666666666663</v>
      </c>
      <c r="E22">
        <v>13</v>
      </c>
      <c r="F22" s="2">
        <v>0.54999999999999993</v>
      </c>
      <c r="G22">
        <v>13.2</v>
      </c>
      <c r="H22" s="2">
        <v>0.55069444444444449</v>
      </c>
      <c r="M22">
        <v>0.16115599999999999</v>
      </c>
      <c r="N22">
        <v>9.5038999999999998E-2</v>
      </c>
      <c r="O22">
        <v>0.130855</v>
      </c>
      <c r="P22">
        <v>0.16562499999999999</v>
      </c>
      <c r="T22">
        <v>2.71225</v>
      </c>
      <c r="U22">
        <v>3.4518230000000001</v>
      </c>
      <c r="V22">
        <v>2.551104</v>
      </c>
      <c r="W22">
        <v>2.75074</v>
      </c>
      <c r="AB22" s="6">
        <f>AVERAGE(D22,F22,H22,J22,L22)</f>
        <v>0.54745370370370372</v>
      </c>
      <c r="AC22" s="5">
        <f>AVERAGE(C22,E22,G22,I22,K22)</f>
        <v>13.066666666666668</v>
      </c>
      <c r="AD22" s="7">
        <f>STDEV(C22,E22,G22,I22,K22)/SQRT(COUNT(C22,E22,G22,I22,K22))</f>
        <v>6.666666666666643E-2</v>
      </c>
      <c r="AE22" s="9">
        <f>AVERAGE(M22:S22)</f>
        <v>0.13816875000000001</v>
      </c>
      <c r="AF22">
        <f>STDEV(M22:S22)/SQRT(COUNT(M22:S22))</f>
        <v>1.631953226645395E-2</v>
      </c>
      <c r="AG22" s="5">
        <f>AVERAGE(T22:Z22)</f>
        <v>2.8664792500000003</v>
      </c>
      <c r="AH22">
        <f>STDEV(T22:Z22)/SQRT(COUNT(T22:Z22))</f>
        <v>0.19984808595587886</v>
      </c>
    </row>
    <row r="23" spans="1:34">
      <c r="A23">
        <v>3.2</v>
      </c>
      <c r="B23">
        <v>3</v>
      </c>
      <c r="C23">
        <v>14.5</v>
      </c>
      <c r="D23" s="2">
        <v>0.56597222222222221</v>
      </c>
      <c r="E23">
        <v>14.5</v>
      </c>
      <c r="F23" s="2">
        <v>0.56666666666666665</v>
      </c>
      <c r="G23">
        <v>15</v>
      </c>
      <c r="H23" s="2">
        <v>0.56736111111111109</v>
      </c>
      <c r="M23">
        <v>0.26864900000000003</v>
      </c>
      <c r="N23">
        <v>0.225082</v>
      </c>
      <c r="O23">
        <v>0.121449</v>
      </c>
      <c r="P23">
        <v>0.25050299999999998</v>
      </c>
      <c r="T23">
        <v>2.1113230000000001</v>
      </c>
      <c r="U23">
        <v>2.1592560000000001</v>
      </c>
      <c r="V23">
        <v>2.665035</v>
      </c>
      <c r="W23">
        <v>2.2624629999999999</v>
      </c>
      <c r="AB23" s="6">
        <f t="shared" ref="AB23:AB29" si="14">AVERAGE(D23,F23,H23,J23,L23)</f>
        <v>0.56666666666666654</v>
      </c>
      <c r="AC23" s="5">
        <f t="shared" ref="AC23:AC29" si="15">AVERAGE(C23,E23,G23,I23,K23)</f>
        <v>14.666666666666666</v>
      </c>
      <c r="AD23" s="7">
        <f t="shared" ref="AD23:AD29" si="16">STDEV(C23,E23,G23,I23,K23)/SQRT(COUNT(C23,E23,G23,I23,K23))</f>
        <v>0.16666666666666669</v>
      </c>
      <c r="AE23" s="9">
        <f t="shared" ref="AE23:AE29" si="17">AVERAGE(M23:S23)</f>
        <v>0.21642075</v>
      </c>
      <c r="AF23">
        <f t="shared" ref="AF23:AF29" si="18">STDEV(M23:S23)/SQRT(COUNT(M23:S23))</f>
        <v>3.2893819597747648E-2</v>
      </c>
      <c r="AG23" s="5">
        <f t="shared" ref="AG23:AG29" si="19">AVERAGE(T23:Z23)</f>
        <v>2.2995192499999999</v>
      </c>
      <c r="AH23">
        <f t="shared" ref="AH23:AH29" si="20">STDEV(T23:Z23)/SQRT(COUNT(T23:Z23))</f>
        <v>0.1258526045872545</v>
      </c>
    </row>
    <row r="24" spans="1:34">
      <c r="A24">
        <v>2.2000000000000002</v>
      </c>
      <c r="B24">
        <v>3</v>
      </c>
      <c r="C24">
        <v>15.2</v>
      </c>
      <c r="D24" s="2">
        <v>0.55972222222222223</v>
      </c>
      <c r="E24">
        <v>16.2</v>
      </c>
      <c r="F24" s="2">
        <v>0.56111111111111112</v>
      </c>
      <c r="G24">
        <v>12.2</v>
      </c>
      <c r="H24" s="2">
        <v>0.56180555555555556</v>
      </c>
      <c r="M24">
        <v>0.145921</v>
      </c>
      <c r="N24">
        <v>0.12617900000000001</v>
      </c>
      <c r="O24">
        <v>0.13314000000000001</v>
      </c>
      <c r="P24">
        <v>0.108947</v>
      </c>
      <c r="T24">
        <v>2.187853</v>
      </c>
      <c r="U24">
        <v>2.294594</v>
      </c>
      <c r="V24">
        <v>2.1710120000000002</v>
      </c>
      <c r="W24">
        <v>2.1863679999999999</v>
      </c>
      <c r="AB24" s="6">
        <f t="shared" si="14"/>
        <v>0.56087962962962967</v>
      </c>
      <c r="AC24" s="5">
        <f t="shared" si="15"/>
        <v>14.533333333333331</v>
      </c>
      <c r="AD24" s="7">
        <f t="shared" si="16"/>
        <v>1.2018504251546684</v>
      </c>
      <c r="AE24" s="9">
        <f t="shared" si="17"/>
        <v>0.12854675000000002</v>
      </c>
      <c r="AF24">
        <f t="shared" si="18"/>
        <v>7.7067013520159978E-3</v>
      </c>
      <c r="AG24" s="5">
        <f t="shared" si="19"/>
        <v>2.2099567499999999</v>
      </c>
      <c r="AH24">
        <f t="shared" si="20"/>
        <v>2.84680559732454E-2</v>
      </c>
    </row>
    <row r="25" spans="1:34">
      <c r="A25">
        <v>1.1000000000000001</v>
      </c>
      <c r="B25">
        <v>3</v>
      </c>
      <c r="AB25" s="6"/>
      <c r="AC25" s="5"/>
      <c r="AD25" s="7"/>
      <c r="AE25" s="9"/>
      <c r="AG25" s="5"/>
    </row>
    <row r="26" spans="1:34">
      <c r="A26">
        <v>3.1</v>
      </c>
      <c r="B26">
        <v>3</v>
      </c>
      <c r="C26">
        <v>13</v>
      </c>
      <c r="D26" s="2">
        <v>0.57291666666666663</v>
      </c>
      <c r="E26">
        <v>10.5</v>
      </c>
      <c r="F26" s="2">
        <v>0.57361111111111118</v>
      </c>
      <c r="G26">
        <v>11.5</v>
      </c>
      <c r="H26" s="2">
        <v>0.57430555555555551</v>
      </c>
      <c r="M26">
        <v>0.40367900000000001</v>
      </c>
      <c r="N26">
        <v>0.14230400000000001</v>
      </c>
      <c r="O26">
        <v>0.33033699999999999</v>
      </c>
      <c r="P26">
        <v>0.23405100000000001</v>
      </c>
      <c r="T26">
        <v>2.9183750000000002</v>
      </c>
      <c r="U26">
        <v>3.306406</v>
      </c>
      <c r="V26">
        <v>3.2013780000000001</v>
      </c>
      <c r="W26">
        <v>3.293396</v>
      </c>
      <c r="AB26" s="6">
        <f t="shared" si="14"/>
        <v>0.57361111111111107</v>
      </c>
      <c r="AC26" s="5">
        <f t="shared" si="15"/>
        <v>11.666666666666666</v>
      </c>
      <c r="AD26" s="7">
        <f t="shared" si="16"/>
        <v>0.72648315725677903</v>
      </c>
      <c r="AE26" s="9">
        <f t="shared" si="17"/>
        <v>0.27759275</v>
      </c>
      <c r="AF26">
        <f t="shared" si="18"/>
        <v>5.6919993716875665E-2</v>
      </c>
      <c r="AG26" s="5">
        <f t="shared" si="19"/>
        <v>3.1798887499999999</v>
      </c>
      <c r="AH26">
        <f t="shared" si="20"/>
        <v>9.0250456903160095E-2</v>
      </c>
    </row>
    <row r="27" spans="1:34">
      <c r="A27">
        <v>4.0999999999999996</v>
      </c>
      <c r="B27">
        <v>3</v>
      </c>
      <c r="C27">
        <v>17.5</v>
      </c>
      <c r="D27" s="2">
        <v>0.57708333333333328</v>
      </c>
      <c r="E27">
        <v>17</v>
      </c>
      <c r="F27" s="2">
        <v>0.57777777777777783</v>
      </c>
      <c r="G27">
        <v>17</v>
      </c>
      <c r="H27" s="2">
        <v>0.57916666666666672</v>
      </c>
      <c r="M27">
        <v>0.16927200000000001</v>
      </c>
      <c r="N27">
        <v>0.119606</v>
      </c>
      <c r="O27">
        <v>0.11681900000000001</v>
      </c>
      <c r="P27">
        <v>0.198212</v>
      </c>
      <c r="T27">
        <v>2.198137</v>
      </c>
      <c r="U27">
        <v>2.416496</v>
      </c>
      <c r="V27">
        <v>2.251296</v>
      </c>
      <c r="W27">
        <v>2.2748740000000001</v>
      </c>
      <c r="AB27" s="6">
        <f t="shared" si="14"/>
        <v>0.57800925925925928</v>
      </c>
      <c r="AC27" s="5">
        <f>AVERAGE(C27,E27,G27,I27,K27)</f>
        <v>17.166666666666668</v>
      </c>
      <c r="AD27" s="7">
        <f t="shared" si="16"/>
        <v>0.16666666666666669</v>
      </c>
      <c r="AE27" s="9">
        <f t="shared" si="17"/>
        <v>0.15097725000000001</v>
      </c>
      <c r="AF27">
        <f t="shared" si="18"/>
        <v>1.9825826705650876E-2</v>
      </c>
      <c r="AG27" s="5">
        <f t="shared" si="19"/>
        <v>2.28520075</v>
      </c>
      <c r="AH27">
        <f t="shared" si="20"/>
        <v>4.6614297766127147E-2</v>
      </c>
    </row>
    <row r="28" spans="1:34">
      <c r="A28">
        <v>5</v>
      </c>
      <c r="B28">
        <v>3</v>
      </c>
      <c r="C28">
        <v>20.5</v>
      </c>
      <c r="D28" s="2">
        <v>0.58402777777777781</v>
      </c>
      <c r="E28">
        <v>21</v>
      </c>
      <c r="F28" s="2">
        <v>0.58472222222222225</v>
      </c>
      <c r="G28">
        <v>21.8</v>
      </c>
      <c r="H28" s="2">
        <v>0.58611111111111114</v>
      </c>
      <c r="M28">
        <v>3.2314000000000002E-2</v>
      </c>
      <c r="N28">
        <v>9.4324000000000005E-2</v>
      </c>
      <c r="O28">
        <v>5.9339999999999997E-2</v>
      </c>
      <c r="P28">
        <v>3.5118999999999997E-2</v>
      </c>
      <c r="T28">
        <v>4.2214989999999997</v>
      </c>
      <c r="U28">
        <v>3.7988749999999998</v>
      </c>
      <c r="V28">
        <v>4.0770119999999999</v>
      </c>
      <c r="W28">
        <v>3.9584709999999999</v>
      </c>
      <c r="AB28" s="6">
        <f t="shared" si="14"/>
        <v>0.58495370370370381</v>
      </c>
      <c r="AC28" s="5">
        <f t="shared" si="15"/>
        <v>21.099999999999998</v>
      </c>
      <c r="AD28" s="7">
        <f t="shared" si="16"/>
        <v>0.37859388972001845</v>
      </c>
      <c r="AE28" s="9">
        <f t="shared" si="17"/>
        <v>5.5274249999999997E-2</v>
      </c>
      <c r="AF28">
        <f t="shared" si="18"/>
        <v>1.4360885768729587E-2</v>
      </c>
      <c r="AG28" s="5">
        <f t="shared" si="19"/>
        <v>4.0139642499999999</v>
      </c>
      <c r="AH28">
        <f t="shared" si="20"/>
        <v>8.9623554148611867E-2</v>
      </c>
    </row>
    <row r="29" spans="1:34">
      <c r="A29">
        <v>6</v>
      </c>
      <c r="B29">
        <v>3</v>
      </c>
      <c r="C29">
        <v>21</v>
      </c>
      <c r="D29" s="2">
        <v>0.58750000000000002</v>
      </c>
      <c r="E29">
        <v>20</v>
      </c>
      <c r="F29" s="2">
        <v>0.58888888888888891</v>
      </c>
      <c r="M29">
        <v>6.9265999999999994E-2</v>
      </c>
      <c r="N29">
        <v>7.2473999999999997E-2</v>
      </c>
      <c r="O29">
        <v>6.8927000000000002E-2</v>
      </c>
      <c r="P29">
        <v>5.8023999999999999E-2</v>
      </c>
      <c r="T29">
        <v>4.2346110000000001</v>
      </c>
      <c r="U29">
        <v>3.7208700000000001</v>
      </c>
      <c r="V29">
        <v>3.0248940000000002</v>
      </c>
      <c r="W29">
        <v>3.3171010000000001</v>
      </c>
      <c r="AB29" s="6">
        <f t="shared" si="14"/>
        <v>0.58819444444444446</v>
      </c>
      <c r="AC29" s="5">
        <f t="shared" si="15"/>
        <v>20.5</v>
      </c>
      <c r="AD29" s="7">
        <f t="shared" si="16"/>
        <v>0.5</v>
      </c>
      <c r="AE29" s="9">
        <f t="shared" si="17"/>
        <v>6.7172750000000003E-2</v>
      </c>
      <c r="AF29">
        <f t="shared" si="18"/>
        <v>3.1525382200960962E-3</v>
      </c>
      <c r="AG29" s="5">
        <f t="shared" si="19"/>
        <v>3.5743689999999999</v>
      </c>
      <c r="AH29">
        <f t="shared" si="20"/>
        <v>0.26228032729219497</v>
      </c>
    </row>
    <row r="31" spans="1:34">
      <c r="A31">
        <v>2.1</v>
      </c>
      <c r="B31">
        <v>4</v>
      </c>
      <c r="C31">
        <v>22.5</v>
      </c>
      <c r="D31" s="2">
        <v>0.71875</v>
      </c>
      <c r="E31">
        <v>21.5</v>
      </c>
      <c r="F31" s="2">
        <v>0.71944444444444444</v>
      </c>
      <c r="G31">
        <v>20</v>
      </c>
      <c r="H31" s="2">
        <v>0.72083333333333333</v>
      </c>
      <c r="M31">
        <v>2.2891000000000002E-2</v>
      </c>
      <c r="N31">
        <v>5.9080000000000001E-2</v>
      </c>
      <c r="O31">
        <v>5.4545999999999997E-2</v>
      </c>
      <c r="P31">
        <v>0.12889600000000001</v>
      </c>
      <c r="T31">
        <v>4.1167759999999998</v>
      </c>
      <c r="U31">
        <v>3.968896</v>
      </c>
      <c r="V31">
        <v>4.0952039999999998</v>
      </c>
      <c r="W31">
        <v>3.2048359999999998</v>
      </c>
      <c r="AB31" s="6">
        <f>AVERAGE(D31,F31,H31,J31,L31)</f>
        <v>0.71967592592592589</v>
      </c>
      <c r="AC31" s="5">
        <f>AVERAGE(C31,E31,G31,I31,K31)</f>
        <v>21.333333333333332</v>
      </c>
      <c r="AD31" s="7">
        <f>STDEV(C31,E31,G31,I31,K31)/SQRT(COUNT(C31,E31,G31,I31,K31))</f>
        <v>0.72648315725677892</v>
      </c>
      <c r="AE31" s="9">
        <f>AVERAGE(M31:S31)</f>
        <v>6.6353250000000003E-2</v>
      </c>
      <c r="AF31">
        <f>STDEV(M31:S31)/SQRT(COUNT(M31:S31))</f>
        <v>2.2347397444948711E-2</v>
      </c>
      <c r="AG31" s="5">
        <f>AVERAGE(T31:Z31)</f>
        <v>3.8464279999999995</v>
      </c>
      <c r="AH31">
        <f>STDEV(T31:Z31)/SQRT(COUNT(T31:Z31))</f>
        <v>0.21633620531632394</v>
      </c>
    </row>
    <row r="32" spans="1:34">
      <c r="A32">
        <v>1.2</v>
      </c>
      <c r="B32">
        <v>4</v>
      </c>
      <c r="C32">
        <v>19.8</v>
      </c>
      <c r="D32" s="2">
        <v>0.73472222222222217</v>
      </c>
      <c r="E32">
        <v>18.600000000000001</v>
      </c>
      <c r="F32" s="2">
        <v>0.73541666666666661</v>
      </c>
      <c r="G32">
        <v>20</v>
      </c>
      <c r="H32" s="2">
        <v>0.7368055555555556</v>
      </c>
      <c r="M32">
        <v>5.8473999999999998E-2</v>
      </c>
      <c r="N32">
        <v>9.6209000000000003E-2</v>
      </c>
      <c r="O32">
        <v>7.9489000000000004E-2</v>
      </c>
      <c r="P32">
        <v>5.9131999999999997E-2</v>
      </c>
      <c r="T32">
        <v>2.655681</v>
      </c>
      <c r="U32">
        <v>3.6576230000000001</v>
      </c>
      <c r="V32">
        <v>3.096015</v>
      </c>
      <c r="W32">
        <v>3.386549</v>
      </c>
      <c r="AB32" s="6">
        <f>AVERAGE(D32,F32,H32,J32,L32)</f>
        <v>0.73564814814814816</v>
      </c>
      <c r="AC32" s="5">
        <f>AVERAGE(C32,E32,G32,I32,K32)</f>
        <v>19.466666666666669</v>
      </c>
      <c r="AD32" s="7">
        <f>STDEV(C32,E32,G32,I32,K32)/SQRT(COUNT(C32,E32,G32,I32,K32))</f>
        <v>0.43716256828679967</v>
      </c>
      <c r="AE32" s="9">
        <f>AVERAGE(M32:S32)</f>
        <v>7.3326000000000002E-2</v>
      </c>
      <c r="AF32">
        <f>STDEV(M32:S32)/SQRT(COUNT(M32:S32))</f>
        <v>9.0538472393415781E-3</v>
      </c>
      <c r="AG32" s="5">
        <f>AVERAGE(T32:Z32)</f>
        <v>3.1989670000000001</v>
      </c>
      <c r="AH32">
        <f>STDEV(T32:Z32)/SQRT(COUNT(T32:Z32))</f>
        <v>0.21434223513655251</v>
      </c>
    </row>
    <row r="33" spans="1:34">
      <c r="A33">
        <v>3.2</v>
      </c>
      <c r="B33">
        <v>4</v>
      </c>
      <c r="C33">
        <v>18.2</v>
      </c>
      <c r="D33" s="2">
        <v>0.73958333333333337</v>
      </c>
      <c r="E33">
        <v>17.5</v>
      </c>
      <c r="F33" s="2">
        <v>0.74305555555555547</v>
      </c>
      <c r="G33">
        <v>18.2</v>
      </c>
      <c r="H33" s="2">
        <v>0.74444444444444446</v>
      </c>
      <c r="M33">
        <v>0.171902</v>
      </c>
      <c r="N33">
        <v>0.169627</v>
      </c>
      <c r="O33">
        <v>6.7172999999999997E-2</v>
      </c>
      <c r="P33">
        <v>9.8557000000000006E-2</v>
      </c>
      <c r="T33">
        <v>3.3870879999999999</v>
      </c>
      <c r="U33">
        <v>3.1830229999999999</v>
      </c>
      <c r="V33">
        <v>4.3010630000000001</v>
      </c>
      <c r="W33">
        <v>3.8661620000000001</v>
      </c>
      <c r="AB33" s="6">
        <f t="shared" ref="AB33:AB39" si="21">AVERAGE(D33,F33,H33,J33,L33)</f>
        <v>0.74236111111111114</v>
      </c>
      <c r="AC33" s="5">
        <f t="shared" ref="AC33:AC39" si="22">AVERAGE(C33,E33,G33,I33,K33)</f>
        <v>17.966666666666669</v>
      </c>
      <c r="AD33" s="7">
        <f t="shared" ref="AD33:AD39" si="23">STDEV(C33,E33,G33,I33,K33)/SQRT(COUNT(C33,E33,G33,I33,K33))</f>
        <v>0.23333333333333311</v>
      </c>
      <c r="AE33" s="9">
        <f t="shared" ref="AE33:AE39" si="24">AVERAGE(M33:S33)</f>
        <v>0.12681474999999998</v>
      </c>
      <c r="AF33">
        <f t="shared" ref="AF33:AF39" si="25">STDEV(M33:S33)/SQRT(COUNT(M33:S33))</f>
        <v>2.6174713689535736E-2</v>
      </c>
      <c r="AG33" s="5">
        <f t="shared" ref="AG33:AG39" si="26">AVERAGE(T33:Z33)</f>
        <v>3.6843339999999998</v>
      </c>
      <c r="AH33">
        <f t="shared" ref="AH33:AH39" si="27">STDEV(T33:Z33)/SQRT(COUNT(T33:Z33))</f>
        <v>0.25051347007396718</v>
      </c>
    </row>
    <row r="34" spans="1:34">
      <c r="A34">
        <v>4.2</v>
      </c>
      <c r="B34">
        <v>4</v>
      </c>
      <c r="C34">
        <v>16.5</v>
      </c>
      <c r="D34" s="2">
        <v>0.7715277777777777</v>
      </c>
      <c r="E34">
        <v>17</v>
      </c>
      <c r="F34" s="2">
        <v>0.7729166666666667</v>
      </c>
      <c r="G34">
        <v>17</v>
      </c>
      <c r="H34" s="2">
        <v>0.77430555555555547</v>
      </c>
      <c r="M34">
        <v>0.144173</v>
      </c>
      <c r="N34">
        <v>7.0921999999999999E-2</v>
      </c>
      <c r="O34">
        <v>8.2733000000000001E-2</v>
      </c>
      <c r="P34">
        <v>9.9921999999999997E-2</v>
      </c>
      <c r="Q34">
        <v>0.15545900000000001</v>
      </c>
      <c r="T34">
        <v>2.8837139999999999</v>
      </c>
      <c r="U34">
        <v>2.718283</v>
      </c>
      <c r="V34">
        <v>2.6907800000000002</v>
      </c>
      <c r="W34">
        <v>3.245609</v>
      </c>
      <c r="X34">
        <v>3.2341199999999999</v>
      </c>
      <c r="AB34" s="6">
        <f>AVERAGE(D34,F34,H34,J34,L34)</f>
        <v>0.77291666666666659</v>
      </c>
      <c r="AC34" s="5">
        <f>AVERAGE(C34,E34,G34,I34,K34)</f>
        <v>16.833333333333332</v>
      </c>
      <c r="AD34" s="7">
        <f>STDEV(C34,E34,G34,I34,K34)/SQRT(COUNT(C34,E34,G34,I34,K34))</f>
        <v>0.16666666666666669</v>
      </c>
      <c r="AE34" s="9">
        <f>AVERAGE(M34:S34)</f>
        <v>0.11064180000000001</v>
      </c>
      <c r="AF34">
        <f>STDEV(M34:S34)/SQRT(COUNT(M34:S34))</f>
        <v>1.6739773789988914E-2</v>
      </c>
      <c r="AG34" s="5">
        <f>AVERAGE(T34:Z34)</f>
        <v>2.9545012000000002</v>
      </c>
      <c r="AH34">
        <f>STDEV(T34:Z34)/SQRT(COUNT(T34:Z34))</f>
        <v>0.12109689540999798</v>
      </c>
    </row>
    <row r="35" spans="1:34">
      <c r="A35">
        <v>2.2000000000000002</v>
      </c>
      <c r="B35">
        <v>4</v>
      </c>
      <c r="C35">
        <v>16</v>
      </c>
      <c r="D35" s="2">
        <v>0.75208333333333333</v>
      </c>
      <c r="E35">
        <v>16.5</v>
      </c>
      <c r="F35" s="2">
        <v>0.75069444444444444</v>
      </c>
      <c r="G35">
        <v>15.3</v>
      </c>
      <c r="H35" s="2">
        <v>0.75138888888888899</v>
      </c>
      <c r="M35">
        <v>0.112606</v>
      </c>
      <c r="N35">
        <v>0.11508</v>
      </c>
      <c r="O35">
        <v>0.12427100000000001</v>
      </c>
      <c r="P35">
        <v>5.2005000000000003E-2</v>
      </c>
      <c r="Q35">
        <v>0.14992900000000001</v>
      </c>
      <c r="T35">
        <v>3.4928240000000002</v>
      </c>
      <c r="U35">
        <v>3.5350700000000002</v>
      </c>
      <c r="V35">
        <v>3.3014619999999999</v>
      </c>
      <c r="W35">
        <v>3.849523</v>
      </c>
      <c r="X35">
        <v>3.4541369999999998</v>
      </c>
      <c r="AB35" s="6">
        <f t="shared" si="21"/>
        <v>0.75138888888888899</v>
      </c>
      <c r="AC35" s="5">
        <f t="shared" si="22"/>
        <v>15.933333333333332</v>
      </c>
      <c r="AD35" s="7">
        <f t="shared" si="23"/>
        <v>0.34801021696368478</v>
      </c>
      <c r="AE35" s="9">
        <f t="shared" si="24"/>
        <v>0.11077820000000001</v>
      </c>
      <c r="AF35">
        <f t="shared" si="25"/>
        <v>1.6110518562107184E-2</v>
      </c>
      <c r="AG35" s="5">
        <f t="shared" si="26"/>
        <v>3.5266032000000003</v>
      </c>
      <c r="AH35">
        <f t="shared" si="27"/>
        <v>8.9841479386417081E-2</v>
      </c>
    </row>
    <row r="36" spans="1:34">
      <c r="A36">
        <v>1.1000000000000001</v>
      </c>
      <c r="B36">
        <v>4</v>
      </c>
      <c r="C36">
        <v>13.2</v>
      </c>
      <c r="D36" s="2">
        <v>0.75486111111111109</v>
      </c>
      <c r="E36">
        <v>13.2</v>
      </c>
      <c r="F36" s="2">
        <v>0.75555555555555554</v>
      </c>
      <c r="G36">
        <v>13.5</v>
      </c>
      <c r="H36" s="2">
        <v>0.75694444444444453</v>
      </c>
      <c r="M36">
        <v>0.28046599999999999</v>
      </c>
      <c r="N36">
        <v>-2.1940000000000002E-3</v>
      </c>
      <c r="O36">
        <v>-2.2820000000000002E-3</v>
      </c>
      <c r="P36">
        <v>2.5072000000000001E-2</v>
      </c>
      <c r="Q36">
        <v>0.25042900000000001</v>
      </c>
      <c r="R36">
        <v>0.118865</v>
      </c>
      <c r="S36">
        <v>0.26351999999999998</v>
      </c>
      <c r="T36">
        <v>3.057178</v>
      </c>
      <c r="U36">
        <v>4.4800399999999998</v>
      </c>
      <c r="V36">
        <v>4.2589160000000001</v>
      </c>
      <c r="W36">
        <v>3.389475</v>
      </c>
      <c r="X36">
        <v>2.890587</v>
      </c>
      <c r="Y36">
        <v>3.1754549999999999</v>
      </c>
      <c r="Z36">
        <v>2.9529109999999998</v>
      </c>
      <c r="AB36" s="6">
        <f t="shared" si="21"/>
        <v>0.75578703703703709</v>
      </c>
      <c r="AC36" s="5">
        <f t="shared" si="22"/>
        <v>13.299999999999999</v>
      </c>
      <c r="AD36" s="7">
        <f t="shared" si="23"/>
        <v>0.10000000000000024</v>
      </c>
      <c r="AE36" s="9">
        <f t="shared" si="24"/>
        <v>0.13341085714285714</v>
      </c>
      <c r="AF36">
        <f>STDEV(M36:S36)/SQRT(COUNT(M36:S36))</f>
        <v>4.9037635823551536E-2</v>
      </c>
      <c r="AG36" s="5">
        <f t="shared" si="26"/>
        <v>3.4577945714285714</v>
      </c>
      <c r="AH36">
        <f t="shared" si="27"/>
        <v>0.24437919130853278</v>
      </c>
    </row>
    <row r="37" spans="1:34">
      <c r="A37">
        <v>3.1</v>
      </c>
      <c r="B37">
        <v>4</v>
      </c>
      <c r="C37">
        <v>18</v>
      </c>
      <c r="D37" s="2">
        <v>0.76111111111111107</v>
      </c>
      <c r="E37">
        <v>17.5</v>
      </c>
      <c r="F37" s="2">
        <v>0.76250000000000007</v>
      </c>
      <c r="G37">
        <v>18.2</v>
      </c>
      <c r="H37" s="2">
        <v>0.76388888888888884</v>
      </c>
      <c r="M37">
        <v>9.1488E-2</v>
      </c>
      <c r="N37">
        <v>0.17724999999999999</v>
      </c>
      <c r="O37">
        <v>0.14233499999999999</v>
      </c>
      <c r="P37">
        <v>9.6783999999999995E-2</v>
      </c>
      <c r="T37">
        <v>3.6027719999999999</v>
      </c>
      <c r="U37">
        <v>3.4051399999999998</v>
      </c>
      <c r="V37">
        <v>3.6418780000000002</v>
      </c>
      <c r="W37">
        <v>3.9110490000000002</v>
      </c>
      <c r="AB37" s="6">
        <f t="shared" si="21"/>
        <v>0.76250000000000007</v>
      </c>
      <c r="AC37" s="5">
        <f t="shared" si="22"/>
        <v>17.900000000000002</v>
      </c>
      <c r="AD37" s="7">
        <f t="shared" si="23"/>
        <v>0.2081665999466131</v>
      </c>
      <c r="AE37" s="9">
        <f t="shared" si="24"/>
        <v>0.12696425</v>
      </c>
      <c r="AF37">
        <f t="shared" si="25"/>
        <v>2.0277919873493741E-2</v>
      </c>
      <c r="AG37" s="5">
        <f t="shared" si="26"/>
        <v>3.6402097499999999</v>
      </c>
      <c r="AH37">
        <f t="shared" si="27"/>
        <v>0.10408972687412137</v>
      </c>
    </row>
    <row r="38" spans="1:34">
      <c r="A38">
        <v>4.0999999999999996</v>
      </c>
      <c r="B38">
        <v>4</v>
      </c>
      <c r="C38">
        <v>16</v>
      </c>
      <c r="D38" s="2">
        <v>0.76527777777777783</v>
      </c>
      <c r="E38">
        <v>15.5</v>
      </c>
      <c r="F38" s="2">
        <v>0.76666666666666661</v>
      </c>
      <c r="M38">
        <v>0.29856500000000002</v>
      </c>
      <c r="N38">
        <v>0.31852900000000001</v>
      </c>
      <c r="O38">
        <v>0.34010699999999999</v>
      </c>
      <c r="P38">
        <v>0.101102</v>
      </c>
      <c r="T38">
        <v>2.9244409999999998</v>
      </c>
      <c r="U38">
        <v>2.308192</v>
      </c>
      <c r="V38">
        <v>2.6446779999999999</v>
      </c>
      <c r="W38">
        <v>2.8801410000000001</v>
      </c>
      <c r="AB38" s="6">
        <f t="shared" si="21"/>
        <v>0.76597222222222228</v>
      </c>
      <c r="AC38" s="5">
        <f t="shared" si="22"/>
        <v>15.75</v>
      </c>
      <c r="AD38" s="7">
        <f t="shared" si="23"/>
        <v>0.25</v>
      </c>
      <c r="AE38" s="9">
        <f t="shared" si="24"/>
        <v>0.26457575</v>
      </c>
      <c r="AF38">
        <f t="shared" si="25"/>
        <v>5.5147422852107691E-2</v>
      </c>
      <c r="AG38" s="5">
        <f t="shared" si="26"/>
        <v>2.6893630000000002</v>
      </c>
      <c r="AH38">
        <f t="shared" si="27"/>
        <v>0.14111047440274113</v>
      </c>
    </row>
    <row r="39" spans="1:34">
      <c r="A39">
        <v>5</v>
      </c>
      <c r="B39">
        <v>4</v>
      </c>
      <c r="C39">
        <v>17.8</v>
      </c>
      <c r="D39" s="2">
        <v>0.77777777777777779</v>
      </c>
      <c r="E39">
        <v>17.5</v>
      </c>
      <c r="F39" s="2">
        <v>0.77777777777777779</v>
      </c>
      <c r="G39">
        <v>16.8</v>
      </c>
      <c r="H39" s="2">
        <v>0.77916666666666667</v>
      </c>
      <c r="M39">
        <v>0.106776</v>
      </c>
      <c r="N39">
        <v>8.3626000000000006E-2</v>
      </c>
      <c r="O39">
        <v>0.113965</v>
      </c>
      <c r="P39">
        <v>8.0253000000000005E-2</v>
      </c>
      <c r="T39">
        <v>2.549639</v>
      </c>
      <c r="U39">
        <v>2.957665</v>
      </c>
      <c r="V39">
        <v>2.850927</v>
      </c>
      <c r="W39">
        <v>3.6228020000000001</v>
      </c>
      <c r="AB39" s="6">
        <f t="shared" si="21"/>
        <v>0.77824074074074068</v>
      </c>
      <c r="AC39" s="5">
        <f t="shared" si="22"/>
        <v>17.366666666666664</v>
      </c>
      <c r="AD39" s="7">
        <f t="shared" si="23"/>
        <v>0.2962731472438529</v>
      </c>
      <c r="AE39" s="9">
        <f t="shared" si="24"/>
        <v>9.6155000000000004E-2</v>
      </c>
      <c r="AF39">
        <f t="shared" si="25"/>
        <v>8.3658591210546661E-3</v>
      </c>
      <c r="AG39" s="5">
        <f t="shared" si="26"/>
        <v>2.99525825</v>
      </c>
      <c r="AH39">
        <f t="shared" si="27"/>
        <v>0.22631696730963213</v>
      </c>
    </row>
    <row r="41" spans="1:34">
      <c r="A41">
        <v>2.1</v>
      </c>
      <c r="B41">
        <v>5</v>
      </c>
      <c r="C41">
        <v>19.5</v>
      </c>
      <c r="D41" s="2">
        <v>0.80694444444444446</v>
      </c>
      <c r="E41">
        <v>20.2</v>
      </c>
      <c r="F41" s="2">
        <v>0.80763888888888891</v>
      </c>
      <c r="G41">
        <v>19.8</v>
      </c>
      <c r="H41" s="2">
        <v>0.80902777777777779</v>
      </c>
      <c r="M41">
        <v>8.1604999999999997E-2</v>
      </c>
      <c r="N41">
        <v>5.6099999999999997E-2</v>
      </c>
      <c r="O41">
        <v>6.3492000000000007E-2</v>
      </c>
      <c r="P41">
        <v>0.12207899999999999</v>
      </c>
      <c r="T41">
        <v>3.1951719999999999</v>
      </c>
      <c r="U41">
        <v>3.1961949999999999</v>
      </c>
      <c r="V41">
        <v>3.3398750000000001</v>
      </c>
      <c r="W41">
        <v>3.2358690000000001</v>
      </c>
      <c r="AB41" s="6">
        <f t="shared" ref="AB41:AB48" si="28">AVERAGE(D41,F41,H41,J41,L41)</f>
        <v>0.80787037037037035</v>
      </c>
      <c r="AC41" s="5">
        <f t="shared" ref="AC41:AC48" si="29">AVERAGE(C41,E41,G41,I41,K41)</f>
        <v>19.833333333333332</v>
      </c>
      <c r="AD41" s="7">
        <f t="shared" ref="AD41:AD48" si="30">STDEV(C41,E41,G41,I41,K41)/SQRT(COUNT(C41,E41,G41,I41,K41))</f>
        <v>0.20275875100994042</v>
      </c>
      <c r="AE41" s="9">
        <f t="shared" ref="AE41:AE48" si="31">AVERAGE(M41:S41)</f>
        <v>8.0819000000000002E-2</v>
      </c>
      <c r="AF41">
        <f t="shared" ref="AF41:AF48" si="32">STDEV(M41:S41)/SQRT(COUNT(M41:S41))</f>
        <v>1.4759909908261622E-2</v>
      </c>
      <c r="AG41" s="5">
        <f t="shared" ref="AG41:AG48" si="33">AVERAGE(T41:Z41)</f>
        <v>3.2417777499999998</v>
      </c>
      <c r="AH41">
        <f t="shared" ref="AH41:AH48" si="34">STDEV(T41:Z41)/SQRT(COUNT(T41:Z41))</f>
        <v>3.4043926054865802E-2</v>
      </c>
    </row>
    <row r="42" spans="1:34">
      <c r="A42">
        <v>1.2</v>
      </c>
      <c r="B42">
        <v>5</v>
      </c>
      <c r="C42">
        <v>17.5</v>
      </c>
      <c r="D42" s="2">
        <v>0.81111111111111101</v>
      </c>
      <c r="E42">
        <v>19.5</v>
      </c>
      <c r="F42" s="2">
        <v>0.8125</v>
      </c>
      <c r="G42">
        <v>17.5</v>
      </c>
      <c r="H42" s="2">
        <v>0.81319444444444444</v>
      </c>
      <c r="M42">
        <v>0.10777100000000001</v>
      </c>
      <c r="N42">
        <v>0.116048</v>
      </c>
      <c r="O42">
        <v>0.116442</v>
      </c>
      <c r="P42">
        <v>9.6137E-2</v>
      </c>
      <c r="T42">
        <v>3.3909250000000002</v>
      </c>
      <c r="U42">
        <v>3.130115</v>
      </c>
      <c r="V42">
        <v>3.26294</v>
      </c>
      <c r="W42">
        <v>3.3741270000000001</v>
      </c>
      <c r="AB42" s="6">
        <f t="shared" si="28"/>
        <v>0.81226851851851845</v>
      </c>
      <c r="AC42" s="5">
        <f t="shared" si="29"/>
        <v>18.166666666666668</v>
      </c>
      <c r="AD42" s="7">
        <f t="shared" si="30"/>
        <v>0.66666666666666663</v>
      </c>
      <c r="AE42" s="9">
        <f t="shared" si="31"/>
        <v>0.10909949999999999</v>
      </c>
      <c r="AF42">
        <f t="shared" si="32"/>
        <v>4.7608234319285571E-3</v>
      </c>
      <c r="AG42" s="5">
        <f t="shared" si="33"/>
        <v>3.2895267499999998</v>
      </c>
      <c r="AH42">
        <f t="shared" si="34"/>
        <v>6.0247938219736383E-2</v>
      </c>
    </row>
    <row r="43" spans="1:34">
      <c r="A43">
        <v>3.2</v>
      </c>
      <c r="B43">
        <v>5</v>
      </c>
      <c r="C43">
        <v>15.5</v>
      </c>
      <c r="D43" s="2">
        <v>0.81666666666666676</v>
      </c>
      <c r="E43">
        <v>15</v>
      </c>
      <c r="F43" s="2">
        <v>0.81736111111111109</v>
      </c>
      <c r="G43">
        <v>15</v>
      </c>
      <c r="H43" s="2">
        <v>0.81944444444444453</v>
      </c>
      <c r="M43">
        <v>0.14742</v>
      </c>
      <c r="N43">
        <v>0.161165</v>
      </c>
      <c r="O43">
        <v>0.14316899999999999</v>
      </c>
      <c r="P43">
        <v>0.190639</v>
      </c>
      <c r="Q43">
        <v>0.19148999999999999</v>
      </c>
      <c r="T43">
        <v>3.005722</v>
      </c>
      <c r="U43">
        <v>2.6506210000000001</v>
      </c>
      <c r="V43">
        <v>2.9002859999999999</v>
      </c>
      <c r="W43">
        <v>2.856341</v>
      </c>
      <c r="X43">
        <v>2.9106040000000002</v>
      </c>
      <c r="AB43" s="6">
        <f t="shared" si="28"/>
        <v>0.8178240740740742</v>
      </c>
      <c r="AC43" s="5">
        <f t="shared" si="29"/>
        <v>15.166666666666666</v>
      </c>
      <c r="AD43" s="7">
        <f t="shared" si="30"/>
        <v>0.16666666666666669</v>
      </c>
      <c r="AE43" s="9">
        <f t="shared" si="31"/>
        <v>0.1667766</v>
      </c>
      <c r="AF43">
        <f t="shared" si="32"/>
        <v>1.0352905556412658E-2</v>
      </c>
      <c r="AG43" s="5">
        <f t="shared" si="33"/>
        <v>2.8647148000000002</v>
      </c>
      <c r="AH43">
        <f t="shared" si="34"/>
        <v>5.8804946697875664E-2</v>
      </c>
    </row>
    <row r="44" spans="1:34">
      <c r="A44">
        <v>4.2</v>
      </c>
      <c r="B44">
        <v>5</v>
      </c>
      <c r="C44">
        <v>15</v>
      </c>
      <c r="D44" s="2">
        <v>0.8208333333333333</v>
      </c>
      <c r="E44">
        <v>16</v>
      </c>
      <c r="F44" s="2">
        <v>0.8222222222222223</v>
      </c>
      <c r="G44">
        <v>15.5</v>
      </c>
      <c r="H44" s="2">
        <v>0.82361111111111107</v>
      </c>
      <c r="M44">
        <v>0.16233600000000001</v>
      </c>
      <c r="N44">
        <v>5.2388999999999998E-2</v>
      </c>
      <c r="O44">
        <v>9.6853999999999996E-2</v>
      </c>
      <c r="P44">
        <v>0.12895899999999999</v>
      </c>
      <c r="Q44">
        <v>0.18240600000000001</v>
      </c>
      <c r="T44">
        <v>2.7455020000000001</v>
      </c>
      <c r="U44">
        <v>3.2643209999999998</v>
      </c>
      <c r="V44">
        <v>2.3877769999999998</v>
      </c>
      <c r="W44">
        <v>2.615704</v>
      </c>
      <c r="X44">
        <v>2.626207</v>
      </c>
      <c r="AB44" s="6">
        <f t="shared" si="28"/>
        <v>0.8222222222222223</v>
      </c>
      <c r="AC44" s="5">
        <f t="shared" si="29"/>
        <v>15.5</v>
      </c>
      <c r="AD44" s="7">
        <f t="shared" si="30"/>
        <v>0.28867513459481292</v>
      </c>
      <c r="AE44" s="9">
        <f t="shared" si="31"/>
        <v>0.12458879999999999</v>
      </c>
      <c r="AF44">
        <f t="shared" si="32"/>
        <v>2.3204319234573577E-2</v>
      </c>
      <c r="AG44" s="5">
        <f t="shared" si="33"/>
        <v>2.7279022000000004</v>
      </c>
      <c r="AH44">
        <f t="shared" si="34"/>
        <v>0.14605998483752838</v>
      </c>
    </row>
    <row r="45" spans="1:34">
      <c r="A45">
        <v>2.2000000000000002</v>
      </c>
      <c r="B45">
        <v>5</v>
      </c>
      <c r="C45">
        <v>12.5</v>
      </c>
      <c r="D45" s="2">
        <v>0.82708333333333339</v>
      </c>
      <c r="E45">
        <v>12.5</v>
      </c>
      <c r="F45" s="2">
        <v>0.82777777777777783</v>
      </c>
      <c r="G45">
        <v>12.5</v>
      </c>
      <c r="H45" s="2">
        <v>0.82847222222222217</v>
      </c>
      <c r="M45">
        <v>6.9538000000000003E-2</v>
      </c>
      <c r="N45">
        <v>2.4784E-2</v>
      </c>
      <c r="O45">
        <v>7.5854000000000005E-2</v>
      </c>
      <c r="P45">
        <v>2.3356999999999999E-2</v>
      </c>
      <c r="T45">
        <v>2.0837650000000001</v>
      </c>
      <c r="U45">
        <v>2.3685339999999999</v>
      </c>
      <c r="V45">
        <v>2.018062</v>
      </c>
      <c r="W45">
        <v>2.2137289999999998</v>
      </c>
      <c r="AB45" s="6">
        <f t="shared" si="28"/>
        <v>0.82777777777777783</v>
      </c>
      <c r="AC45" s="5">
        <f t="shared" si="29"/>
        <v>12.5</v>
      </c>
      <c r="AD45" s="7">
        <f t="shared" si="30"/>
        <v>0</v>
      </c>
      <c r="AE45" s="9">
        <f t="shared" si="31"/>
        <v>4.8383249999999996E-2</v>
      </c>
      <c r="AF45">
        <f t="shared" si="32"/>
        <v>1.4099064220572711E-2</v>
      </c>
      <c r="AG45" s="5">
        <f t="shared" si="33"/>
        <v>2.1710225000000003</v>
      </c>
      <c r="AH45">
        <f t="shared" si="34"/>
        <v>7.7376473406003676E-2</v>
      </c>
    </row>
    <row r="46" spans="1:34">
      <c r="A46">
        <v>1.1000000000000001</v>
      </c>
      <c r="B46">
        <v>5</v>
      </c>
      <c r="C46">
        <v>11.5</v>
      </c>
      <c r="D46" s="2">
        <v>0.83194444444444438</v>
      </c>
      <c r="E46">
        <v>11.5</v>
      </c>
      <c r="F46" s="2">
        <v>0.83263888888888893</v>
      </c>
      <c r="G46">
        <v>11</v>
      </c>
      <c r="H46" s="2">
        <v>0.83333333333333337</v>
      </c>
      <c r="M46">
        <v>0.14371900000000001</v>
      </c>
      <c r="N46">
        <v>0.18264</v>
      </c>
      <c r="O46">
        <v>0.19787199999999999</v>
      </c>
      <c r="P46">
        <v>0.203009</v>
      </c>
      <c r="Q46">
        <v>0.20629</v>
      </c>
      <c r="T46">
        <v>2.558824</v>
      </c>
      <c r="U46">
        <v>2.4252069999999999</v>
      </c>
      <c r="V46">
        <v>2.5185019999999998</v>
      </c>
      <c r="W46">
        <v>2.0447540000000002</v>
      </c>
      <c r="X46">
        <v>2.1375419999999998</v>
      </c>
      <c r="AB46" s="6">
        <f t="shared" si="28"/>
        <v>0.83263888888888893</v>
      </c>
      <c r="AC46" s="5">
        <f t="shared" si="29"/>
        <v>11.333333333333334</v>
      </c>
      <c r="AD46" s="7">
        <f t="shared" si="30"/>
        <v>0.16666666666666669</v>
      </c>
      <c r="AE46" s="9">
        <f t="shared" si="31"/>
        <v>0.18670599999999998</v>
      </c>
      <c r="AF46">
        <f t="shared" si="32"/>
        <v>1.1485675744160709E-2</v>
      </c>
      <c r="AG46" s="5">
        <f t="shared" si="33"/>
        <v>2.3369658000000002</v>
      </c>
      <c r="AH46">
        <f t="shared" si="34"/>
        <v>0.1037112699422777</v>
      </c>
    </row>
    <row r="47" spans="1:34">
      <c r="A47">
        <v>3.1</v>
      </c>
      <c r="B47">
        <v>5</v>
      </c>
      <c r="C47">
        <v>13</v>
      </c>
      <c r="D47" s="2">
        <v>0.83611111111111114</v>
      </c>
      <c r="E47">
        <v>13.5</v>
      </c>
      <c r="F47" s="2">
        <v>0.83750000000000002</v>
      </c>
      <c r="G47">
        <v>15</v>
      </c>
      <c r="H47" s="2">
        <v>0.83819444444444446</v>
      </c>
      <c r="M47">
        <v>6.2715000000000007E-2</v>
      </c>
      <c r="N47">
        <v>7.8450000000000006E-2</v>
      </c>
      <c r="O47">
        <v>0.10770100000000001</v>
      </c>
      <c r="P47">
        <v>2.9985000000000001E-2</v>
      </c>
      <c r="Q47">
        <v>0.12221899999999999</v>
      </c>
      <c r="T47">
        <v>2.3709639999999998</v>
      </c>
      <c r="U47">
        <v>2.350314</v>
      </c>
      <c r="V47">
        <v>2.2233369999999999</v>
      </c>
      <c r="W47">
        <v>2.2648739999999998</v>
      </c>
      <c r="X47">
        <v>2.2273900000000002</v>
      </c>
      <c r="AB47" s="6">
        <f t="shared" si="28"/>
        <v>0.83726851851851858</v>
      </c>
      <c r="AC47" s="5">
        <f t="shared" si="29"/>
        <v>13.833333333333334</v>
      </c>
      <c r="AD47" s="7">
        <f t="shared" si="30"/>
        <v>0.60092521257733167</v>
      </c>
      <c r="AE47" s="9">
        <f t="shared" si="31"/>
        <v>8.0214000000000008E-2</v>
      </c>
      <c r="AF47">
        <f t="shared" si="32"/>
        <v>1.6358842153404368E-2</v>
      </c>
      <c r="AG47" s="5">
        <f t="shared" si="33"/>
        <v>2.2873758</v>
      </c>
      <c r="AH47">
        <f t="shared" si="34"/>
        <v>3.0946566294824996E-2</v>
      </c>
    </row>
    <row r="48" spans="1:34">
      <c r="A48">
        <v>4.0999999999999996</v>
      </c>
      <c r="B48">
        <v>5</v>
      </c>
      <c r="C48">
        <v>11</v>
      </c>
      <c r="D48" s="2">
        <v>0.84097222222222223</v>
      </c>
      <c r="E48">
        <v>11.5</v>
      </c>
      <c r="F48" s="2">
        <v>0.84166666666666667</v>
      </c>
      <c r="G48">
        <v>11</v>
      </c>
      <c r="H48" s="2">
        <v>0.84375</v>
      </c>
      <c r="M48">
        <v>6.4923999999999996E-2</v>
      </c>
      <c r="N48">
        <v>0.16501099999999999</v>
      </c>
      <c r="O48">
        <v>3.7428999999999997E-2</v>
      </c>
      <c r="P48">
        <v>0.12939300000000001</v>
      </c>
      <c r="Q48">
        <v>0.160103</v>
      </c>
      <c r="T48">
        <v>2.1758999999999999</v>
      </c>
      <c r="U48">
        <v>2.2059570000000002</v>
      </c>
      <c r="V48">
        <v>2.4688810000000001</v>
      </c>
      <c r="W48">
        <v>2.3598880000000002</v>
      </c>
      <c r="X48">
        <v>2.0811489999999999</v>
      </c>
      <c r="AB48" s="6">
        <f t="shared" si="28"/>
        <v>0.84212962962962967</v>
      </c>
      <c r="AC48" s="5">
        <f t="shared" si="29"/>
        <v>11.166666666666666</v>
      </c>
      <c r="AD48" s="7">
        <f t="shared" si="30"/>
        <v>0.16666666666666669</v>
      </c>
      <c r="AE48" s="9">
        <f t="shared" si="31"/>
        <v>0.111372</v>
      </c>
      <c r="AF48">
        <f t="shared" si="32"/>
        <v>2.5692015370538751E-2</v>
      </c>
      <c r="AG48" s="5">
        <f t="shared" si="33"/>
        <v>2.2583549999999999</v>
      </c>
      <c r="AH48">
        <f t="shared" si="34"/>
        <v>6.9129042605116445E-2</v>
      </c>
    </row>
    <row r="49" spans="1:36">
      <c r="A49">
        <v>5</v>
      </c>
      <c r="B49">
        <v>5</v>
      </c>
    </row>
    <row r="50" spans="1:36">
      <c r="AJ50" t="s">
        <v>474</v>
      </c>
    </row>
    <row r="51" spans="1:36">
      <c r="A51" t="s">
        <v>27</v>
      </c>
      <c r="B51">
        <v>1</v>
      </c>
      <c r="AA51" t="s">
        <v>475</v>
      </c>
      <c r="AB51" s="6">
        <f>AVERAGE(AB2:AB8)</f>
        <v>0.35466269841269843</v>
      </c>
      <c r="AC51" s="5">
        <f>AVERAGE(AC2:AC8)*-1</f>
        <v>-8.0221428571428568</v>
      </c>
      <c r="AD51" s="5"/>
      <c r="AE51" s="9">
        <f>AVERAGE(AE2:AE8)</f>
        <v>0.19261050000000002</v>
      </c>
      <c r="AF51" s="5"/>
      <c r="AG51" s="5">
        <f>AVERAGE(AG2:AG8)</f>
        <v>1.1975438571428572</v>
      </c>
      <c r="AH51" s="5"/>
      <c r="AJ51">
        <v>-7.9968888888888898</v>
      </c>
    </row>
    <row r="52" spans="1:36">
      <c r="A52" t="s">
        <v>27</v>
      </c>
      <c r="B52">
        <v>2</v>
      </c>
      <c r="AA52" t="s">
        <v>475</v>
      </c>
      <c r="AB52" s="6">
        <f>AVERAGE(AB11:AB17)</f>
        <v>0.47744708994708995</v>
      </c>
      <c r="AC52" s="5">
        <f>AVERAGE(AC11:AC17)*-1</f>
        <v>-16.670238095238094</v>
      </c>
      <c r="AD52" s="5"/>
      <c r="AE52" s="9">
        <f>AVERAGE(AE11:AE17)</f>
        <v>0.20208653571428575</v>
      </c>
      <c r="AF52" s="5"/>
      <c r="AG52" s="5">
        <f>AVERAGE(AG11:AG17)</f>
        <v>2.3856461428571429</v>
      </c>
      <c r="AH52" s="5"/>
      <c r="AJ52">
        <v>-13.000571428571428</v>
      </c>
    </row>
    <row r="53" spans="1:36">
      <c r="A53" t="s">
        <v>27</v>
      </c>
      <c r="B53">
        <v>3</v>
      </c>
      <c r="AA53" t="s">
        <v>475</v>
      </c>
      <c r="AB53" s="6">
        <f>AVERAGE(AB21:AB27)</f>
        <v>0.56180555555555556</v>
      </c>
      <c r="AC53" s="5">
        <f>AVERAGE(AC21:AC27)*-1</f>
        <v>-14.683333333333335</v>
      </c>
      <c r="AD53" s="5"/>
      <c r="AE53" s="9">
        <f>AVERAGE(AE21:AE27)</f>
        <v>0.16276017499999998</v>
      </c>
      <c r="AF53" s="5"/>
      <c r="AG53" s="5">
        <f>AVERAGE(AG21:AG27)</f>
        <v>2.526481758333333</v>
      </c>
      <c r="AH53" s="5"/>
      <c r="AJ53">
        <v>-13.925675675675679</v>
      </c>
    </row>
    <row r="54" spans="1:36">
      <c r="A54" t="s">
        <v>27</v>
      </c>
      <c r="B54">
        <v>4</v>
      </c>
      <c r="AA54" t="s">
        <v>475</v>
      </c>
      <c r="AB54" s="6">
        <f>AVERAGE(AB31:AB38)</f>
        <v>0.75078125000000007</v>
      </c>
      <c r="AC54" s="5">
        <f>AVERAGE(AC31:AC38)*-1</f>
        <v>-17.310416666666669</v>
      </c>
      <c r="AD54" s="5"/>
      <c r="AE54" s="9">
        <f>AVERAGE(AE31:AE38)</f>
        <v>0.12660810714285714</v>
      </c>
      <c r="AF54" s="5"/>
      <c r="AG54" s="5">
        <f>AVERAGE(AG31:AG38)</f>
        <v>3.3747750901785714</v>
      </c>
      <c r="AH54" s="5"/>
      <c r="AJ54">
        <v>-15.666111111111112</v>
      </c>
    </row>
    <row r="55" spans="1:36">
      <c r="A55" t="s">
        <v>27</v>
      </c>
      <c r="B55">
        <v>5</v>
      </c>
      <c r="AA55" t="s">
        <v>475</v>
      </c>
      <c r="AB55" s="6">
        <f>AVERAGE(AB41:AB48)</f>
        <v>0.82499999999999996</v>
      </c>
      <c r="AC55" s="5">
        <f>AVERAGE(AC41:AC48)*-1</f>
        <v>-14.687499999999998</v>
      </c>
      <c r="AD55" s="5"/>
      <c r="AE55" s="9">
        <f>AVERAGE(AE41:AE48)</f>
        <v>0.11349489374999999</v>
      </c>
      <c r="AF55" s="5"/>
      <c r="AG55" s="5">
        <f>AVERAGE(AG41:AG48)</f>
        <v>2.6472050750000005</v>
      </c>
      <c r="AH55" s="5"/>
      <c r="AJ55">
        <v>-14.383199999999999</v>
      </c>
    </row>
    <row r="57" spans="1:36">
      <c r="A57" t="s">
        <v>29</v>
      </c>
      <c r="B57">
        <v>1</v>
      </c>
      <c r="AA57" t="s">
        <v>475</v>
      </c>
      <c r="AC57" s="5">
        <f>STDEV(AC2:AC8)/SQRT(COUNT(AC2:AC8))</f>
        <v>0.44428092938780311</v>
      </c>
      <c r="AE57" s="9">
        <f>STDEV(AE2:AE8)/SQRT(COUNT(AE2:AE8))</f>
        <v>2.3376500100833815E-2</v>
      </c>
      <c r="AG57" s="9">
        <f>STDEV(AG2:AG8)/SQRT(COUNT(AG2:AG8))</f>
        <v>4.2356968944159357E-2</v>
      </c>
      <c r="AJ57">
        <v>0.33404330787728426</v>
      </c>
    </row>
    <row r="58" spans="1:36">
      <c r="A58" t="s">
        <v>29</v>
      </c>
      <c r="B58">
        <v>2</v>
      </c>
      <c r="AA58" t="s">
        <v>475</v>
      </c>
      <c r="AC58" s="5">
        <f>STDEV(AC11:AC17)/SQRT(COUNT(AC11:AC17))</f>
        <v>0.75652771507292849</v>
      </c>
      <c r="AE58" s="9">
        <f>STDEV(AE11:AE17)/SQRT(COUNT(AE11:AE17))</f>
        <v>2.8976475206110235E-2</v>
      </c>
      <c r="AG58" s="9">
        <f>STDEV(AG11:AG17)/SQRT(COUNT(AG11:AG17))</f>
        <v>0.10630951912369899</v>
      </c>
      <c r="AJ58">
        <v>0.61294741064081915</v>
      </c>
    </row>
    <row r="59" spans="1:36">
      <c r="A59" t="s">
        <v>29</v>
      </c>
      <c r="B59">
        <v>3</v>
      </c>
      <c r="AA59" t="s">
        <v>475</v>
      </c>
      <c r="AC59" s="5">
        <f>STDEV(AC21:AC27)/SQRT(COUNT(AC21:AC27))</f>
        <v>0.88072991614068508</v>
      </c>
      <c r="AE59" s="9">
        <f>STDEV(AE21:AE27)/SQRT(COUNT(AE21:AE27))</f>
        <v>3.0312579346793059E-2</v>
      </c>
      <c r="AG59" s="9">
        <f>STDEV(AG21:AG27)/SQRT(COUNT(AG21:AG27))</f>
        <v>0.16288897448670403</v>
      </c>
      <c r="AJ59">
        <v>0.7068035457844094</v>
      </c>
    </row>
    <row r="60" spans="1:36">
      <c r="A60" t="s">
        <v>29</v>
      </c>
      <c r="B60">
        <v>4</v>
      </c>
      <c r="AA60" t="s">
        <v>475</v>
      </c>
      <c r="AC60" s="5">
        <f>STDEV(AC31:AC38)/SQRT(COUNT(AC31:AC38))</f>
        <v>0.8686386533645859</v>
      </c>
      <c r="AE60" s="9">
        <f>STDEV(AE31:AE38)/SQRT(COUNT(AE31:AE38))</f>
        <v>2.1570754464313936E-2</v>
      </c>
      <c r="AG60" s="9">
        <f>STDEV(AG31:AG38)/SQRT(COUNT(AG31:AG38))</f>
        <v>0.13989863131972155</v>
      </c>
      <c r="AJ60">
        <v>0.43943962833232791</v>
      </c>
    </row>
    <row r="61" spans="1:36">
      <c r="A61" t="s">
        <v>29</v>
      </c>
      <c r="B61">
        <v>5</v>
      </c>
      <c r="AA61" t="s">
        <v>475</v>
      </c>
      <c r="AC61" s="5">
        <f>STDEV(AC41:AC48)/SQRT(COUNT(AC41:AC48))</f>
        <v>1.107082851676513</v>
      </c>
      <c r="AE61" s="9">
        <f>STDEV(AE41:AE48)/SQRT(COUNT(AE41:AE48))</f>
        <v>1.6235193964822113E-2</v>
      </c>
      <c r="AG61" s="9">
        <f>STDEV(AG41:AG48)/SQRT(COUNT(AG41:AG48))</f>
        <v>0.15944076637159085</v>
      </c>
      <c r="AJ61">
        <v>0.50765398977387621</v>
      </c>
    </row>
    <row r="63" spans="1:36">
      <c r="A63" t="s">
        <v>27</v>
      </c>
      <c r="B63">
        <v>1</v>
      </c>
      <c r="AA63" t="s">
        <v>476</v>
      </c>
      <c r="AB63" s="6">
        <f>AB9</f>
        <v>0.39430555555555558</v>
      </c>
      <c r="AC63" s="8">
        <f>AC9*-1</f>
        <v>-20.240000000000002</v>
      </c>
      <c r="AE63" s="9">
        <f>AE9</f>
        <v>0.13454919999999998</v>
      </c>
      <c r="AG63" s="9">
        <f>AG9</f>
        <v>2.0127161999999998</v>
      </c>
      <c r="AJ63">
        <v>-14</v>
      </c>
    </row>
    <row r="64" spans="1:36">
      <c r="A64" t="s">
        <v>27</v>
      </c>
      <c r="B64">
        <v>2</v>
      </c>
      <c r="AA64" t="s">
        <v>476</v>
      </c>
      <c r="AB64" s="6">
        <f>AB18</f>
        <v>0.50694444444444442</v>
      </c>
      <c r="AC64" s="8">
        <f>AC18*-1</f>
        <v>-25.166666666666668</v>
      </c>
      <c r="AE64" s="9">
        <f>AE18</f>
        <v>2.9873499999999997E-2</v>
      </c>
      <c r="AG64" s="9">
        <f>AG18</f>
        <v>3.5666545000000003</v>
      </c>
      <c r="AJ64">
        <v>-22</v>
      </c>
    </row>
    <row r="65" spans="1:36">
      <c r="A65" t="s">
        <v>27</v>
      </c>
      <c r="B65">
        <v>3</v>
      </c>
      <c r="AA65" t="s">
        <v>476</v>
      </c>
      <c r="AB65" s="6">
        <f>AB28</f>
        <v>0.58495370370370381</v>
      </c>
      <c r="AC65" s="8">
        <f>AC28*-1</f>
        <v>-21.099999999999998</v>
      </c>
      <c r="AE65" s="9">
        <f>AE28</f>
        <v>5.5274249999999997E-2</v>
      </c>
      <c r="AG65" s="9">
        <f>AG28</f>
        <v>4.0139642499999999</v>
      </c>
      <c r="AJ65">
        <v>-23</v>
      </c>
    </row>
    <row r="66" spans="1:36">
      <c r="A66" t="s">
        <v>27</v>
      </c>
      <c r="B66">
        <v>4</v>
      </c>
      <c r="AA66" t="s">
        <v>476</v>
      </c>
      <c r="AB66" s="6">
        <f>AB39</f>
        <v>0.77824074074074068</v>
      </c>
      <c r="AC66" s="8">
        <f>AC39*-1</f>
        <v>-17.366666666666664</v>
      </c>
      <c r="AE66" s="9">
        <f>AE39</f>
        <v>9.6155000000000004E-2</v>
      </c>
      <c r="AG66" s="9">
        <f>AG39</f>
        <v>2.99525825</v>
      </c>
      <c r="AJ66">
        <v>-17</v>
      </c>
    </row>
    <row r="67" spans="1:36">
      <c r="A67" t="s">
        <v>27</v>
      </c>
      <c r="B67">
        <v>5</v>
      </c>
      <c r="AB67" s="6"/>
      <c r="AD67" s="5"/>
    </row>
    <row r="68" spans="1:36">
      <c r="AC68" s="8">
        <f>AD9*-1</f>
        <v>-0.30430248109405889</v>
      </c>
      <c r="AD68" s="5"/>
      <c r="AE68" s="9">
        <f>AF9</f>
        <v>1.5888622745222458E-2</v>
      </c>
    </row>
    <row r="69" spans="1:36">
      <c r="A69" t="s">
        <v>29</v>
      </c>
      <c r="B69">
        <v>1</v>
      </c>
      <c r="AC69" s="8">
        <f>AD18*-1</f>
        <v>-0.44095855184409843</v>
      </c>
      <c r="AE69" s="9">
        <f>AF18</f>
        <v>5.0789188564102934E-3</v>
      </c>
    </row>
    <row r="70" spans="1:36">
      <c r="A70" t="s">
        <v>29</v>
      </c>
      <c r="B70">
        <v>2</v>
      </c>
      <c r="AC70" s="8">
        <f>AD28*-1</f>
        <v>-0.37859388972001845</v>
      </c>
      <c r="AE70" s="9">
        <f>AF28</f>
        <v>1.4360885768729587E-2</v>
      </c>
    </row>
    <row r="71" spans="1:36">
      <c r="A71" t="s">
        <v>29</v>
      </c>
      <c r="B71">
        <v>3</v>
      </c>
      <c r="AC71" s="8">
        <f>AD39*-1</f>
        <v>-0.2962731472438529</v>
      </c>
      <c r="AE71" s="9">
        <f>AF39</f>
        <v>8.3658591210546661E-3</v>
      </c>
    </row>
    <row r="72" spans="1:36">
      <c r="A72" t="s">
        <v>29</v>
      </c>
      <c r="B72">
        <v>4</v>
      </c>
    </row>
    <row r="73" spans="1:36">
      <c r="A73" t="s">
        <v>29</v>
      </c>
      <c r="B73">
        <v>5</v>
      </c>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37"/>
  <sheetViews>
    <sheetView workbookViewId="0">
      <pane ySplit="1" topLeftCell="A190" activePane="bottomLeft" state="frozen"/>
      <selection pane="bottomLeft" activeCell="D200" sqref="D200:D204"/>
    </sheetView>
  </sheetViews>
  <sheetFormatPr defaultColWidth="11.42578125" defaultRowHeight="15"/>
  <cols>
    <col min="1" max="1" width="15.7109375" bestFit="1" customWidth="1"/>
    <col min="2" max="2" width="21.28515625" customWidth="1"/>
    <col min="3" max="3" width="19.28515625" customWidth="1"/>
    <col min="4" max="10" width="16.140625" bestFit="1" customWidth="1"/>
  </cols>
  <sheetData>
    <row r="1" spans="1:10">
      <c r="A1" t="s">
        <v>477</v>
      </c>
      <c r="B1" t="s">
        <v>478</v>
      </c>
      <c r="C1" t="s">
        <v>479</v>
      </c>
      <c r="D1" t="s">
        <v>480</v>
      </c>
      <c r="E1" t="s">
        <v>481</v>
      </c>
      <c r="F1" t="s">
        <v>482</v>
      </c>
      <c r="G1" t="s">
        <v>483</v>
      </c>
      <c r="H1" t="s">
        <v>484</v>
      </c>
      <c r="I1" t="s">
        <v>485</v>
      </c>
      <c r="J1" t="s">
        <v>486</v>
      </c>
    </row>
    <row r="2" spans="1:10">
      <c r="A2" s="10">
        <v>45133</v>
      </c>
      <c r="B2">
        <v>-12</v>
      </c>
      <c r="C2">
        <v>-10.38</v>
      </c>
      <c r="D2">
        <v>-4.53</v>
      </c>
      <c r="E2">
        <v>-8.68</v>
      </c>
      <c r="F2">
        <v>-12.27</v>
      </c>
      <c r="G2">
        <v>-0.69</v>
      </c>
      <c r="H2">
        <v>-6.67</v>
      </c>
      <c r="I2">
        <v>-8.09</v>
      </c>
      <c r="J2">
        <v>-6.51</v>
      </c>
    </row>
    <row r="3" spans="1:10">
      <c r="A3" s="10">
        <v>45133.010416666664</v>
      </c>
      <c r="B3">
        <v>-12</v>
      </c>
      <c r="C3">
        <v>-10.130000000000001</v>
      </c>
      <c r="D3">
        <v>-4.25</v>
      </c>
      <c r="E3">
        <v>-8.5</v>
      </c>
      <c r="F3">
        <v>-12.03</v>
      </c>
      <c r="G3">
        <v>-0.68</v>
      </c>
      <c r="H3">
        <v>-6.48</v>
      </c>
      <c r="I3">
        <v>-7.76</v>
      </c>
      <c r="J3">
        <v>-6.38</v>
      </c>
    </row>
    <row r="4" spans="1:10">
      <c r="A4" s="10">
        <v>45133.020833333336</v>
      </c>
      <c r="B4">
        <v>-12</v>
      </c>
      <c r="C4">
        <v>-9.8800000000000008</v>
      </c>
      <c r="D4">
        <v>-4.01</v>
      </c>
      <c r="E4">
        <v>-8.34</v>
      </c>
      <c r="F4">
        <v>-11.8</v>
      </c>
      <c r="G4">
        <v>-0.67</v>
      </c>
      <c r="H4">
        <v>-6.31</v>
      </c>
      <c r="I4">
        <v>-7.46</v>
      </c>
      <c r="J4">
        <v>-6.26</v>
      </c>
    </row>
    <row r="5" spans="1:10">
      <c r="A5" s="10">
        <v>45133.03125</v>
      </c>
      <c r="B5">
        <v>-11</v>
      </c>
      <c r="C5">
        <v>-9.65</v>
      </c>
      <c r="D5">
        <v>-3.84</v>
      </c>
      <c r="E5">
        <v>-8.1999999999999993</v>
      </c>
      <c r="F5">
        <v>-11.59</v>
      </c>
      <c r="G5">
        <v>-0.67</v>
      </c>
      <c r="H5">
        <v>-6.18</v>
      </c>
      <c r="I5">
        <v>-7.2</v>
      </c>
      <c r="J5">
        <v>-6.16</v>
      </c>
    </row>
    <row r="6" spans="1:10">
      <c r="A6" s="10">
        <v>45133.041666666664</v>
      </c>
      <c r="B6">
        <v>-11</v>
      </c>
      <c r="C6">
        <v>-9.49</v>
      </c>
      <c r="E6">
        <v>-8.07</v>
      </c>
      <c r="F6">
        <v>-11.41</v>
      </c>
      <c r="G6">
        <v>-0.65</v>
      </c>
      <c r="H6">
        <v>-6.08</v>
      </c>
      <c r="I6">
        <v>-7</v>
      </c>
    </row>
    <row r="7" spans="1:10">
      <c r="A7" s="10">
        <v>45133.045138888891</v>
      </c>
      <c r="D7">
        <v>-3.77</v>
      </c>
      <c r="J7">
        <v>-6.07</v>
      </c>
    </row>
    <row r="8" spans="1:10">
      <c r="A8" s="10">
        <v>45133.055555555555</v>
      </c>
      <c r="B8">
        <v>-11</v>
      </c>
      <c r="C8">
        <v>-9.39</v>
      </c>
      <c r="E8">
        <v>-7.97</v>
      </c>
      <c r="F8">
        <v>-11.26</v>
      </c>
      <c r="G8">
        <v>-0.66</v>
      </c>
      <c r="H8">
        <v>-6.01</v>
      </c>
      <c r="I8">
        <v>-6.86</v>
      </c>
      <c r="J8">
        <v>-6.01</v>
      </c>
    </row>
    <row r="9" spans="1:10">
      <c r="A9" s="10">
        <v>45133.065972222219</v>
      </c>
      <c r="B9">
        <v>-11</v>
      </c>
      <c r="C9">
        <v>-9.32</v>
      </c>
      <c r="D9">
        <v>-3.72</v>
      </c>
      <c r="E9">
        <v>-7.88</v>
      </c>
      <c r="F9">
        <v>-11.12</v>
      </c>
      <c r="G9">
        <v>-0.63</v>
      </c>
      <c r="H9">
        <v>-5.94</v>
      </c>
      <c r="I9">
        <v>-6.75</v>
      </c>
      <c r="J9">
        <v>-5.91</v>
      </c>
    </row>
    <row r="10" spans="1:10">
      <c r="A10" s="10">
        <v>45133.076388888891</v>
      </c>
      <c r="B10">
        <v>-11</v>
      </c>
      <c r="C10">
        <v>-9.49</v>
      </c>
      <c r="D10">
        <v>-3.99</v>
      </c>
      <c r="E10">
        <v>-7.85</v>
      </c>
      <c r="F10">
        <v>-11.05</v>
      </c>
      <c r="G10">
        <v>-0.61</v>
      </c>
      <c r="H10">
        <v>-6.06</v>
      </c>
      <c r="I10">
        <v>-6.79</v>
      </c>
    </row>
    <row r="11" spans="1:10">
      <c r="A11" s="10">
        <v>45133.079861111109</v>
      </c>
      <c r="J11">
        <v>-5.92</v>
      </c>
    </row>
    <row r="12" spans="1:10">
      <c r="A12" s="10">
        <v>45133.086805555555</v>
      </c>
      <c r="B12">
        <v>-11</v>
      </c>
      <c r="C12">
        <v>-9.6</v>
      </c>
      <c r="D12">
        <v>-4.25</v>
      </c>
      <c r="E12">
        <v>-7.85</v>
      </c>
      <c r="F12">
        <v>-10.99</v>
      </c>
      <c r="G12">
        <v>-0.61</v>
      </c>
      <c r="H12">
        <v>-6.18</v>
      </c>
      <c r="I12">
        <v>-6.95</v>
      </c>
    </row>
    <row r="13" spans="1:10">
      <c r="A13" s="10">
        <v>45133.09375</v>
      </c>
      <c r="J13">
        <v>-5.92</v>
      </c>
    </row>
    <row r="14" spans="1:10">
      <c r="A14" s="10">
        <v>45133.097222222219</v>
      </c>
      <c r="C14">
        <v>-9.61</v>
      </c>
      <c r="D14">
        <v>-4.42</v>
      </c>
      <c r="E14">
        <v>-7.83</v>
      </c>
      <c r="F14">
        <v>-10.92</v>
      </c>
      <c r="G14">
        <v>-0.62</v>
      </c>
      <c r="H14">
        <v>-6.22</v>
      </c>
      <c r="I14">
        <v>-7.08</v>
      </c>
    </row>
    <row r="15" spans="1:10">
      <c r="A15" s="10">
        <v>45133.104166666664</v>
      </c>
      <c r="J15">
        <v>-5.92</v>
      </c>
    </row>
    <row r="16" spans="1:10">
      <c r="A16" s="10">
        <v>45133.111111111109</v>
      </c>
      <c r="B16">
        <v>-11</v>
      </c>
      <c r="C16">
        <v>-9.57</v>
      </c>
      <c r="D16">
        <v>-4.45</v>
      </c>
      <c r="E16">
        <v>-7.78</v>
      </c>
      <c r="F16">
        <v>-10.83</v>
      </c>
      <c r="G16">
        <v>-0.62</v>
      </c>
      <c r="I16">
        <v>-7.13</v>
      </c>
    </row>
    <row r="17" spans="1:10">
      <c r="A17" s="10">
        <v>45133.114583333336</v>
      </c>
      <c r="J17">
        <v>-5.91</v>
      </c>
    </row>
    <row r="18" spans="1:10">
      <c r="A18" s="10">
        <v>45133.121527777781</v>
      </c>
      <c r="B18">
        <v>-11</v>
      </c>
      <c r="C18">
        <v>-9.49</v>
      </c>
      <c r="D18">
        <v>-4.38</v>
      </c>
      <c r="E18">
        <v>-7.72</v>
      </c>
      <c r="F18">
        <v>-10.75</v>
      </c>
      <c r="G18">
        <v>-0.62</v>
      </c>
      <c r="H18">
        <v>-6.12</v>
      </c>
    </row>
    <row r="19" spans="1:10">
      <c r="A19" s="10">
        <v>45133.125</v>
      </c>
      <c r="I19">
        <v>-7.09</v>
      </c>
      <c r="J19">
        <v>-5.85</v>
      </c>
    </row>
    <row r="20" spans="1:10">
      <c r="A20" s="10">
        <v>45133.131944444445</v>
      </c>
      <c r="B20">
        <v>-11</v>
      </c>
      <c r="C20">
        <v>-9.41</v>
      </c>
      <c r="D20">
        <v>-4.33</v>
      </c>
      <c r="E20">
        <v>-7.66</v>
      </c>
      <c r="F20">
        <v>-10.66</v>
      </c>
      <c r="G20">
        <v>-0.62</v>
      </c>
      <c r="H20">
        <v>-6.04</v>
      </c>
    </row>
    <row r="21" spans="1:10">
      <c r="A21" s="10">
        <v>45133.135416666664</v>
      </c>
      <c r="I21">
        <v>-7.03</v>
      </c>
    </row>
    <row r="22" spans="1:10">
      <c r="A22" s="10">
        <v>45133.138888888891</v>
      </c>
      <c r="J22">
        <v>-5.82</v>
      </c>
    </row>
    <row r="23" spans="1:10">
      <c r="A23" s="10">
        <v>45133.142361111109</v>
      </c>
      <c r="B23">
        <v>-11</v>
      </c>
      <c r="C23">
        <v>-9.36</v>
      </c>
      <c r="D23">
        <v>-4.32</v>
      </c>
      <c r="E23">
        <v>-7.61</v>
      </c>
      <c r="F23">
        <v>-10.58</v>
      </c>
      <c r="G23">
        <v>-0.61</v>
      </c>
      <c r="H23">
        <v>-6</v>
      </c>
    </row>
    <row r="24" spans="1:10">
      <c r="A24" s="10">
        <v>45133.145833333336</v>
      </c>
      <c r="I24">
        <v>-7</v>
      </c>
    </row>
    <row r="25" spans="1:10">
      <c r="A25" s="10">
        <v>45133.149305555555</v>
      </c>
      <c r="J25">
        <v>-5.8</v>
      </c>
    </row>
    <row r="26" spans="1:10">
      <c r="A26" s="10">
        <v>45133.152777777781</v>
      </c>
      <c r="B26">
        <v>-11</v>
      </c>
      <c r="C26">
        <v>-9.32</v>
      </c>
      <c r="D26">
        <v>-4.32</v>
      </c>
      <c r="E26">
        <v>-7.57</v>
      </c>
      <c r="F26">
        <v>-10.51</v>
      </c>
      <c r="H26">
        <v>-5.99</v>
      </c>
    </row>
    <row r="27" spans="1:10">
      <c r="A27" s="10">
        <v>45133.15625</v>
      </c>
      <c r="I27">
        <v>-7</v>
      </c>
    </row>
    <row r="28" spans="1:10">
      <c r="A28" s="10">
        <v>45133.159722222219</v>
      </c>
      <c r="J28">
        <v>-5.77</v>
      </c>
    </row>
    <row r="29" spans="1:10">
      <c r="A29" s="10">
        <v>45133.166666666664</v>
      </c>
      <c r="B29">
        <v>-11</v>
      </c>
      <c r="C29">
        <v>-9.2899999999999991</v>
      </c>
      <c r="D29">
        <v>-4.33</v>
      </c>
      <c r="E29">
        <v>-7.53</v>
      </c>
      <c r="F29">
        <v>-10.45</v>
      </c>
      <c r="H29">
        <v>-5.99</v>
      </c>
      <c r="I29">
        <v>-7</v>
      </c>
    </row>
    <row r="30" spans="1:10">
      <c r="A30" s="10">
        <v>45133.170138888891</v>
      </c>
      <c r="J30">
        <v>-5.74</v>
      </c>
    </row>
    <row r="31" spans="1:10">
      <c r="A31" s="10">
        <v>45133.177083333336</v>
      </c>
      <c r="B31">
        <v>-11</v>
      </c>
      <c r="C31">
        <v>-9.25</v>
      </c>
      <c r="D31">
        <v>-4.32</v>
      </c>
      <c r="E31">
        <v>-7.49</v>
      </c>
      <c r="F31">
        <v>-10.39</v>
      </c>
      <c r="H31">
        <v>-5.97</v>
      </c>
    </row>
    <row r="32" spans="1:10">
      <c r="A32" s="10">
        <v>45133.180555555555</v>
      </c>
      <c r="I32">
        <v>-6.98</v>
      </c>
    </row>
    <row r="33" spans="1:10">
      <c r="A33" s="10">
        <v>45133.184027777781</v>
      </c>
      <c r="J33">
        <v>-5.69</v>
      </c>
    </row>
    <row r="34" spans="1:10">
      <c r="A34" s="10">
        <v>45133.1875</v>
      </c>
      <c r="B34">
        <v>-10</v>
      </c>
      <c r="C34">
        <v>-9.19</v>
      </c>
      <c r="D34">
        <v>-4.29</v>
      </c>
      <c r="E34">
        <v>-7.44</v>
      </c>
      <c r="F34">
        <v>-10.33</v>
      </c>
      <c r="H34">
        <v>-5.92</v>
      </c>
    </row>
    <row r="35" spans="1:10">
      <c r="A35" s="10">
        <v>45133.190972222219</v>
      </c>
      <c r="I35">
        <v>-6.93</v>
      </c>
    </row>
    <row r="36" spans="1:10">
      <c r="A36" s="10">
        <v>45133.194444444445</v>
      </c>
      <c r="J36">
        <v>-5.68</v>
      </c>
    </row>
    <row r="37" spans="1:10">
      <c r="A37" s="10">
        <v>45133.197916666664</v>
      </c>
      <c r="B37">
        <v>-10</v>
      </c>
      <c r="C37">
        <v>-9.1300000000000008</v>
      </c>
      <c r="D37">
        <v>-4.22</v>
      </c>
      <c r="E37">
        <v>-7.39</v>
      </c>
      <c r="F37">
        <v>-10.27</v>
      </c>
      <c r="H37">
        <v>-5.85</v>
      </c>
    </row>
    <row r="38" spans="1:10">
      <c r="A38" s="10">
        <v>45133.201388888891</v>
      </c>
      <c r="I38">
        <v>-6.86</v>
      </c>
    </row>
    <row r="39" spans="1:10">
      <c r="A39" s="10">
        <v>45133.204861111109</v>
      </c>
      <c r="J39">
        <v>-5.65</v>
      </c>
    </row>
    <row r="40" spans="1:10">
      <c r="A40" s="10">
        <v>45133.208333333336</v>
      </c>
      <c r="B40">
        <v>-10</v>
      </c>
      <c r="C40">
        <v>-9.07</v>
      </c>
      <c r="D40">
        <v>-4.16</v>
      </c>
      <c r="E40">
        <v>-7.34</v>
      </c>
      <c r="F40">
        <v>-10.210000000000001</v>
      </c>
      <c r="H40">
        <v>-5.82</v>
      </c>
    </row>
    <row r="41" spans="1:10">
      <c r="A41" s="10">
        <v>45133.211805555555</v>
      </c>
      <c r="I41">
        <v>-6.79</v>
      </c>
    </row>
    <row r="42" spans="1:10">
      <c r="A42" s="10">
        <v>45133.215277777781</v>
      </c>
      <c r="J42">
        <v>-5.63</v>
      </c>
    </row>
    <row r="43" spans="1:10">
      <c r="A43" s="10">
        <v>45133.21875</v>
      </c>
      <c r="D43">
        <v>-4.1100000000000003</v>
      </c>
    </row>
    <row r="44" spans="1:10">
      <c r="A44" s="10">
        <v>45133.222222222219</v>
      </c>
      <c r="B44">
        <v>-10</v>
      </c>
      <c r="C44">
        <v>-9.0299999999999994</v>
      </c>
      <c r="E44">
        <v>-7.3</v>
      </c>
      <c r="H44">
        <v>-5.79</v>
      </c>
      <c r="I44">
        <v>-6.74</v>
      </c>
    </row>
    <row r="45" spans="1:10">
      <c r="A45" s="10">
        <v>45133.229166666664</v>
      </c>
      <c r="J45">
        <v>-5.6</v>
      </c>
    </row>
    <row r="46" spans="1:10">
      <c r="A46" s="10">
        <v>45133.232638888891</v>
      </c>
      <c r="B46">
        <v>-10</v>
      </c>
      <c r="C46">
        <v>-8.99</v>
      </c>
      <c r="D46">
        <v>-4.08</v>
      </c>
      <c r="E46">
        <v>-7.27</v>
      </c>
      <c r="F46">
        <v>-10.1</v>
      </c>
      <c r="H46">
        <v>-5.76</v>
      </c>
    </row>
    <row r="47" spans="1:10">
      <c r="A47" s="10">
        <v>45133.236111111109</v>
      </c>
      <c r="I47">
        <v>-6.68</v>
      </c>
    </row>
    <row r="48" spans="1:10">
      <c r="A48" s="10">
        <v>45133.239583333336</v>
      </c>
      <c r="J48">
        <v>-5.57</v>
      </c>
    </row>
    <row r="49" spans="1:10">
      <c r="A49" s="10">
        <v>45133.243055555555</v>
      </c>
      <c r="B49">
        <v>-10</v>
      </c>
      <c r="C49">
        <v>-8.91</v>
      </c>
      <c r="D49">
        <v>-3.99</v>
      </c>
      <c r="E49">
        <v>-7.22</v>
      </c>
      <c r="F49">
        <v>-10.050000000000001</v>
      </c>
      <c r="H49">
        <v>-5.7</v>
      </c>
    </row>
    <row r="50" spans="1:10">
      <c r="A50" s="10">
        <v>45133.25</v>
      </c>
      <c r="J50">
        <v>-5.53</v>
      </c>
    </row>
    <row r="51" spans="1:10">
      <c r="A51" s="10">
        <v>45133.253472222219</v>
      </c>
      <c r="B51">
        <v>-10</v>
      </c>
      <c r="C51">
        <v>-8.7799999999999994</v>
      </c>
      <c r="D51">
        <v>-3.85</v>
      </c>
      <c r="E51">
        <v>-7.17</v>
      </c>
      <c r="F51">
        <v>-9.98</v>
      </c>
      <c r="H51">
        <v>-5.59</v>
      </c>
    </row>
    <row r="52" spans="1:10">
      <c r="A52" s="10">
        <v>45133.256944444445</v>
      </c>
      <c r="I52">
        <v>-6.5</v>
      </c>
    </row>
    <row r="53" spans="1:10">
      <c r="A53" s="10">
        <v>45133.260416666664</v>
      </c>
      <c r="J53">
        <v>-5.48</v>
      </c>
    </row>
    <row r="54" spans="1:10">
      <c r="A54" s="10">
        <v>45133.263888888891</v>
      </c>
      <c r="B54">
        <v>-10</v>
      </c>
      <c r="C54">
        <v>-8.7100000000000009</v>
      </c>
      <c r="D54">
        <v>-3.74</v>
      </c>
      <c r="E54">
        <v>-7.1</v>
      </c>
      <c r="F54">
        <v>-9.92</v>
      </c>
      <c r="H54">
        <v>-5.51</v>
      </c>
    </row>
    <row r="55" spans="1:10">
      <c r="A55" s="10">
        <v>45133.267361111109</v>
      </c>
      <c r="I55">
        <v>-6.4</v>
      </c>
    </row>
    <row r="56" spans="1:10">
      <c r="A56" s="10">
        <v>45133.274305555555</v>
      </c>
      <c r="D56">
        <v>-3.63</v>
      </c>
      <c r="J56">
        <v>-5.44</v>
      </c>
    </row>
    <row r="57" spans="1:10">
      <c r="A57" s="10">
        <v>45133.277777777781</v>
      </c>
      <c r="B57">
        <v>-10</v>
      </c>
      <c r="C57">
        <v>-8.6199999999999992</v>
      </c>
      <c r="E57">
        <v>-7.05</v>
      </c>
      <c r="F57">
        <v>-9.85</v>
      </c>
      <c r="H57">
        <v>-5.44</v>
      </c>
      <c r="I57">
        <v>-6.3</v>
      </c>
    </row>
    <row r="58" spans="1:10">
      <c r="A58" s="10">
        <v>45133.284722222219</v>
      </c>
      <c r="D58">
        <v>-3.55</v>
      </c>
      <c r="J58">
        <v>-5.39</v>
      </c>
    </row>
    <row r="59" spans="1:10">
      <c r="A59" s="10">
        <v>45133.288194444445</v>
      </c>
      <c r="B59">
        <v>-10</v>
      </c>
      <c r="C59">
        <v>-8.5</v>
      </c>
      <c r="E59">
        <v>-7</v>
      </c>
      <c r="F59">
        <v>-9.7799999999999994</v>
      </c>
      <c r="H59">
        <v>-5.37</v>
      </c>
    </row>
    <row r="60" spans="1:10">
      <c r="A60" s="10">
        <v>45133.291666666664</v>
      </c>
      <c r="I60">
        <v>-6.21</v>
      </c>
    </row>
    <row r="61" spans="1:10">
      <c r="A61" s="10">
        <v>45133.295138888891</v>
      </c>
      <c r="J61">
        <v>-5.36</v>
      </c>
    </row>
    <row r="62" spans="1:10">
      <c r="A62" s="10">
        <v>45133.298611111109</v>
      </c>
      <c r="B62">
        <v>-9</v>
      </c>
      <c r="C62">
        <v>-8.4700000000000006</v>
      </c>
      <c r="D62">
        <v>-3.55</v>
      </c>
      <c r="E62">
        <v>-6.97</v>
      </c>
      <c r="F62">
        <v>-9.73</v>
      </c>
      <c r="H62">
        <v>-5.38</v>
      </c>
    </row>
    <row r="63" spans="1:10">
      <c r="A63" s="10">
        <v>45133.302083333336</v>
      </c>
      <c r="I63">
        <v>-6.18</v>
      </c>
    </row>
    <row r="64" spans="1:10">
      <c r="A64" s="10">
        <v>45133.305555555555</v>
      </c>
      <c r="J64">
        <v>-5.34</v>
      </c>
    </row>
    <row r="65" spans="1:10">
      <c r="A65" s="10">
        <v>45133.309027777781</v>
      </c>
      <c r="B65">
        <v>-9</v>
      </c>
      <c r="C65">
        <v>-8.5</v>
      </c>
      <c r="E65">
        <v>-6.95</v>
      </c>
      <c r="F65">
        <v>-9.6999999999999993</v>
      </c>
      <c r="H65">
        <v>-5.39</v>
      </c>
    </row>
    <row r="66" spans="1:10">
      <c r="A66" s="10">
        <v>45133.3125</v>
      </c>
      <c r="I66">
        <v>-6.18</v>
      </c>
    </row>
    <row r="67" spans="1:10">
      <c r="A67" s="10">
        <v>45133.319444444445</v>
      </c>
      <c r="B67">
        <v>-9</v>
      </c>
      <c r="C67">
        <v>-8.5500000000000007</v>
      </c>
      <c r="D67">
        <v>-3.63</v>
      </c>
      <c r="E67">
        <v>-6.94</v>
      </c>
      <c r="F67">
        <v>-9.69</v>
      </c>
      <c r="H67">
        <v>-5.43</v>
      </c>
      <c r="J67">
        <v>-5.32</v>
      </c>
    </row>
    <row r="68" spans="1:10">
      <c r="A68" s="10">
        <v>45133.322916666664</v>
      </c>
      <c r="I68">
        <v>-6.23</v>
      </c>
    </row>
    <row r="69" spans="1:10">
      <c r="A69" s="10">
        <v>45133.329861111109</v>
      </c>
      <c r="D69">
        <v>-3.8</v>
      </c>
      <c r="J69">
        <v>-5.32</v>
      </c>
    </row>
    <row r="70" spans="1:10">
      <c r="A70" s="10">
        <v>45133.333333333336</v>
      </c>
      <c r="B70">
        <v>-10</v>
      </c>
      <c r="C70">
        <v>-8.67</v>
      </c>
      <c r="E70">
        <v>-6.97</v>
      </c>
      <c r="F70">
        <v>-9.74</v>
      </c>
      <c r="H70">
        <v>-5.51</v>
      </c>
      <c r="I70">
        <v>-6.35</v>
      </c>
    </row>
    <row r="71" spans="1:10">
      <c r="A71" s="10">
        <v>45133.340277777781</v>
      </c>
      <c r="D71">
        <v>-4</v>
      </c>
      <c r="J71">
        <v>-5.38</v>
      </c>
    </row>
    <row r="72" spans="1:10">
      <c r="A72" s="10">
        <v>45133.34375</v>
      </c>
    </row>
    <row r="73" spans="1:10">
      <c r="A73" s="10">
        <v>45133.347222222219</v>
      </c>
      <c r="F73">
        <v>-9.85</v>
      </c>
      <c r="I73">
        <v>-6.65</v>
      </c>
    </row>
    <row r="74" spans="1:10">
      <c r="A74" s="10">
        <v>45133.350694444445</v>
      </c>
      <c r="B74">
        <v>-10</v>
      </c>
      <c r="C74">
        <v>-9.3800000000000008</v>
      </c>
      <c r="E74">
        <v>-7.22</v>
      </c>
      <c r="H74">
        <v>-5.88</v>
      </c>
      <c r="J74">
        <v>-5.55</v>
      </c>
    </row>
    <row r="75" spans="1:10">
      <c r="A75" s="10">
        <v>45133.354166666664</v>
      </c>
      <c r="D75">
        <v>-4.43</v>
      </c>
    </row>
    <row r="76" spans="1:10">
      <c r="A76" s="10">
        <v>45133.357638888891</v>
      </c>
      <c r="F76">
        <v>-10.039999999999999</v>
      </c>
      <c r="I76">
        <v>-7.1</v>
      </c>
    </row>
    <row r="77" spans="1:10">
      <c r="A77" s="10">
        <v>45133.361111111109</v>
      </c>
      <c r="B77">
        <v>-10</v>
      </c>
      <c r="C77">
        <v>-9.8800000000000008</v>
      </c>
      <c r="E77">
        <v>-7.74</v>
      </c>
      <c r="H77">
        <v>-6.29</v>
      </c>
    </row>
    <row r="78" spans="1:10">
      <c r="A78" s="10">
        <v>45133.364583333336</v>
      </c>
      <c r="D78">
        <v>-4.9400000000000004</v>
      </c>
      <c r="J78">
        <v>-5.82</v>
      </c>
    </row>
    <row r="79" spans="1:10">
      <c r="A79" s="10">
        <v>45133.368055555555</v>
      </c>
      <c r="F79">
        <v>-10.4</v>
      </c>
      <c r="I79">
        <v>-7.5</v>
      </c>
    </row>
    <row r="80" spans="1:10">
      <c r="A80" s="10">
        <v>45133.375</v>
      </c>
      <c r="B80">
        <v>-11</v>
      </c>
      <c r="C80">
        <v>-10.36</v>
      </c>
      <c r="D80">
        <v>-5.58</v>
      </c>
      <c r="E80">
        <v>-8.31</v>
      </c>
      <c r="H80">
        <v>-6.54</v>
      </c>
      <c r="J80">
        <v>-6.16</v>
      </c>
    </row>
    <row r="81" spans="1:10">
      <c r="A81" s="10">
        <v>45133.378472222219</v>
      </c>
      <c r="I81">
        <v>-8.3000000000000007</v>
      </c>
    </row>
    <row r="82" spans="1:10">
      <c r="A82" s="10">
        <v>45133.385416666664</v>
      </c>
      <c r="B82">
        <v>-12</v>
      </c>
      <c r="D82">
        <v>-6.36</v>
      </c>
      <c r="H82">
        <v>-7.06</v>
      </c>
      <c r="J82">
        <v>-6.49</v>
      </c>
    </row>
    <row r="83" spans="1:10">
      <c r="A83" s="10">
        <v>45133.388888888891</v>
      </c>
      <c r="C83">
        <v>-11.51</v>
      </c>
      <c r="F83">
        <v>-11.01</v>
      </c>
      <c r="I83">
        <v>-9.06</v>
      </c>
    </row>
    <row r="84" spans="1:10">
      <c r="A84" s="10">
        <v>45133.395833333336</v>
      </c>
      <c r="B84">
        <v>-14</v>
      </c>
      <c r="D84">
        <v>-7.13</v>
      </c>
      <c r="E84">
        <v>-9.16</v>
      </c>
      <c r="H84">
        <v>-7.68</v>
      </c>
      <c r="J84">
        <v>-6.86</v>
      </c>
    </row>
    <row r="85" spans="1:10">
      <c r="A85" s="10">
        <v>45133.399305555555</v>
      </c>
      <c r="C85">
        <v>-12.27</v>
      </c>
      <c r="I85">
        <v>-9.83</v>
      </c>
    </row>
    <row r="86" spans="1:10">
      <c r="A86" s="10">
        <v>45133.402777777781</v>
      </c>
      <c r="F86">
        <v>-11.29</v>
      </c>
    </row>
    <row r="87" spans="1:10">
      <c r="A87" s="10">
        <v>45133.40625</v>
      </c>
      <c r="B87">
        <v>-15</v>
      </c>
      <c r="D87">
        <v>-7.6</v>
      </c>
      <c r="E87">
        <v>-9.69</v>
      </c>
      <c r="H87">
        <v>-8.1999999999999993</v>
      </c>
    </row>
    <row r="88" spans="1:10">
      <c r="A88" s="10">
        <v>45133.409722222219</v>
      </c>
      <c r="C88">
        <v>-13.37</v>
      </c>
      <c r="J88">
        <v>-7.23</v>
      </c>
    </row>
    <row r="89" spans="1:10">
      <c r="A89" s="10">
        <v>45133.413194444445</v>
      </c>
      <c r="F89">
        <v>-11.63</v>
      </c>
      <c r="I89">
        <v>-10.19</v>
      </c>
    </row>
    <row r="90" spans="1:10">
      <c r="A90" s="10">
        <v>45133.416666666664</v>
      </c>
      <c r="B90">
        <v>-16</v>
      </c>
      <c r="E90">
        <v>-9.99</v>
      </c>
      <c r="H90">
        <v>-8.56</v>
      </c>
    </row>
    <row r="91" spans="1:10">
      <c r="A91" s="10">
        <v>45133.420138888891</v>
      </c>
      <c r="C91">
        <v>-14.59</v>
      </c>
    </row>
    <row r="92" spans="1:10">
      <c r="A92" s="10">
        <v>45133.423611111109</v>
      </c>
      <c r="F92">
        <v>-12.23</v>
      </c>
      <c r="I92">
        <v>-10.35</v>
      </c>
    </row>
    <row r="93" spans="1:10">
      <c r="A93" s="10">
        <v>45133.430555555555</v>
      </c>
      <c r="B93">
        <v>-17</v>
      </c>
      <c r="D93">
        <v>-8.15</v>
      </c>
      <c r="E93">
        <v>-10.5</v>
      </c>
      <c r="H93">
        <v>-8.8699999999999992</v>
      </c>
    </row>
    <row r="94" spans="1:10">
      <c r="A94" s="10">
        <v>45133.434027777781</v>
      </c>
      <c r="F94">
        <v>-12.64</v>
      </c>
      <c r="I94">
        <v>-10.52</v>
      </c>
    </row>
    <row r="95" spans="1:10">
      <c r="A95" s="10">
        <v>45133.440972222219</v>
      </c>
      <c r="C95">
        <v>-16.41</v>
      </c>
      <c r="E95">
        <v>-10.87</v>
      </c>
      <c r="J95">
        <v>-8.4</v>
      </c>
    </row>
    <row r="96" spans="1:10">
      <c r="A96" s="10">
        <v>45133.444444444445</v>
      </c>
      <c r="B96">
        <v>-18</v>
      </c>
      <c r="D96">
        <v>-8.5500000000000007</v>
      </c>
      <c r="F96">
        <v>-13.17</v>
      </c>
      <c r="H96">
        <v>-9.1300000000000008</v>
      </c>
      <c r="I96">
        <v>-10.87</v>
      </c>
    </row>
    <row r="97" spans="1:10">
      <c r="A97" s="10">
        <v>45133.451388888891</v>
      </c>
      <c r="C97">
        <v>-16.48</v>
      </c>
      <c r="J97">
        <v>-8.6999999999999993</v>
      </c>
    </row>
    <row r="98" spans="1:10">
      <c r="A98" s="10">
        <v>45133.454861111109</v>
      </c>
      <c r="B98">
        <v>-19</v>
      </c>
      <c r="D98">
        <v>-8.93</v>
      </c>
      <c r="E98">
        <v>-11.17</v>
      </c>
      <c r="F98">
        <v>-13.49</v>
      </c>
      <c r="H98">
        <v>-9.2100000000000009</v>
      </c>
    </row>
    <row r="99" spans="1:10">
      <c r="A99" s="10">
        <v>45133.458333333336</v>
      </c>
      <c r="I99">
        <v>-11.03</v>
      </c>
    </row>
    <row r="100" spans="1:10">
      <c r="A100" s="10">
        <v>45133.461805555555</v>
      </c>
      <c r="C100">
        <v>-16.34</v>
      </c>
      <c r="J100">
        <v>-8.92</v>
      </c>
    </row>
    <row r="101" spans="1:10">
      <c r="A101" s="10">
        <v>45133.465277777781</v>
      </c>
      <c r="B101">
        <v>-19</v>
      </c>
      <c r="D101">
        <v>-9.41</v>
      </c>
      <c r="E101">
        <v>-11.49</v>
      </c>
      <c r="H101">
        <v>-9.35</v>
      </c>
    </row>
    <row r="102" spans="1:10">
      <c r="A102" s="10">
        <v>45133.46875</v>
      </c>
      <c r="F102">
        <v>-13.88</v>
      </c>
      <c r="I102">
        <v>-11.16</v>
      </c>
    </row>
    <row r="103" spans="1:10">
      <c r="A103" s="10">
        <v>45133.472222222219</v>
      </c>
      <c r="J103">
        <v>-9.25</v>
      </c>
    </row>
    <row r="104" spans="1:10">
      <c r="A104" s="10">
        <v>45133.475694444445</v>
      </c>
      <c r="B104">
        <v>-20</v>
      </c>
      <c r="C104">
        <v>-16.739999999999998</v>
      </c>
      <c r="D104">
        <v>-9.77</v>
      </c>
      <c r="E104">
        <v>-11.83</v>
      </c>
      <c r="H104">
        <v>-9.76</v>
      </c>
    </row>
    <row r="105" spans="1:10">
      <c r="A105" s="10">
        <v>45133.479166666664</v>
      </c>
      <c r="F105">
        <v>-14.47</v>
      </c>
    </row>
    <row r="106" spans="1:10">
      <c r="A106" s="10">
        <v>45133.482638888891</v>
      </c>
      <c r="I106">
        <v>-11.42</v>
      </c>
    </row>
    <row r="107" spans="1:10">
      <c r="A107" s="10">
        <v>45133.486111111109</v>
      </c>
      <c r="B107">
        <v>-21</v>
      </c>
      <c r="C107">
        <v>-16.850000000000001</v>
      </c>
      <c r="D107">
        <v>-10.199999999999999</v>
      </c>
      <c r="E107">
        <v>-12.23</v>
      </c>
      <c r="H107">
        <v>-10.14</v>
      </c>
      <c r="J107">
        <v>-9.6</v>
      </c>
    </row>
    <row r="108" spans="1:10">
      <c r="A108" s="10">
        <v>45133.489583333336</v>
      </c>
      <c r="F108">
        <v>-15.09</v>
      </c>
    </row>
    <row r="109" spans="1:10">
      <c r="A109" s="10">
        <v>45133.493055555555</v>
      </c>
      <c r="I109">
        <v>-11.73</v>
      </c>
    </row>
    <row r="110" spans="1:10">
      <c r="A110" s="10">
        <v>45133.496527777781</v>
      </c>
      <c r="C110">
        <v>-16.71</v>
      </c>
      <c r="D110">
        <v>-10.210000000000001</v>
      </c>
      <c r="E110">
        <v>-12.51</v>
      </c>
      <c r="J110">
        <v>-9.7799999999999994</v>
      </c>
    </row>
    <row r="111" spans="1:10">
      <c r="A111" s="10">
        <v>45133.5</v>
      </c>
      <c r="B111">
        <v>-21</v>
      </c>
      <c r="F111">
        <v>-15.22</v>
      </c>
      <c r="H111">
        <v>-10.44</v>
      </c>
    </row>
    <row r="112" spans="1:10">
      <c r="A112" s="10">
        <v>45133.503472222219</v>
      </c>
      <c r="I112">
        <v>-12.2</v>
      </c>
    </row>
    <row r="113" spans="1:10">
      <c r="A113" s="10">
        <v>45133.506944444445</v>
      </c>
      <c r="C113">
        <v>-16.420000000000002</v>
      </c>
      <c r="J113">
        <v>-9.8699999999999992</v>
      </c>
    </row>
    <row r="114" spans="1:10">
      <c r="A114" s="10">
        <v>45133.510416666664</v>
      </c>
      <c r="B114">
        <v>-22</v>
      </c>
      <c r="D114">
        <v>-10.3</v>
      </c>
      <c r="E114">
        <v>-12.68</v>
      </c>
      <c r="F114">
        <v>-15.21</v>
      </c>
      <c r="H114">
        <v>-10.78</v>
      </c>
    </row>
    <row r="115" spans="1:10">
      <c r="A115" s="10">
        <v>45133.513888888891</v>
      </c>
      <c r="I115">
        <v>-12.64</v>
      </c>
    </row>
    <row r="116" spans="1:10">
      <c r="A116" s="10">
        <v>45133.517361111109</v>
      </c>
      <c r="J116">
        <v>-9.8800000000000008</v>
      </c>
    </row>
    <row r="117" spans="1:10">
      <c r="A117" s="10">
        <v>45133.520833333336</v>
      </c>
      <c r="B117">
        <v>-23</v>
      </c>
      <c r="C117">
        <v>-16.07</v>
      </c>
      <c r="D117">
        <v>-10.35</v>
      </c>
      <c r="E117">
        <v>-12.77</v>
      </c>
      <c r="H117">
        <v>-10.74</v>
      </c>
    </row>
    <row r="118" spans="1:10">
      <c r="A118" s="10">
        <v>45133.524305555555</v>
      </c>
      <c r="F118">
        <v>-15.05</v>
      </c>
      <c r="I118">
        <v>-12.83</v>
      </c>
    </row>
    <row r="119" spans="1:10">
      <c r="A119" s="10">
        <v>45133.53125</v>
      </c>
      <c r="B119">
        <v>-23</v>
      </c>
      <c r="C119">
        <v>-15.69</v>
      </c>
      <c r="D119">
        <v>-10.3</v>
      </c>
      <c r="E119">
        <v>-12.68</v>
      </c>
      <c r="H119">
        <v>-10.74</v>
      </c>
      <c r="J119">
        <v>-9.76</v>
      </c>
    </row>
    <row r="120" spans="1:10">
      <c r="A120" s="10">
        <v>45133.534722222219</v>
      </c>
      <c r="F120">
        <v>-14.92</v>
      </c>
    </row>
    <row r="121" spans="1:10">
      <c r="A121" s="10">
        <v>45133.538194444445</v>
      </c>
      <c r="I121">
        <v>-12.98</v>
      </c>
    </row>
    <row r="122" spans="1:10">
      <c r="A122" s="10">
        <v>45133.541666666664</v>
      </c>
      <c r="C122">
        <v>-15.6</v>
      </c>
      <c r="D122">
        <v>-10.42</v>
      </c>
      <c r="E122">
        <v>-12.72</v>
      </c>
      <c r="H122">
        <v>-11.02</v>
      </c>
      <c r="J122">
        <v>-9.93</v>
      </c>
    </row>
    <row r="123" spans="1:10">
      <c r="A123" s="10">
        <v>45133.545138888891</v>
      </c>
      <c r="B123">
        <v>-23</v>
      </c>
      <c r="F123">
        <v>-14.94</v>
      </c>
    </row>
    <row r="124" spans="1:10">
      <c r="A124" s="10">
        <v>45133.548611111109</v>
      </c>
      <c r="I124">
        <v>-13.07</v>
      </c>
    </row>
    <row r="125" spans="1:10">
      <c r="A125" s="10">
        <v>45133.552083333336</v>
      </c>
      <c r="C125">
        <v>-15.43</v>
      </c>
      <c r="D125">
        <v>-10.38</v>
      </c>
      <c r="E125">
        <v>-12.76</v>
      </c>
    </row>
    <row r="126" spans="1:10">
      <c r="A126" s="10">
        <v>45133.555555555555</v>
      </c>
      <c r="B126">
        <v>-24</v>
      </c>
      <c r="F126">
        <v>-14.84</v>
      </c>
      <c r="H126">
        <v>-10.85</v>
      </c>
    </row>
    <row r="127" spans="1:10">
      <c r="A127" s="10">
        <v>45133.559027777781</v>
      </c>
      <c r="I127">
        <v>-13.09</v>
      </c>
    </row>
    <row r="128" spans="1:10">
      <c r="A128" s="10">
        <v>45133.5625</v>
      </c>
      <c r="C128">
        <v>-15.21</v>
      </c>
      <c r="J128">
        <v>-10.07</v>
      </c>
    </row>
    <row r="129" spans="1:10">
      <c r="A129" s="10">
        <v>45133.565972222219</v>
      </c>
      <c r="B129">
        <v>-24</v>
      </c>
      <c r="D129">
        <v>-10.47</v>
      </c>
      <c r="E129">
        <v>-12.85</v>
      </c>
      <c r="F129">
        <v>-14.75</v>
      </c>
      <c r="H129">
        <v>-10.7</v>
      </c>
    </row>
    <row r="130" spans="1:10">
      <c r="A130" s="10">
        <v>45133.569444444445</v>
      </c>
      <c r="I130">
        <v>-13.09</v>
      </c>
    </row>
    <row r="131" spans="1:10">
      <c r="A131" s="10">
        <v>45133.576388888891</v>
      </c>
      <c r="B131">
        <v>-24</v>
      </c>
      <c r="C131">
        <v>-14.81</v>
      </c>
      <c r="D131">
        <v>-10.35</v>
      </c>
      <c r="E131">
        <v>-12.87</v>
      </c>
      <c r="H131">
        <v>-10.41</v>
      </c>
      <c r="J131">
        <v>-9.99</v>
      </c>
    </row>
    <row r="132" spans="1:10">
      <c r="A132" s="10">
        <v>45133.579861111109</v>
      </c>
      <c r="F132">
        <v>-14.73</v>
      </c>
      <c r="I132">
        <v>-13.09</v>
      </c>
    </row>
    <row r="133" spans="1:10">
      <c r="A133" s="10">
        <v>45133.586805555555</v>
      </c>
      <c r="B133">
        <v>-23</v>
      </c>
      <c r="C133">
        <v>-14.91</v>
      </c>
      <c r="D133">
        <v>-10.5</v>
      </c>
      <c r="E133">
        <v>-12.95</v>
      </c>
      <c r="H133">
        <v>-10.37</v>
      </c>
      <c r="J133">
        <v>-10.08</v>
      </c>
    </row>
    <row r="134" spans="1:10">
      <c r="A134" s="10">
        <v>45133.590277777781</v>
      </c>
      <c r="F134">
        <v>-14.77</v>
      </c>
    </row>
    <row r="135" spans="1:10">
      <c r="A135" s="10">
        <v>45133.59375</v>
      </c>
      <c r="G135">
        <v>-10.33</v>
      </c>
      <c r="I135">
        <v>-13.1</v>
      </c>
    </row>
    <row r="136" spans="1:10">
      <c r="A136" s="10">
        <v>45133.597222222219</v>
      </c>
      <c r="C136">
        <v>-14.77</v>
      </c>
      <c r="D136">
        <v>-10.3</v>
      </c>
      <c r="E136">
        <v>-12.97</v>
      </c>
      <c r="H136">
        <v>-10.26</v>
      </c>
      <c r="J136">
        <v>-10.119999999999999</v>
      </c>
    </row>
    <row r="137" spans="1:10">
      <c r="A137" s="10">
        <v>45133.600694444445</v>
      </c>
      <c r="B137">
        <v>-22</v>
      </c>
    </row>
    <row r="138" spans="1:10">
      <c r="A138" s="10">
        <v>45133.604166666664</v>
      </c>
      <c r="F138">
        <v>-14.75</v>
      </c>
      <c r="G138">
        <v>-11.66</v>
      </c>
      <c r="I138">
        <v>-13</v>
      </c>
    </row>
    <row r="139" spans="1:10">
      <c r="A139" s="10">
        <v>45133.607638888891</v>
      </c>
      <c r="C139">
        <v>-15.05</v>
      </c>
      <c r="D139">
        <v>-10.47</v>
      </c>
      <c r="E139">
        <v>-13.11</v>
      </c>
    </row>
    <row r="140" spans="1:10">
      <c r="A140" s="10">
        <v>45133.611111111109</v>
      </c>
      <c r="B140">
        <v>-21</v>
      </c>
      <c r="H140">
        <v>-10.45</v>
      </c>
      <c r="J140">
        <v>-10.33</v>
      </c>
    </row>
    <row r="141" spans="1:10">
      <c r="A141" s="10">
        <v>45133.614583333336</v>
      </c>
      <c r="F141">
        <v>-14.98</v>
      </c>
      <c r="I141">
        <v>-13.05</v>
      </c>
    </row>
    <row r="142" spans="1:10">
      <c r="A142" s="10">
        <v>45133.618055555555</v>
      </c>
      <c r="G142">
        <v>-13.14</v>
      </c>
    </row>
    <row r="143" spans="1:10">
      <c r="A143" s="10">
        <v>45133.621527777781</v>
      </c>
      <c r="B143">
        <v>-20</v>
      </c>
      <c r="C143">
        <v>-15.56</v>
      </c>
      <c r="D143">
        <v>-10.8</v>
      </c>
      <c r="E143">
        <v>-13.4</v>
      </c>
      <c r="H143">
        <v>-10.65</v>
      </c>
      <c r="J143">
        <v>-10.57</v>
      </c>
    </row>
    <row r="144" spans="1:10">
      <c r="A144" s="10">
        <v>45133.625</v>
      </c>
      <c r="F144">
        <v>-15.23</v>
      </c>
      <c r="I144">
        <v>-13.14</v>
      </c>
    </row>
    <row r="145" spans="1:10">
      <c r="A145" s="10">
        <v>45133.628472222219</v>
      </c>
      <c r="G145">
        <v>-14.18</v>
      </c>
    </row>
    <row r="146" spans="1:10">
      <c r="A146" s="10">
        <v>45133.631944444445</v>
      </c>
      <c r="B146">
        <v>-19</v>
      </c>
      <c r="C146">
        <v>-15.69</v>
      </c>
      <c r="D146">
        <v>-10.92</v>
      </c>
      <c r="E146">
        <v>-13.57</v>
      </c>
      <c r="H146">
        <v>-10.69</v>
      </c>
      <c r="J146">
        <v>-10.69</v>
      </c>
    </row>
    <row r="147" spans="1:10">
      <c r="A147" s="10">
        <v>45133.635416666664</v>
      </c>
      <c r="F147">
        <v>-15.48</v>
      </c>
      <c r="I147">
        <v>-13.25</v>
      </c>
    </row>
    <row r="148" spans="1:10">
      <c r="A148" s="10">
        <v>45133.638888888891</v>
      </c>
      <c r="G148">
        <v>-15.42</v>
      </c>
    </row>
    <row r="149" spans="1:10">
      <c r="A149" s="10">
        <v>45133.642361111109</v>
      </c>
      <c r="B149">
        <v>-19</v>
      </c>
      <c r="C149">
        <v>-16.399999999999999</v>
      </c>
      <c r="D149">
        <v>-11.37</v>
      </c>
      <c r="E149">
        <v>-13.86</v>
      </c>
      <c r="H149">
        <v>-11.05</v>
      </c>
      <c r="J149">
        <v>-11.09</v>
      </c>
    </row>
    <row r="150" spans="1:10">
      <c r="A150" s="10">
        <v>45133.645833333336</v>
      </c>
      <c r="F150">
        <v>-15.94</v>
      </c>
    </row>
    <row r="151" spans="1:10">
      <c r="A151" s="10">
        <v>45133.649305555555</v>
      </c>
      <c r="G151">
        <v>-16.88</v>
      </c>
      <c r="I151">
        <v>-13.51</v>
      </c>
    </row>
    <row r="152" spans="1:10">
      <c r="A152" s="10">
        <v>45133.652777777781</v>
      </c>
      <c r="C152">
        <v>-17.07</v>
      </c>
      <c r="D152">
        <v>-11.76</v>
      </c>
      <c r="E152">
        <v>-14.25</v>
      </c>
      <c r="H152">
        <v>-11.45</v>
      </c>
    </row>
    <row r="153" spans="1:10">
      <c r="A153" s="10">
        <v>45133.65625</v>
      </c>
      <c r="B153">
        <v>-18</v>
      </c>
      <c r="F153">
        <v>-16.36</v>
      </c>
      <c r="J153">
        <v>-11.46</v>
      </c>
    </row>
    <row r="154" spans="1:10">
      <c r="A154" s="10">
        <v>45133.659722222219</v>
      </c>
      <c r="G154">
        <v>-17.899999999999999</v>
      </c>
      <c r="I154">
        <v>-13.86</v>
      </c>
    </row>
    <row r="155" spans="1:10">
      <c r="A155" s="10">
        <v>45133.663194444445</v>
      </c>
      <c r="C155">
        <v>-17.68</v>
      </c>
      <c r="D155">
        <v>-12.08</v>
      </c>
      <c r="E155">
        <v>-14.49</v>
      </c>
    </row>
    <row r="156" spans="1:10">
      <c r="A156" s="10">
        <v>45133.666666666664</v>
      </c>
      <c r="B156">
        <v>-18</v>
      </c>
      <c r="J156">
        <v>-11.77</v>
      </c>
    </row>
    <row r="157" spans="1:10">
      <c r="A157" s="10">
        <v>45133.670138888891</v>
      </c>
      <c r="F157">
        <v>-16.77</v>
      </c>
      <c r="I157">
        <v>-14.19</v>
      </c>
    </row>
    <row r="158" spans="1:10">
      <c r="A158" s="10">
        <v>45133.673611111109</v>
      </c>
      <c r="D158">
        <v>-12.22</v>
      </c>
      <c r="G158">
        <v>-18.82</v>
      </c>
    </row>
    <row r="159" spans="1:10">
      <c r="A159" s="10">
        <v>45133.677083333336</v>
      </c>
      <c r="B159">
        <v>-18</v>
      </c>
      <c r="C159">
        <v>-18.13</v>
      </c>
      <c r="E159">
        <v>-14.74</v>
      </c>
      <c r="H159">
        <v>-11.87</v>
      </c>
      <c r="J159">
        <v>-12.04</v>
      </c>
    </row>
    <row r="160" spans="1:10">
      <c r="A160" s="10">
        <v>45133.680555555555</v>
      </c>
      <c r="I160">
        <v>-14.48</v>
      </c>
    </row>
    <row r="161" spans="1:10">
      <c r="A161" s="10">
        <v>45133.684027777781</v>
      </c>
      <c r="G161">
        <v>-19.23</v>
      </c>
    </row>
    <row r="162" spans="1:10">
      <c r="A162" s="10">
        <v>45133.6875</v>
      </c>
      <c r="B162">
        <v>-17</v>
      </c>
      <c r="C162">
        <v>-18.489999999999998</v>
      </c>
      <c r="D162">
        <v>-12.46</v>
      </c>
      <c r="E162">
        <v>-14.94</v>
      </c>
      <c r="H162">
        <v>-11.99</v>
      </c>
      <c r="J162">
        <v>-12.24</v>
      </c>
    </row>
    <row r="163" spans="1:10">
      <c r="A163" s="10">
        <v>45133.690972222219</v>
      </c>
      <c r="F163">
        <v>-17.41</v>
      </c>
      <c r="I163">
        <v>-14.68</v>
      </c>
    </row>
    <row r="164" spans="1:10">
      <c r="A164" s="10">
        <v>45133.694444444445</v>
      </c>
      <c r="G164">
        <v>-19.510000000000002</v>
      </c>
    </row>
    <row r="165" spans="1:10">
      <c r="A165" s="10">
        <v>45133.697916666664</v>
      </c>
      <c r="B165">
        <v>-17</v>
      </c>
      <c r="C165">
        <v>-18.79</v>
      </c>
      <c r="D165">
        <v>-12.52</v>
      </c>
      <c r="E165">
        <v>-15.02</v>
      </c>
      <c r="H165">
        <v>-12.04</v>
      </c>
      <c r="J165">
        <v>-12.31</v>
      </c>
    </row>
    <row r="166" spans="1:10">
      <c r="A166" s="10">
        <v>45133.701388888891</v>
      </c>
      <c r="F166">
        <v>-17.649999999999999</v>
      </c>
    </row>
    <row r="167" spans="1:10">
      <c r="A167" s="10">
        <v>45133.704861111109</v>
      </c>
      <c r="G167">
        <v>-19.559999999999999</v>
      </c>
      <c r="I167">
        <v>-14.85</v>
      </c>
    </row>
    <row r="168" spans="1:10">
      <c r="A168" s="10">
        <v>45133.708333333336</v>
      </c>
      <c r="C168">
        <v>-18.91</v>
      </c>
      <c r="D168">
        <v>-12.74</v>
      </c>
      <c r="E168">
        <v>-15.11</v>
      </c>
    </row>
    <row r="169" spans="1:10">
      <c r="A169" s="10">
        <v>45133.711805555555</v>
      </c>
      <c r="B169">
        <v>-17</v>
      </c>
      <c r="F169">
        <v>-17.87</v>
      </c>
      <c r="J169">
        <v>-12.4</v>
      </c>
    </row>
    <row r="170" spans="1:10">
      <c r="A170" s="10">
        <v>45133.715277777781</v>
      </c>
      <c r="G170">
        <v>-19.579999999999998</v>
      </c>
      <c r="I170">
        <v>-15.01</v>
      </c>
    </row>
    <row r="171" spans="1:10">
      <c r="A171" s="10">
        <v>45133.71875</v>
      </c>
      <c r="C171">
        <v>-18.88</v>
      </c>
      <c r="D171">
        <v>-12.93</v>
      </c>
      <c r="E171">
        <v>-15.16</v>
      </c>
      <c r="H171">
        <v>-12.12</v>
      </c>
    </row>
    <row r="172" spans="1:10">
      <c r="A172" s="10">
        <v>45133.722222222219</v>
      </c>
      <c r="B172">
        <v>-17</v>
      </c>
      <c r="J172">
        <v>-12.41</v>
      </c>
    </row>
    <row r="173" spans="1:10">
      <c r="A173" s="10">
        <v>45133.729166666664</v>
      </c>
      <c r="D173">
        <v>-13.16</v>
      </c>
      <c r="G173">
        <v>-19.559999999999999</v>
      </c>
    </row>
    <row r="174" spans="1:10">
      <c r="A174" s="10">
        <v>45133.732638888891</v>
      </c>
      <c r="B174">
        <v>-17</v>
      </c>
      <c r="J174">
        <v>-12.42</v>
      </c>
    </row>
    <row r="175" spans="1:10">
      <c r="A175" s="10">
        <v>45133.739583333336</v>
      </c>
      <c r="E175">
        <v>-15.24</v>
      </c>
      <c r="F175">
        <v>-18.16</v>
      </c>
      <c r="G175">
        <v>-19.54</v>
      </c>
      <c r="H175">
        <v>-12.16</v>
      </c>
      <c r="I175">
        <v>-15.15</v>
      </c>
    </row>
    <row r="176" spans="1:10">
      <c r="A176" s="10">
        <v>45133.743055555555</v>
      </c>
      <c r="B176">
        <v>-17</v>
      </c>
      <c r="D176">
        <v>-13.5</v>
      </c>
    </row>
    <row r="177" spans="1:10">
      <c r="A177" s="10">
        <v>45133.746527777781</v>
      </c>
      <c r="J177">
        <v>-12.35</v>
      </c>
    </row>
    <row r="178" spans="1:10">
      <c r="A178" s="10">
        <v>45133.75</v>
      </c>
      <c r="C178">
        <v>-18.79</v>
      </c>
      <c r="E178">
        <v>-15.22</v>
      </c>
      <c r="F178">
        <v>-18.23</v>
      </c>
      <c r="G178">
        <v>-19.27</v>
      </c>
      <c r="H178">
        <v>-12.13</v>
      </c>
      <c r="I178">
        <v>-15.19</v>
      </c>
    </row>
    <row r="179" spans="1:10">
      <c r="A179" s="10">
        <v>45133.753472222219</v>
      </c>
      <c r="B179">
        <v>-17</v>
      </c>
    </row>
    <row r="180" spans="1:10">
      <c r="A180" s="10">
        <v>45133.760416666664</v>
      </c>
      <c r="F180">
        <v>-18.239999999999998</v>
      </c>
      <c r="J180">
        <v>-12.22</v>
      </c>
    </row>
    <row r="181" spans="1:10">
      <c r="A181" s="10">
        <v>45133.763888888891</v>
      </c>
      <c r="C181">
        <v>-18.63</v>
      </c>
      <c r="E181">
        <v>-15.2</v>
      </c>
      <c r="H181">
        <v>-12.12</v>
      </c>
    </row>
    <row r="182" spans="1:10">
      <c r="A182" s="10">
        <v>45133.767361111109</v>
      </c>
      <c r="B182">
        <v>-17</v>
      </c>
    </row>
    <row r="183" spans="1:10">
      <c r="A183" s="10">
        <v>45133.770833333336</v>
      </c>
      <c r="F183">
        <v>-18.27</v>
      </c>
      <c r="J183">
        <v>-12.12</v>
      </c>
    </row>
    <row r="184" spans="1:10">
      <c r="A184" s="10">
        <v>45133.774305555555</v>
      </c>
      <c r="C184">
        <v>-18.46</v>
      </c>
      <c r="E184">
        <v>-15.15</v>
      </c>
    </row>
    <row r="185" spans="1:10">
      <c r="A185" s="10">
        <v>45133.777777777781</v>
      </c>
      <c r="B185">
        <v>-17</v>
      </c>
    </row>
    <row r="186" spans="1:10">
      <c r="A186" s="10">
        <v>45133.78125</v>
      </c>
      <c r="F186">
        <v>-18.23</v>
      </c>
      <c r="J186">
        <v>-11.93</v>
      </c>
    </row>
    <row r="187" spans="1:10">
      <c r="A187" s="10">
        <v>45133.784722222219</v>
      </c>
      <c r="C187">
        <v>-18.29</v>
      </c>
      <c r="D187">
        <v>-12.99</v>
      </c>
      <c r="E187">
        <v>-15</v>
      </c>
      <c r="H187">
        <v>-11.98</v>
      </c>
    </row>
    <row r="188" spans="1:10">
      <c r="A188" s="10">
        <v>45133.788194444445</v>
      </c>
      <c r="B188">
        <v>-16</v>
      </c>
      <c r="G188">
        <v>-18.149999999999999</v>
      </c>
      <c r="I188">
        <v>-15.07</v>
      </c>
    </row>
    <row r="189" spans="1:10">
      <c r="A189" s="10">
        <v>45133.795138888891</v>
      </c>
      <c r="C189">
        <v>-18.100000000000001</v>
      </c>
      <c r="D189">
        <v>-12.79</v>
      </c>
      <c r="E189">
        <v>-14.83</v>
      </c>
      <c r="F189">
        <v>-18.16</v>
      </c>
      <c r="H189">
        <v>-11.8</v>
      </c>
      <c r="J189">
        <v>-11.71</v>
      </c>
    </row>
    <row r="190" spans="1:10">
      <c r="A190" s="10">
        <v>45133.798611111109</v>
      </c>
      <c r="B190">
        <v>-16</v>
      </c>
      <c r="G190">
        <v>-17.420000000000002</v>
      </c>
      <c r="I190">
        <v>-14.89</v>
      </c>
    </row>
    <row r="191" spans="1:10">
      <c r="A191" s="10">
        <v>45133.805555555555</v>
      </c>
      <c r="C191">
        <v>-17.850000000000001</v>
      </c>
      <c r="D191">
        <v>-12.51</v>
      </c>
      <c r="E191">
        <v>-14.57</v>
      </c>
      <c r="F191">
        <v>-18.03</v>
      </c>
      <c r="H191">
        <v>-11.57</v>
      </c>
      <c r="J191">
        <v>-11.43</v>
      </c>
    </row>
    <row r="192" spans="1:10">
      <c r="A192" s="10">
        <v>45133.809027777781</v>
      </c>
      <c r="G192">
        <v>-16.78</v>
      </c>
      <c r="I192">
        <v>-14.66</v>
      </c>
    </row>
    <row r="193" spans="1:10">
      <c r="A193" s="10">
        <v>45133.8125</v>
      </c>
      <c r="B193">
        <v>-16</v>
      </c>
    </row>
    <row r="194" spans="1:10">
      <c r="A194" s="10">
        <v>45133.815972222219</v>
      </c>
      <c r="D194">
        <v>-12.18</v>
      </c>
      <c r="F194">
        <v>-17.920000000000002</v>
      </c>
      <c r="J194">
        <v>-11.2</v>
      </c>
    </row>
    <row r="195" spans="1:10">
      <c r="A195" s="10">
        <v>45133.819444444445</v>
      </c>
      <c r="C195">
        <v>-17.64</v>
      </c>
      <c r="E195">
        <v>-14.3</v>
      </c>
      <c r="G195">
        <v>-16.23</v>
      </c>
      <c r="H195">
        <v>-11.34</v>
      </c>
      <c r="I195">
        <v>-14.42</v>
      </c>
    </row>
    <row r="196" spans="1:10">
      <c r="A196" s="10">
        <v>45133.826388888891</v>
      </c>
      <c r="D196">
        <v>-11.5</v>
      </c>
      <c r="F196">
        <v>-17.760000000000002</v>
      </c>
      <c r="J196">
        <v>-10.97</v>
      </c>
    </row>
    <row r="197" spans="1:10">
      <c r="A197" s="10">
        <v>45133.829861111109</v>
      </c>
      <c r="C197">
        <v>-17.28</v>
      </c>
      <c r="E197">
        <v>-14</v>
      </c>
      <c r="H197">
        <v>-11.08</v>
      </c>
    </row>
    <row r="198" spans="1:10">
      <c r="A198" s="10">
        <v>45133.833333333336</v>
      </c>
      <c r="G198">
        <v>-15.55</v>
      </c>
      <c r="I198">
        <v>-14.17</v>
      </c>
    </row>
    <row r="199" spans="1:10">
      <c r="A199" s="10">
        <v>45133.836805555555</v>
      </c>
      <c r="F199">
        <v>-17.54</v>
      </c>
    </row>
    <row r="200" spans="1:10">
      <c r="A200" s="10">
        <v>45133.840277777781</v>
      </c>
      <c r="B200">
        <v>-15</v>
      </c>
      <c r="C200">
        <v>-16.87</v>
      </c>
      <c r="D200">
        <v>-10.84</v>
      </c>
      <c r="E200">
        <v>-13.65</v>
      </c>
      <c r="J200">
        <v>-10.7</v>
      </c>
    </row>
    <row r="201" spans="1:10">
      <c r="A201" s="10">
        <v>45133.84375</v>
      </c>
      <c r="G201">
        <v>-14.74</v>
      </c>
      <c r="I201">
        <v>-13.87</v>
      </c>
    </row>
    <row r="202" spans="1:10">
      <c r="A202" s="10">
        <v>45133.850694444445</v>
      </c>
      <c r="B202">
        <v>-15</v>
      </c>
      <c r="C202">
        <v>-16.440000000000001</v>
      </c>
      <c r="D202">
        <v>-10.29</v>
      </c>
      <c r="F202">
        <v>-17.27</v>
      </c>
      <c r="H202">
        <v>-10.55</v>
      </c>
      <c r="J202">
        <v>-10.4</v>
      </c>
    </row>
    <row r="203" spans="1:10">
      <c r="A203" s="10">
        <v>45133.854166666664</v>
      </c>
      <c r="G203">
        <v>-13.92</v>
      </c>
      <c r="I203">
        <v>-13.53</v>
      </c>
    </row>
    <row r="204" spans="1:10">
      <c r="A204" s="10">
        <v>45133.861111111109</v>
      </c>
      <c r="B204">
        <v>-15</v>
      </c>
      <c r="C204">
        <v>-15.94</v>
      </c>
      <c r="D204">
        <v>-9.7799999999999994</v>
      </c>
      <c r="E204">
        <v>-12.88</v>
      </c>
      <c r="F204">
        <v>-16.95</v>
      </c>
      <c r="H204">
        <v>-10.24</v>
      </c>
      <c r="J204">
        <v>-10.07</v>
      </c>
    </row>
    <row r="205" spans="1:10">
      <c r="A205" s="10">
        <v>45133.864583333336</v>
      </c>
      <c r="I205">
        <v>-13.15</v>
      </c>
    </row>
    <row r="206" spans="1:10">
      <c r="A206" s="10">
        <v>45133.868055555555</v>
      </c>
      <c r="G206">
        <v>-12.72</v>
      </c>
    </row>
    <row r="207" spans="1:10">
      <c r="A207" s="10">
        <v>45133.871527777781</v>
      </c>
      <c r="B207">
        <v>-14</v>
      </c>
      <c r="D207">
        <v>-9.24</v>
      </c>
      <c r="F207">
        <v>-16.54</v>
      </c>
      <c r="J207">
        <v>-9.68</v>
      </c>
    </row>
    <row r="208" spans="1:10">
      <c r="A208" s="10">
        <v>45133.875</v>
      </c>
      <c r="C208">
        <v>-15.38</v>
      </c>
      <c r="E208">
        <v>-12.46</v>
      </c>
      <c r="H208">
        <v>-9.8800000000000008</v>
      </c>
    </row>
    <row r="209" spans="1:10">
      <c r="A209" s="10">
        <v>45133.878472222219</v>
      </c>
      <c r="I209">
        <v>-12.65</v>
      </c>
    </row>
    <row r="210" spans="1:10">
      <c r="A210" s="10">
        <v>45133.881944444445</v>
      </c>
      <c r="D210">
        <v>-8.67</v>
      </c>
      <c r="F210">
        <v>-16.059999999999999</v>
      </c>
    </row>
    <row r="211" spans="1:10">
      <c r="A211" s="10">
        <v>45133.885416666664</v>
      </c>
      <c r="B211">
        <v>-14</v>
      </c>
      <c r="C211">
        <v>-14.75</v>
      </c>
      <c r="E211">
        <v>-12.01</v>
      </c>
      <c r="H211">
        <v>-9.52</v>
      </c>
      <c r="J211">
        <v>-9.26</v>
      </c>
    </row>
    <row r="212" spans="1:10">
      <c r="A212" s="10">
        <v>45133.888888888891</v>
      </c>
      <c r="G212">
        <v>-10.77</v>
      </c>
      <c r="I212">
        <v>-12.25</v>
      </c>
    </row>
    <row r="213" spans="1:10">
      <c r="A213" s="10">
        <v>45133.892361111109</v>
      </c>
      <c r="F213">
        <v>-15.54</v>
      </c>
    </row>
    <row r="214" spans="1:10">
      <c r="A214" s="10">
        <v>45133.895833333336</v>
      </c>
      <c r="B214">
        <v>-13</v>
      </c>
      <c r="C214">
        <v>-14.12</v>
      </c>
      <c r="D214">
        <v>-8.14</v>
      </c>
      <c r="E214">
        <v>-11.56</v>
      </c>
      <c r="H214">
        <v>-9.15</v>
      </c>
      <c r="J214">
        <v>-8.82</v>
      </c>
    </row>
    <row r="215" spans="1:10">
      <c r="A215" s="10">
        <v>45133.902777777781</v>
      </c>
      <c r="G215">
        <v>-10.039999999999999</v>
      </c>
      <c r="I215">
        <v>-11.84</v>
      </c>
    </row>
    <row r="216" spans="1:10">
      <c r="A216" s="10">
        <v>45133.90625</v>
      </c>
      <c r="B216">
        <v>-13</v>
      </c>
      <c r="C216">
        <v>-13.52</v>
      </c>
      <c r="D216">
        <v>-7.65</v>
      </c>
      <c r="E216">
        <v>-11.12</v>
      </c>
      <c r="F216">
        <v>-15.04</v>
      </c>
      <c r="H216">
        <v>-8.8000000000000007</v>
      </c>
      <c r="J216">
        <v>-8.43</v>
      </c>
    </row>
    <row r="217" spans="1:10">
      <c r="A217" s="10">
        <v>45133.913194444445</v>
      </c>
      <c r="G217">
        <v>-9.4600000000000009</v>
      </c>
      <c r="I217">
        <v>-11.43</v>
      </c>
    </row>
    <row r="218" spans="1:10">
      <c r="A218" s="10">
        <v>45133.916666666664</v>
      </c>
      <c r="B218">
        <v>-12</v>
      </c>
      <c r="C218">
        <v>-12.98</v>
      </c>
      <c r="D218">
        <v>-7.21</v>
      </c>
      <c r="E218">
        <v>-10.73</v>
      </c>
      <c r="F218">
        <v>-14.57</v>
      </c>
      <c r="H218">
        <v>-8.48</v>
      </c>
      <c r="J218">
        <v>-8.09</v>
      </c>
    </row>
    <row r="219" spans="1:10">
      <c r="A219" s="10">
        <v>45133.923611111109</v>
      </c>
      <c r="G219">
        <v>-9</v>
      </c>
      <c r="I219">
        <v>-11.04</v>
      </c>
    </row>
    <row r="220" spans="1:10">
      <c r="A220" s="10">
        <v>45133.927083333336</v>
      </c>
      <c r="B220">
        <v>-12</v>
      </c>
      <c r="D220">
        <v>-6.84</v>
      </c>
      <c r="F220">
        <v>-14.12</v>
      </c>
    </row>
    <row r="221" spans="1:10">
      <c r="A221" s="10">
        <v>45133.930555555555</v>
      </c>
      <c r="C221">
        <v>-12.49</v>
      </c>
      <c r="E221">
        <v>-10.37</v>
      </c>
      <c r="H221">
        <v>-8.19</v>
      </c>
      <c r="J221">
        <v>-7.79</v>
      </c>
    </row>
    <row r="222" spans="1:10">
      <c r="A222" s="10">
        <v>45133.934027777781</v>
      </c>
      <c r="G222">
        <v>-8.61</v>
      </c>
      <c r="I222">
        <v>-10.66</v>
      </c>
    </row>
    <row r="223" spans="1:10">
      <c r="A223" s="10">
        <v>45133.9375</v>
      </c>
      <c r="B223">
        <v>-12</v>
      </c>
      <c r="D223">
        <v>-6.52</v>
      </c>
    </row>
    <row r="224" spans="1:10">
      <c r="A224" s="10">
        <v>45133.940972222219</v>
      </c>
      <c r="C224">
        <v>-12.02</v>
      </c>
      <c r="E224">
        <v>-10.039999999999999</v>
      </c>
      <c r="H224">
        <v>-7.92</v>
      </c>
      <c r="J224">
        <v>-7.52</v>
      </c>
    </row>
    <row r="225" spans="1:10">
      <c r="A225" s="10">
        <v>45133.944444444445</v>
      </c>
      <c r="G225">
        <v>-8.3000000000000007</v>
      </c>
      <c r="I225">
        <v>-10.3</v>
      </c>
    </row>
    <row r="226" spans="1:10">
      <c r="A226" s="10">
        <v>45133.947916666664</v>
      </c>
      <c r="D226">
        <v>-6.24</v>
      </c>
      <c r="F226">
        <v>-13.31</v>
      </c>
    </row>
    <row r="227" spans="1:10">
      <c r="A227" s="10">
        <v>45133.951388888891</v>
      </c>
      <c r="B227">
        <v>-12</v>
      </c>
      <c r="C227">
        <v>-11.59</v>
      </c>
      <c r="E227">
        <v>-9.75</v>
      </c>
      <c r="H227">
        <v>-7.67</v>
      </c>
      <c r="J227">
        <v>-7.27</v>
      </c>
    </row>
    <row r="228" spans="1:10">
      <c r="A228" s="10">
        <v>45133.958333333336</v>
      </c>
      <c r="G228">
        <v>-8.02</v>
      </c>
      <c r="I228">
        <v>-9.9700000000000006</v>
      </c>
    </row>
    <row r="229" spans="1:10">
      <c r="A229" s="10">
        <v>45133.961805555555</v>
      </c>
      <c r="B229">
        <v>-11</v>
      </c>
      <c r="C229">
        <v>-11.21</v>
      </c>
      <c r="D229">
        <v>-5.96</v>
      </c>
      <c r="E229">
        <v>-9.48</v>
      </c>
      <c r="F229">
        <v>-12.95</v>
      </c>
      <c r="H229">
        <v>-7.45</v>
      </c>
      <c r="J229">
        <v>-7.04</v>
      </c>
    </row>
    <row r="230" spans="1:10">
      <c r="A230" s="10">
        <v>45133.96875</v>
      </c>
      <c r="G230">
        <v>-7.79</v>
      </c>
    </row>
    <row r="231" spans="1:10">
      <c r="A231" s="10">
        <v>45133.972222222219</v>
      </c>
      <c r="B231">
        <v>-11</v>
      </c>
      <c r="C231">
        <v>-10.86</v>
      </c>
      <c r="D231">
        <v>-5.74</v>
      </c>
      <c r="E231">
        <v>-9.23</v>
      </c>
      <c r="F231">
        <v>-12.6</v>
      </c>
      <c r="H231">
        <v>-7.24</v>
      </c>
      <c r="I231">
        <v>-9.56</v>
      </c>
    </row>
    <row r="232" spans="1:10">
      <c r="A232" s="10">
        <v>45133.979166666664</v>
      </c>
      <c r="G232">
        <v>-7.6</v>
      </c>
    </row>
    <row r="233" spans="1:10">
      <c r="A233" s="10">
        <v>45133.982638888891</v>
      </c>
      <c r="B233">
        <v>-11</v>
      </c>
      <c r="D233">
        <v>-5.54</v>
      </c>
      <c r="F233">
        <v>-12.29</v>
      </c>
      <c r="I233">
        <v>-9.27</v>
      </c>
    </row>
    <row r="234" spans="1:10">
      <c r="A234" s="10">
        <v>45133.986111111109</v>
      </c>
      <c r="C234">
        <v>-10.54</v>
      </c>
      <c r="E234">
        <v>-9</v>
      </c>
      <c r="H234">
        <v>-7.05</v>
      </c>
      <c r="J234">
        <v>-6.7</v>
      </c>
    </row>
    <row r="235" spans="1:10">
      <c r="A235" s="10">
        <v>45133.989583333336</v>
      </c>
      <c r="G235">
        <v>-7.46</v>
      </c>
    </row>
    <row r="236" spans="1:10">
      <c r="A236" s="10">
        <v>45133.993055555555</v>
      </c>
      <c r="B236">
        <v>-11</v>
      </c>
      <c r="D236">
        <v>-5.36</v>
      </c>
      <c r="F236">
        <v>-12</v>
      </c>
      <c r="I236">
        <v>-9</v>
      </c>
    </row>
    <row r="237" spans="1:10">
      <c r="A237" s="10">
        <v>45133.996527777781</v>
      </c>
      <c r="C237">
        <v>-10.25</v>
      </c>
      <c r="E237">
        <v>-8.7899999999999991</v>
      </c>
      <c r="H237">
        <v>-6.87</v>
      </c>
      <c r="J237">
        <v>-6.56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9"/>
  <sheetViews>
    <sheetView workbookViewId="0">
      <pane ySplit="1" topLeftCell="A2" activePane="bottomLeft" state="frozen"/>
      <selection pane="bottomLeft" activeCell="I31" sqref="I31"/>
    </sheetView>
  </sheetViews>
  <sheetFormatPr defaultColWidth="11.42578125" defaultRowHeight="15"/>
  <cols>
    <col min="2" max="2" width="14.28515625" bestFit="1" customWidth="1"/>
    <col min="3" max="3" width="14.28515625" customWidth="1"/>
    <col min="4" max="4" width="12" bestFit="1" customWidth="1"/>
    <col min="5" max="5" width="12.28515625" bestFit="1" customWidth="1"/>
    <col min="6" max="6" width="14.28515625" bestFit="1" customWidth="1"/>
    <col min="7" max="7" width="13.85546875" bestFit="1" customWidth="1"/>
  </cols>
  <sheetData>
    <row r="1" spans="1:18">
      <c r="A1" t="s">
        <v>487</v>
      </c>
      <c r="B1" t="s">
        <v>488</v>
      </c>
      <c r="C1" t="s">
        <v>467</v>
      </c>
      <c r="D1" t="s">
        <v>468</v>
      </c>
      <c r="E1" t="s">
        <v>474</v>
      </c>
      <c r="F1" t="s">
        <v>489</v>
      </c>
      <c r="G1" t="s">
        <v>490</v>
      </c>
    </row>
    <row r="2" spans="1:18">
      <c r="A2">
        <v>2.1</v>
      </c>
      <c r="B2">
        <v>1</v>
      </c>
      <c r="C2" s="6">
        <v>0.3288888888888889</v>
      </c>
      <c r="D2" s="5">
        <v>-8.379999999999999</v>
      </c>
      <c r="E2" s="5">
        <v>-5.6066000000000003</v>
      </c>
      <c r="F2">
        <v>0.16412675000000002</v>
      </c>
      <c r="G2">
        <v>1.23100225</v>
      </c>
      <c r="I2" s="2">
        <f>AVERAGE(C2:C8)</f>
        <v>0.35466269841269843</v>
      </c>
      <c r="J2" s="5">
        <f>AVERAGE(D2:D8)</f>
        <v>-8.0221428571428568</v>
      </c>
      <c r="K2" s="5">
        <f>AVERAGE(E2:E8)</f>
        <v>-7.3061428571428575</v>
      </c>
      <c r="L2" s="5">
        <f>AVERAGE(F2:F8)</f>
        <v>0.19261050000000002</v>
      </c>
      <c r="M2" s="5">
        <f>AVERAGE(G2:G8)</f>
        <v>1.1975438571428572</v>
      </c>
      <c r="O2" s="7">
        <f>STDEV(D2:D8)/SQRT(COUNT(D2:D8))</f>
        <v>0.44428092938780311</v>
      </c>
      <c r="P2" s="7">
        <f>STDEV(E2:E8)/SQRT(COUNT(E2:E8))</f>
        <v>0.68386262678473941</v>
      </c>
      <c r="Q2" s="7">
        <f>STDEV(F2:F8)/SQRT(COUNT(F2:F8))</f>
        <v>2.3376500100833815E-2</v>
      </c>
      <c r="R2" s="7">
        <f>STDEV(G2:G8)/SQRT(COUNT(G2:G8))</f>
        <v>4.2356968944159357E-2</v>
      </c>
    </row>
    <row r="3" spans="1:18">
      <c r="A3">
        <v>1.2</v>
      </c>
      <c r="B3">
        <v>1</v>
      </c>
      <c r="C3" s="6">
        <v>0.33708333333333329</v>
      </c>
      <c r="D3" s="5">
        <v>-8.5400000000000009</v>
      </c>
      <c r="E3" s="5">
        <v>-8.8666</v>
      </c>
      <c r="F3">
        <v>0.10659099999999999</v>
      </c>
      <c r="G3">
        <v>1.2634207499999999</v>
      </c>
      <c r="I3" s="2">
        <f>AVERAGE(C11:C17)</f>
        <v>0.47744708994708995</v>
      </c>
      <c r="J3" s="5">
        <f>AVERAGE(D11:D17)</f>
        <v>-16.670238095238094</v>
      </c>
      <c r="K3" s="5">
        <f>AVERAGE(E11:E17)</f>
        <v>-11.899500000000002</v>
      </c>
      <c r="L3" s="5">
        <f>AVERAGE(F11:F17)</f>
        <v>0.20208653571428575</v>
      </c>
      <c r="M3" s="5">
        <f>AVERAGE(G11:G17)</f>
        <v>2.3856461428571429</v>
      </c>
      <c r="O3" s="7">
        <f>STDEV(D11:D17)/SQRT(COUNT(D11:D17))</f>
        <v>0.75652771507292849</v>
      </c>
      <c r="P3" s="7">
        <f>STDEV(E11:E17)/SQRT(COUNT(E11:E17))</f>
        <v>1.0573574007198967</v>
      </c>
      <c r="Q3" s="7">
        <f>STDEV(F11:F17)/SQRT(COUNT(F11:F17))</f>
        <v>2.8976475206110235E-2</v>
      </c>
      <c r="R3" s="7">
        <f>STDEV(G11:G17)/SQRT(COUNT(G11:G17))</f>
        <v>0.10630951912369899</v>
      </c>
    </row>
    <row r="4" spans="1:18">
      <c r="A4">
        <v>3.2</v>
      </c>
      <c r="B4">
        <v>1</v>
      </c>
      <c r="C4" s="6">
        <v>0.34791666666666671</v>
      </c>
      <c r="D4" s="5">
        <v>-7.2750000000000004</v>
      </c>
      <c r="E4" s="5">
        <v>-6.7</v>
      </c>
      <c r="F4">
        <v>0.16454225</v>
      </c>
      <c r="G4">
        <v>1.0858147499999999</v>
      </c>
      <c r="I4" s="2">
        <f>AVERAGE(C21:C27)</f>
        <v>0.56180555555555556</v>
      </c>
      <c r="J4" s="5">
        <f>AVERAGE(D21:D27)</f>
        <v>-14.683333333333335</v>
      </c>
      <c r="K4" s="5">
        <f>AVERAGE(E21:E27)</f>
        <v>-12.928316666666666</v>
      </c>
      <c r="L4" s="5">
        <f>AVERAGE(F21:F27)</f>
        <v>0.16276017499999998</v>
      </c>
      <c r="M4" s="5">
        <f>AVERAGE(G21:G27)</f>
        <v>2.526481758333333</v>
      </c>
      <c r="O4" s="7">
        <f>STDEV(D21:D27)/SQRT(COUNT(D21:D27))</f>
        <v>0.88072991614068508</v>
      </c>
      <c r="P4" s="7">
        <f>STDEV(E21:E27)/SQRT(COUNT(E21:E27))</f>
        <v>0.82518307965229742</v>
      </c>
      <c r="Q4" s="7">
        <f>STDEV(F21:F27)/SQRT(COUNT(F21:F27))</f>
        <v>3.0312579346793059E-2</v>
      </c>
      <c r="R4" s="7">
        <f>STDEV(G21:G27)/SQRT(COUNT(G21:G27))</f>
        <v>0.16288897448670403</v>
      </c>
    </row>
    <row r="5" spans="1:18">
      <c r="A5">
        <v>2.2000000000000002</v>
      </c>
      <c r="B5">
        <v>1</v>
      </c>
      <c r="C5" s="6">
        <v>0.35458333333333336</v>
      </c>
      <c r="D5" s="5">
        <v>-6.8400000000000007</v>
      </c>
      <c r="E5" s="5">
        <v>-10.0966</v>
      </c>
      <c r="F5">
        <v>0.19616575</v>
      </c>
      <c r="G5">
        <v>1.05805225</v>
      </c>
      <c r="I5" s="2">
        <f>AVERAGE(C31:C37)</f>
        <v>0.74861111111111112</v>
      </c>
      <c r="J5" s="5">
        <f>AVERAGE(D31:D37)</f>
        <v>-17.533333333333335</v>
      </c>
      <c r="K5" s="5">
        <f>AVERAGE(E31:E37)</f>
        <v>-15.701400000000003</v>
      </c>
      <c r="L5" s="5">
        <f>AVERAGE(F31:F37)</f>
        <v>0.10689844387755101</v>
      </c>
      <c r="M5" s="5">
        <f>AVERAGE(G31:G37)</f>
        <v>3.4726911030612242</v>
      </c>
      <c r="O5" s="7">
        <f>STDEV(D31:D37)/SQRT(COUNT(D31:D37))</f>
        <v>0.96942682023367166</v>
      </c>
      <c r="P5" s="7">
        <f>STDEV(E31:E37)/SQRT(COUNT(E31:E37))</f>
        <v>1.0679787424315608</v>
      </c>
      <c r="Q5" s="7">
        <f>STDEV(F31:F37)/SQRT(COUNT(F31:F37))</f>
        <v>1.0121042247249823E-2</v>
      </c>
      <c r="R5" s="7">
        <f>STDEV(G31:G37)/SQRT(COUNT(G31:G37))</f>
        <v>0.11537811153649295</v>
      </c>
    </row>
    <row r="6" spans="1:18">
      <c r="A6">
        <v>1.1000000000000001</v>
      </c>
      <c r="B6">
        <v>1</v>
      </c>
      <c r="C6" s="6">
        <v>0.36124999999999996</v>
      </c>
      <c r="D6" s="5">
        <v>-7.419999999999999</v>
      </c>
      <c r="E6" s="5">
        <v>-5.8433000000000002</v>
      </c>
      <c r="F6">
        <v>0.19505775</v>
      </c>
      <c r="G6">
        <v>1.1077319999999999</v>
      </c>
      <c r="I6" s="2">
        <f>AVERAGE(C41:C47)</f>
        <v>0.82255291005291009</v>
      </c>
      <c r="J6" s="5">
        <f>AVERAGE(D41:D47)</f>
        <v>-15.190476190476188</v>
      </c>
      <c r="K6" s="5">
        <f>AVERAGE(E41:E47)</f>
        <v>-14.494742857142857</v>
      </c>
      <c r="L6" s="5">
        <f>AVERAGE(F41:F47)</f>
        <v>0.11379816428571428</v>
      </c>
      <c r="M6" s="5">
        <f>AVERAGE(G41:G47)</f>
        <v>2.7027550857142861</v>
      </c>
      <c r="O6" s="7">
        <f>STDEV(D41:D47)/SQRT(COUNT(D41:D47))</f>
        <v>1.138799011994807</v>
      </c>
      <c r="P6" s="7">
        <f>STDEV(E41:E47)/SQRT(COUNT(E41:E47))</f>
        <v>1.0739577633924988</v>
      </c>
      <c r="Q6" s="7">
        <f>STDEV(F41:F47)/SQRT(COUNT(F41:F47))</f>
        <v>1.8743516214327339E-2</v>
      </c>
      <c r="R6" s="7">
        <f>STDEV(G41:G47)/SQRT(COUNT(G41:G47))</f>
        <v>0.17257096816789352</v>
      </c>
    </row>
    <row r="7" spans="1:18">
      <c r="A7">
        <v>3.1</v>
      </c>
      <c r="B7">
        <v>1</v>
      </c>
      <c r="C7" s="6">
        <v>0.37277777777777776</v>
      </c>
      <c r="D7" s="5">
        <v>-10.3</v>
      </c>
      <c r="E7" s="5">
        <v>-8.4032999999999998</v>
      </c>
      <c r="F7">
        <v>0.21289150000000001</v>
      </c>
      <c r="G7">
        <v>1.3367942500000001</v>
      </c>
      <c r="J7" s="5"/>
    </row>
    <row r="8" spans="1:18">
      <c r="A8">
        <v>4.0999999999999996</v>
      </c>
      <c r="B8">
        <v>1</v>
      </c>
      <c r="C8" s="6">
        <v>0.38013888888888892</v>
      </c>
      <c r="D8" s="5">
        <v>-7.4</v>
      </c>
      <c r="E8" s="5">
        <v>-5.6265999999999998</v>
      </c>
      <c r="F8">
        <v>0.30889850000000002</v>
      </c>
      <c r="G8">
        <v>1.2999907500000001</v>
      </c>
      <c r="I8" s="2">
        <f>I2</f>
        <v>0.35466269841269843</v>
      </c>
      <c r="J8" s="5">
        <f>J2</f>
        <v>-8.0221428571428568</v>
      </c>
      <c r="K8" s="5">
        <f>K2</f>
        <v>-7.3061428571428575</v>
      </c>
      <c r="L8" s="9">
        <f>L2*1000</f>
        <v>192.61050000000003</v>
      </c>
      <c r="M8" s="5">
        <f>M2</f>
        <v>1.1975438571428572</v>
      </c>
      <c r="O8" s="5">
        <f>O2</f>
        <v>0.44428092938780311</v>
      </c>
      <c r="P8" s="5">
        <f>P2</f>
        <v>0.68386262678473941</v>
      </c>
      <c r="Q8" s="9">
        <f>Q2*1000</f>
        <v>23.376500100833816</v>
      </c>
      <c r="R8" s="5">
        <f>R2</f>
        <v>4.2356968944159357E-2</v>
      </c>
    </row>
    <row r="9" spans="1:18">
      <c r="A9">
        <v>5</v>
      </c>
      <c r="B9">
        <v>1</v>
      </c>
      <c r="C9" s="6">
        <v>0.39430555555555558</v>
      </c>
      <c r="D9" s="5">
        <v>-20.240000000000002</v>
      </c>
      <c r="E9" s="5">
        <v>-13</v>
      </c>
      <c r="F9">
        <v>0.13454919999999998</v>
      </c>
      <c r="G9">
        <v>2.0127161999999998</v>
      </c>
      <c r="I9" s="2">
        <f t="shared" ref="I9:K12" si="0">I3</f>
        <v>0.47744708994708995</v>
      </c>
      <c r="J9" s="5">
        <f t="shared" si="0"/>
        <v>-16.670238095238094</v>
      </c>
      <c r="K9" s="5">
        <f t="shared" si="0"/>
        <v>-11.899500000000002</v>
      </c>
      <c r="L9" s="9">
        <f t="shared" ref="L9:L12" si="1">L3*1000</f>
        <v>202.08653571428576</v>
      </c>
      <c r="M9" s="5">
        <f t="shared" ref="M9:M12" si="2">M3</f>
        <v>2.3856461428571429</v>
      </c>
      <c r="O9" s="5">
        <f t="shared" ref="O9:P12" si="3">O3</f>
        <v>0.75652771507292849</v>
      </c>
      <c r="P9" s="5">
        <f t="shared" si="3"/>
        <v>1.0573574007198967</v>
      </c>
      <c r="Q9" s="9">
        <f t="shared" ref="Q9:Q12" si="4">Q3*1000</f>
        <v>28.976475206110234</v>
      </c>
      <c r="R9" s="5">
        <f t="shared" ref="R9:R12" si="5">R3</f>
        <v>0.10630951912369899</v>
      </c>
    </row>
    <row r="10" spans="1:18">
      <c r="D10" s="5"/>
      <c r="E10" s="5"/>
      <c r="I10" s="2">
        <f t="shared" si="0"/>
        <v>0.56180555555555556</v>
      </c>
      <c r="J10" s="5">
        <f t="shared" si="0"/>
        <v>-14.683333333333335</v>
      </c>
      <c r="K10" s="5">
        <f t="shared" si="0"/>
        <v>-12.928316666666666</v>
      </c>
      <c r="L10" s="9">
        <f t="shared" si="1"/>
        <v>162.76017499999998</v>
      </c>
      <c r="M10" s="5">
        <f t="shared" si="2"/>
        <v>2.526481758333333</v>
      </c>
      <c r="O10" s="5">
        <f t="shared" si="3"/>
        <v>0.88072991614068508</v>
      </c>
      <c r="P10" s="5">
        <f t="shared" si="3"/>
        <v>0.82518307965229742</v>
      </c>
      <c r="Q10" s="9">
        <f t="shared" si="4"/>
        <v>30.312579346793058</v>
      </c>
      <c r="R10" s="5">
        <f t="shared" si="5"/>
        <v>0.16288897448670403</v>
      </c>
    </row>
    <row r="11" spans="1:18">
      <c r="A11">
        <v>2.1</v>
      </c>
      <c r="B11">
        <v>2</v>
      </c>
      <c r="C11" s="3">
        <v>0.45833333333333331</v>
      </c>
      <c r="D11" s="5">
        <v>-18.833333333333332</v>
      </c>
      <c r="E11" s="5">
        <v>-9.23</v>
      </c>
      <c r="F11">
        <v>0.10156024999999999</v>
      </c>
      <c r="G11">
        <v>2.4697695</v>
      </c>
      <c r="I11" s="2">
        <f t="shared" si="0"/>
        <v>0.74861111111111112</v>
      </c>
      <c r="J11" s="5">
        <f t="shared" si="0"/>
        <v>-17.533333333333335</v>
      </c>
      <c r="K11" s="5">
        <f t="shared" si="0"/>
        <v>-15.701400000000003</v>
      </c>
      <c r="L11" s="9">
        <f t="shared" si="1"/>
        <v>106.89844387755102</v>
      </c>
      <c r="M11" s="5">
        <f t="shared" si="2"/>
        <v>3.4726911030612242</v>
      </c>
      <c r="O11" s="5">
        <f t="shared" si="3"/>
        <v>0.96942682023367166</v>
      </c>
      <c r="P11" s="5">
        <f t="shared" si="3"/>
        <v>1.0679787424315608</v>
      </c>
      <c r="Q11" s="9">
        <f t="shared" si="4"/>
        <v>10.121042247249823</v>
      </c>
      <c r="R11" s="5">
        <f t="shared" si="5"/>
        <v>0.11537811153649295</v>
      </c>
    </row>
    <row r="12" spans="1:18">
      <c r="A12">
        <v>1.2</v>
      </c>
      <c r="B12">
        <v>2</v>
      </c>
      <c r="C12" s="3">
        <v>0.46406249999999999</v>
      </c>
      <c r="D12" s="5">
        <v>-18.875</v>
      </c>
      <c r="E12" s="5">
        <v>-16.6433</v>
      </c>
      <c r="F12">
        <v>0.14884649999999999</v>
      </c>
      <c r="G12">
        <v>2.5805162500000001</v>
      </c>
      <c r="I12" s="2">
        <f t="shared" si="0"/>
        <v>0.82255291005291009</v>
      </c>
      <c r="J12" s="5">
        <f t="shared" si="0"/>
        <v>-15.190476190476188</v>
      </c>
      <c r="K12" s="5">
        <f t="shared" si="0"/>
        <v>-14.494742857142857</v>
      </c>
      <c r="L12" s="9">
        <f t="shared" si="1"/>
        <v>113.79816428571428</v>
      </c>
      <c r="M12" s="5">
        <f t="shared" si="2"/>
        <v>2.7027550857142861</v>
      </c>
      <c r="O12" s="5">
        <f t="shared" si="3"/>
        <v>1.138799011994807</v>
      </c>
      <c r="P12" s="5">
        <f t="shared" si="3"/>
        <v>1.0739577633924988</v>
      </c>
      <c r="Q12" s="9">
        <f t="shared" si="4"/>
        <v>18.743516214327339</v>
      </c>
      <c r="R12" s="5">
        <f t="shared" si="5"/>
        <v>0.17257096816789352</v>
      </c>
    </row>
    <row r="13" spans="1:18">
      <c r="A13">
        <v>3.2</v>
      </c>
      <c r="B13">
        <v>2</v>
      </c>
      <c r="C13" s="3">
        <v>0.48379629629629628</v>
      </c>
      <c r="D13" s="5">
        <v>-16.833333333333332</v>
      </c>
      <c r="E13" s="5">
        <v>-11.4366</v>
      </c>
      <c r="F13">
        <v>0.23885500000000004</v>
      </c>
      <c r="G13">
        <v>2.3967722499999997</v>
      </c>
      <c r="J13" s="5"/>
    </row>
    <row r="14" spans="1:18">
      <c r="A14">
        <v>2.2000000000000002</v>
      </c>
      <c r="B14">
        <v>2</v>
      </c>
      <c r="C14" s="3">
        <v>0.47847222222222219</v>
      </c>
      <c r="D14" s="5">
        <v>-16.400000000000002</v>
      </c>
      <c r="E14" s="5">
        <v>-14.48</v>
      </c>
      <c r="F14">
        <v>0.17858374999999999</v>
      </c>
      <c r="G14">
        <v>2.7089937499999999</v>
      </c>
      <c r="J14" s="5"/>
    </row>
    <row r="15" spans="1:18">
      <c r="A15">
        <v>1.1000000000000001</v>
      </c>
      <c r="B15">
        <v>2</v>
      </c>
      <c r="C15" s="3">
        <v>0.47245370370370371</v>
      </c>
      <c r="D15" s="5">
        <v>-15.166666666666666</v>
      </c>
      <c r="E15" s="5">
        <v>-9.2566000000000006</v>
      </c>
      <c r="F15">
        <v>0.25290875000000002</v>
      </c>
      <c r="G15">
        <v>2.2688419999999998</v>
      </c>
      <c r="J15" s="5"/>
    </row>
    <row r="16" spans="1:18">
      <c r="A16">
        <v>3.1</v>
      </c>
      <c r="B16">
        <v>2</v>
      </c>
      <c r="C16" s="3">
        <v>0.49004629629629631</v>
      </c>
      <c r="D16" s="5">
        <v>-17.333333333333332</v>
      </c>
      <c r="E16" s="5">
        <v>-12.19</v>
      </c>
      <c r="F16">
        <v>0.16381024999999999</v>
      </c>
      <c r="G16">
        <v>1.8307504999999999</v>
      </c>
      <c r="J16" s="5"/>
    </row>
    <row r="17" spans="1:11">
      <c r="A17">
        <v>4.0999999999999996</v>
      </c>
      <c r="B17">
        <v>2</v>
      </c>
      <c r="C17" s="3">
        <v>0.49496527777777777</v>
      </c>
      <c r="D17" s="5">
        <v>-13.25</v>
      </c>
      <c r="E17" s="5">
        <v>-10.06</v>
      </c>
      <c r="F17">
        <v>0.33004125000000001</v>
      </c>
      <c r="G17">
        <v>2.4438787499999997</v>
      </c>
      <c r="J17" s="5"/>
    </row>
    <row r="18" spans="1:11">
      <c r="A18">
        <v>5</v>
      </c>
      <c r="B18">
        <v>2</v>
      </c>
      <c r="C18" s="3">
        <v>0.50694444444444442</v>
      </c>
      <c r="D18" s="5">
        <v>-25.166666666666668</v>
      </c>
      <c r="E18" s="5">
        <v>-22</v>
      </c>
      <c r="F18">
        <v>2.9873499999999997E-2</v>
      </c>
      <c r="G18">
        <v>3.5666545000000003</v>
      </c>
      <c r="J18" s="5"/>
    </row>
    <row r="19" spans="1:11">
      <c r="A19">
        <v>6</v>
      </c>
      <c r="B19">
        <v>2</v>
      </c>
      <c r="D19" s="5"/>
      <c r="E19" s="5"/>
      <c r="F19">
        <v>5.7813249999999997E-2</v>
      </c>
      <c r="G19">
        <v>3.8040957500000001</v>
      </c>
      <c r="J19" s="5"/>
    </row>
    <row r="20" spans="1:11">
      <c r="D20" s="5"/>
      <c r="E20" s="5"/>
      <c r="J20" s="5"/>
    </row>
    <row r="21" spans="1:11">
      <c r="A21">
        <v>2.1</v>
      </c>
      <c r="B21">
        <v>3</v>
      </c>
      <c r="C21" s="3">
        <v>0.54421296296296295</v>
      </c>
      <c r="D21" s="5">
        <v>-17</v>
      </c>
      <c r="E21" s="5">
        <v>-10.87</v>
      </c>
      <c r="F21">
        <v>6.485479999999999E-2</v>
      </c>
      <c r="G21">
        <v>2.3178457999999997</v>
      </c>
    </row>
    <row r="22" spans="1:11">
      <c r="A22">
        <v>1.2</v>
      </c>
      <c r="B22">
        <v>3</v>
      </c>
      <c r="C22" s="3">
        <v>0.54745370370370372</v>
      </c>
      <c r="D22" s="5">
        <v>-13.066666666666668</v>
      </c>
      <c r="E22" s="5">
        <v>-15.4133</v>
      </c>
      <c r="F22">
        <v>0.13816875000000001</v>
      </c>
      <c r="G22">
        <v>2.8664792500000003</v>
      </c>
      <c r="J22" s="5"/>
    </row>
    <row r="23" spans="1:11">
      <c r="A23">
        <v>3.2</v>
      </c>
      <c r="B23">
        <v>3</v>
      </c>
      <c r="C23" s="2">
        <v>0.56666666666666665</v>
      </c>
      <c r="D23" s="5">
        <v>-14.666666666666666</v>
      </c>
      <c r="E23" s="5">
        <v>-13.09</v>
      </c>
      <c r="F23">
        <v>0.21642075</v>
      </c>
      <c r="G23">
        <v>2.2995192499999999</v>
      </c>
      <c r="J23" s="5"/>
    </row>
    <row r="24" spans="1:11">
      <c r="A24">
        <v>2.2000000000000002</v>
      </c>
      <c r="B24">
        <v>3</v>
      </c>
      <c r="C24" s="3">
        <v>0.56087962962962956</v>
      </c>
      <c r="D24" s="5">
        <v>-14.533333333333331</v>
      </c>
      <c r="E24" s="5">
        <v>-14.8766</v>
      </c>
      <c r="F24">
        <v>0.12854675000000002</v>
      </c>
      <c r="G24">
        <v>2.2099567499999999</v>
      </c>
      <c r="J24" s="5"/>
    </row>
    <row r="25" spans="1:11">
      <c r="A25">
        <v>1.1000000000000001</v>
      </c>
      <c r="B25">
        <v>3</v>
      </c>
      <c r="D25" s="5"/>
      <c r="E25" s="5"/>
      <c r="J25" s="5"/>
    </row>
    <row r="26" spans="1:11">
      <c r="A26">
        <v>3.1</v>
      </c>
      <c r="B26">
        <v>3</v>
      </c>
      <c r="C26" s="2">
        <v>0.57361111111111118</v>
      </c>
      <c r="D26" s="5">
        <v>-11.666666666666666</v>
      </c>
      <c r="E26" s="5">
        <v>-12.88</v>
      </c>
      <c r="F26">
        <v>0.27759275</v>
      </c>
      <c r="G26">
        <v>3.1798887499999999</v>
      </c>
      <c r="I26" s="2"/>
      <c r="J26" s="5"/>
      <c r="K26" s="5"/>
    </row>
    <row r="27" spans="1:11">
      <c r="A27">
        <v>4.0999999999999996</v>
      </c>
      <c r="B27">
        <v>3</v>
      </c>
      <c r="C27" s="3">
        <v>0.57800925925925928</v>
      </c>
      <c r="D27" s="5">
        <v>-17.166666666666668</v>
      </c>
      <c r="E27" s="5">
        <v>-10.44</v>
      </c>
      <c r="F27">
        <v>0.15097725000000001</v>
      </c>
      <c r="G27">
        <v>2.28520075</v>
      </c>
      <c r="J27" s="5"/>
    </row>
    <row r="28" spans="1:11">
      <c r="A28">
        <v>5</v>
      </c>
      <c r="B28">
        <v>3</v>
      </c>
      <c r="C28" s="3">
        <v>0.5849537037037037</v>
      </c>
      <c r="D28" s="5">
        <v>-21.099999999999998</v>
      </c>
      <c r="E28" s="5">
        <v>-23</v>
      </c>
      <c r="F28">
        <v>5.5274249999999997E-2</v>
      </c>
      <c r="G28">
        <v>4.0139642499999999</v>
      </c>
      <c r="J28" s="5"/>
    </row>
    <row r="29" spans="1:11">
      <c r="A29">
        <v>6</v>
      </c>
      <c r="B29">
        <v>3</v>
      </c>
      <c r="C29" s="3">
        <v>0.58819444444444446</v>
      </c>
      <c r="D29" s="5"/>
      <c r="E29" s="5"/>
      <c r="F29">
        <v>6.7172750000000003E-2</v>
      </c>
      <c r="G29">
        <v>3.5743689999999999</v>
      </c>
      <c r="J29" s="5"/>
    </row>
    <row r="30" spans="1:11">
      <c r="D30" s="5"/>
      <c r="E30" s="5"/>
      <c r="J30" s="5"/>
    </row>
    <row r="31" spans="1:11">
      <c r="A31">
        <v>2.1</v>
      </c>
      <c r="B31">
        <v>4</v>
      </c>
      <c r="C31" s="3">
        <v>0.71967592592592589</v>
      </c>
      <c r="D31" s="5">
        <v>-21.333333333333332</v>
      </c>
      <c r="E31" s="5">
        <v>-12.1066</v>
      </c>
      <c r="F31">
        <v>6.6353250000000003E-2</v>
      </c>
      <c r="G31">
        <v>3.8464279999999995</v>
      </c>
    </row>
    <row r="32" spans="1:11">
      <c r="A32">
        <v>1.2</v>
      </c>
      <c r="B32">
        <v>4</v>
      </c>
      <c r="C32" s="3">
        <v>0.73564814814814816</v>
      </c>
      <c r="D32" s="5">
        <v>-19.466666666666669</v>
      </c>
      <c r="E32" s="5">
        <v>-18.7666</v>
      </c>
      <c r="F32">
        <v>7.3326000000000002E-2</v>
      </c>
      <c r="G32">
        <v>3.1989670000000001</v>
      </c>
      <c r="J32" s="5"/>
    </row>
    <row r="33" spans="1:10">
      <c r="A33">
        <v>3.2</v>
      </c>
      <c r="B33">
        <v>4</v>
      </c>
      <c r="C33" s="2">
        <v>0.74236111111111114</v>
      </c>
      <c r="D33" s="5">
        <v>-17.966666666666669</v>
      </c>
      <c r="E33" s="5">
        <v>-15.1166</v>
      </c>
      <c r="F33">
        <v>0.12681474999999998</v>
      </c>
      <c r="G33">
        <v>3.6843339999999998</v>
      </c>
      <c r="J33" s="5"/>
    </row>
    <row r="34" spans="1:10">
      <c r="A34">
        <v>4.2</v>
      </c>
      <c r="B34">
        <v>4</v>
      </c>
      <c r="C34" s="2">
        <v>0.7729166666666667</v>
      </c>
      <c r="D34" s="5">
        <v>-16.833333333333332</v>
      </c>
      <c r="E34" s="5">
        <v>-18.28</v>
      </c>
      <c r="F34">
        <v>0.11064180000000001</v>
      </c>
      <c r="G34">
        <v>2.9545012000000002</v>
      </c>
      <c r="J34" s="5"/>
    </row>
    <row r="35" spans="1:10">
      <c r="A35">
        <v>2.2000000000000002</v>
      </c>
      <c r="B35">
        <v>4</v>
      </c>
      <c r="C35" s="3">
        <v>0.75138888888888899</v>
      </c>
      <c r="D35" s="5">
        <v>-15.933333333333332</v>
      </c>
      <c r="E35" s="5">
        <v>-18.21</v>
      </c>
      <c r="F35">
        <v>0.11077820000000001</v>
      </c>
      <c r="G35">
        <v>3.5266032000000003</v>
      </c>
      <c r="J35" s="5"/>
    </row>
    <row r="36" spans="1:10">
      <c r="A36">
        <v>1.1000000000000001</v>
      </c>
      <c r="B36">
        <v>4</v>
      </c>
      <c r="C36" s="3">
        <v>0.75578703703703709</v>
      </c>
      <c r="D36" s="5">
        <v>-13.299999999999999</v>
      </c>
      <c r="E36" s="5">
        <v>-12.23</v>
      </c>
      <c r="F36">
        <v>0.13341085714285714</v>
      </c>
      <c r="G36">
        <v>3.4577945714285714</v>
      </c>
      <c r="J36" s="5"/>
    </row>
    <row r="37" spans="1:10">
      <c r="A37">
        <v>3.1</v>
      </c>
      <c r="B37">
        <v>4</v>
      </c>
      <c r="C37" s="3">
        <v>0.76250000000000007</v>
      </c>
      <c r="D37" s="5">
        <v>-17.900000000000002</v>
      </c>
      <c r="E37" s="5">
        <v>-15.2</v>
      </c>
      <c r="F37">
        <v>0.12696425</v>
      </c>
      <c r="G37">
        <v>3.6402097499999999</v>
      </c>
      <c r="J37" s="5"/>
    </row>
    <row r="38" spans="1:10">
      <c r="A38">
        <v>4.0999999999999996</v>
      </c>
      <c r="B38">
        <v>4</v>
      </c>
      <c r="C38" s="3">
        <v>0.76597222222222217</v>
      </c>
      <c r="D38" s="5">
        <v>-15.75</v>
      </c>
      <c r="E38" s="5">
        <v>-13.093299999999999</v>
      </c>
      <c r="F38">
        <v>0.26457575</v>
      </c>
      <c r="G38">
        <v>2.6893630000000002</v>
      </c>
      <c r="J38" s="5"/>
    </row>
    <row r="39" spans="1:10">
      <c r="A39">
        <v>5</v>
      </c>
      <c r="B39">
        <v>4</v>
      </c>
      <c r="C39" s="3">
        <v>0.77824074074074068</v>
      </c>
      <c r="D39" s="5">
        <v>-17.366666666666664</v>
      </c>
      <c r="E39" s="5">
        <v>-17</v>
      </c>
      <c r="F39">
        <v>9.6155000000000004E-2</v>
      </c>
      <c r="G39">
        <v>2.99525825</v>
      </c>
      <c r="J39" s="5"/>
    </row>
    <row r="40" spans="1:10">
      <c r="D40" s="5"/>
      <c r="E40" s="5"/>
      <c r="J40" s="5"/>
    </row>
    <row r="41" spans="1:10">
      <c r="A41">
        <v>2.1</v>
      </c>
      <c r="B41">
        <v>5</v>
      </c>
      <c r="C41" s="3">
        <v>0.80787037037037035</v>
      </c>
      <c r="D41" s="5">
        <v>-19.833333333333332</v>
      </c>
      <c r="E41" s="5">
        <v>-11.33</v>
      </c>
      <c r="F41">
        <v>8.0819000000000002E-2</v>
      </c>
      <c r="G41">
        <v>3.2417777499999998</v>
      </c>
    </row>
    <row r="42" spans="1:10">
      <c r="A42">
        <v>1.2</v>
      </c>
      <c r="B42">
        <v>5</v>
      </c>
      <c r="C42" s="3">
        <v>0.81226851851851845</v>
      </c>
      <c r="D42" s="5">
        <v>-18.166666666666668</v>
      </c>
      <c r="E42" s="5">
        <v>-17.59</v>
      </c>
      <c r="F42">
        <v>0.10909949999999999</v>
      </c>
      <c r="G42">
        <v>3.2895267499999998</v>
      </c>
      <c r="J42" s="5"/>
    </row>
    <row r="43" spans="1:10">
      <c r="A43">
        <v>3.2</v>
      </c>
      <c r="B43">
        <v>5</v>
      </c>
      <c r="C43" s="3">
        <v>0.81782407407407398</v>
      </c>
      <c r="D43" s="5">
        <v>-15.166666666666666</v>
      </c>
      <c r="E43" s="5">
        <v>-14.416600000000001</v>
      </c>
      <c r="F43">
        <v>0.1667766</v>
      </c>
      <c r="G43">
        <v>2.8647148000000002</v>
      </c>
      <c r="J43" s="5"/>
    </row>
    <row r="44" spans="1:10">
      <c r="A44">
        <v>4.2</v>
      </c>
      <c r="B44">
        <v>5</v>
      </c>
      <c r="C44" s="2">
        <v>0.8222222222222223</v>
      </c>
      <c r="D44" s="5">
        <v>-15.5</v>
      </c>
      <c r="E44" s="5">
        <v>-16.186599999999999</v>
      </c>
      <c r="F44">
        <v>0.12458879999999999</v>
      </c>
      <c r="G44">
        <v>2.7279022000000004</v>
      </c>
      <c r="J44" s="5"/>
    </row>
    <row r="45" spans="1:10">
      <c r="A45">
        <v>2.2000000000000002</v>
      </c>
      <c r="B45">
        <v>5</v>
      </c>
      <c r="C45" s="2">
        <v>0.82777777777777783</v>
      </c>
      <c r="D45" s="5">
        <v>-12.5</v>
      </c>
      <c r="E45" s="5">
        <v>-17.739999999999998</v>
      </c>
      <c r="F45">
        <v>4.8383249999999996E-2</v>
      </c>
      <c r="G45">
        <v>2.1710225000000003</v>
      </c>
      <c r="J45" s="5"/>
    </row>
    <row r="46" spans="1:10">
      <c r="A46">
        <v>1.1000000000000001</v>
      </c>
      <c r="B46">
        <v>5</v>
      </c>
      <c r="C46" s="2">
        <v>0.83263888888888893</v>
      </c>
      <c r="D46" s="5">
        <v>-11.333333333333334</v>
      </c>
      <c r="E46" s="5">
        <v>-10.69</v>
      </c>
      <c r="F46">
        <v>0.18670599999999998</v>
      </c>
      <c r="G46">
        <v>2.3369658000000002</v>
      </c>
      <c r="J46" s="5"/>
    </row>
    <row r="47" spans="1:10">
      <c r="A47">
        <v>3.1</v>
      </c>
      <c r="B47">
        <v>5</v>
      </c>
      <c r="C47" s="3">
        <v>0.83726851851851858</v>
      </c>
      <c r="D47" s="5">
        <v>-13.833333333333334</v>
      </c>
      <c r="E47" s="5">
        <v>-13.51</v>
      </c>
      <c r="F47">
        <v>8.0214000000000008E-2</v>
      </c>
      <c r="G47">
        <v>2.2873758</v>
      </c>
      <c r="J47" s="5"/>
    </row>
    <row r="48" spans="1:10">
      <c r="A48">
        <v>4.0999999999999996</v>
      </c>
      <c r="B48">
        <v>5</v>
      </c>
      <c r="C48" s="3">
        <v>0.84212962962962967</v>
      </c>
      <c r="D48" s="5">
        <v>-11.166666666666666</v>
      </c>
      <c r="E48" s="5">
        <v>-10.3033</v>
      </c>
      <c r="F48">
        <v>0.111372</v>
      </c>
      <c r="G48">
        <v>2.2583549999999999</v>
      </c>
      <c r="J48" s="5"/>
    </row>
    <row r="49" spans="1:2">
      <c r="A49">
        <v>5</v>
      </c>
      <c r="B49">
        <v>5</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I290"/>
  <sheetViews>
    <sheetView zoomScaleNormal="100" workbookViewId="0">
      <selection activeCell="G251" sqref="G251"/>
    </sheetView>
  </sheetViews>
  <sheetFormatPr defaultColWidth="11.42578125" defaultRowHeight="15"/>
  <cols>
    <col min="3" max="3" width="15.28515625" customWidth="1"/>
    <col min="11" max="11" width="10.42578125" customWidth="1"/>
    <col min="12" max="12" width="8.28515625" customWidth="1"/>
    <col min="13" max="13" width="9.28515625" customWidth="1"/>
    <col min="14" max="14" width="9.5703125" customWidth="1"/>
    <col min="15" max="15" width="10.28515625" customWidth="1"/>
    <col min="16" max="16" width="10.85546875" customWidth="1"/>
  </cols>
  <sheetData>
    <row r="1" spans="1:113">
      <c r="A1" t="s">
        <v>70</v>
      </c>
      <c r="B1" t="s">
        <v>70</v>
      </c>
      <c r="C1" t="s">
        <v>70</v>
      </c>
      <c r="D1" t="s">
        <v>70</v>
      </c>
      <c r="E1" t="s">
        <v>70</v>
      </c>
      <c r="F1" t="s">
        <v>71</v>
      </c>
      <c r="G1" t="s">
        <v>71</v>
      </c>
      <c r="H1" t="s">
        <v>71</v>
      </c>
      <c r="I1" t="s">
        <v>71</v>
      </c>
      <c r="J1" s="4" t="s">
        <v>74</v>
      </c>
      <c r="K1" t="s">
        <v>74</v>
      </c>
      <c r="L1" t="s">
        <v>74</v>
      </c>
      <c r="M1" t="s">
        <v>74</v>
      </c>
      <c r="N1" t="s">
        <v>74</v>
      </c>
      <c r="O1" t="s">
        <v>74</v>
      </c>
      <c r="P1" t="s">
        <v>74</v>
      </c>
      <c r="Q1" s="4" t="s">
        <v>74</v>
      </c>
      <c r="R1" t="s">
        <v>74</v>
      </c>
      <c r="S1" t="s">
        <v>74</v>
      </c>
      <c r="T1" t="s">
        <v>74</v>
      </c>
      <c r="U1" t="s">
        <v>74</v>
      </c>
      <c r="V1" t="s">
        <v>75</v>
      </c>
      <c r="W1" t="s">
        <v>75</v>
      </c>
      <c r="X1" t="s">
        <v>75</v>
      </c>
      <c r="Y1" t="s">
        <v>75</v>
      </c>
      <c r="Z1" t="s">
        <v>75</v>
      </c>
      <c r="AA1" t="s">
        <v>75</v>
      </c>
      <c r="AB1" t="s">
        <v>75</v>
      </c>
      <c r="AC1" t="s">
        <v>75</v>
      </c>
      <c r="AD1" t="s">
        <v>75</v>
      </c>
      <c r="AE1" t="s">
        <v>75</v>
      </c>
      <c r="AF1" t="s">
        <v>76</v>
      </c>
      <c r="AG1" t="s">
        <v>76</v>
      </c>
      <c r="AH1" t="s">
        <v>76</v>
      </c>
      <c r="AI1" t="s">
        <v>76</v>
      </c>
      <c r="AJ1" t="s">
        <v>76</v>
      </c>
      <c r="AK1" t="s">
        <v>76</v>
      </c>
      <c r="AL1" t="s">
        <v>76</v>
      </c>
      <c r="AM1" t="s">
        <v>76</v>
      </c>
      <c r="AN1" t="s">
        <v>76</v>
      </c>
      <c r="AO1" t="s">
        <v>76</v>
      </c>
      <c r="AP1" t="s">
        <v>491</v>
      </c>
      <c r="AQ1" t="s">
        <v>491</v>
      </c>
      <c r="AR1" t="s">
        <v>491</v>
      </c>
      <c r="AS1" t="s">
        <v>491</v>
      </c>
      <c r="AT1" t="s">
        <v>491</v>
      </c>
      <c r="AU1" t="s">
        <v>491</v>
      </c>
      <c r="AV1" t="s">
        <v>491</v>
      </c>
      <c r="AW1" t="s">
        <v>491</v>
      </c>
      <c r="AX1" t="s">
        <v>491</v>
      </c>
      <c r="AY1" t="s">
        <v>491</v>
      </c>
      <c r="AZ1" t="s">
        <v>492</v>
      </c>
      <c r="BA1" t="s">
        <v>492</v>
      </c>
      <c r="BB1" t="s">
        <v>492</v>
      </c>
      <c r="BC1" t="s">
        <v>492</v>
      </c>
      <c r="BD1" t="s">
        <v>492</v>
      </c>
      <c r="BE1" t="s">
        <v>492</v>
      </c>
      <c r="BF1" t="s">
        <v>492</v>
      </c>
      <c r="BG1" t="s">
        <v>77</v>
      </c>
      <c r="BH1" t="s">
        <v>77</v>
      </c>
      <c r="BI1" t="s">
        <v>77</v>
      </c>
      <c r="BJ1" t="s">
        <v>78</v>
      </c>
      <c r="BK1" t="s">
        <v>78</v>
      </c>
      <c r="BL1" t="s">
        <v>78</v>
      </c>
      <c r="BM1" t="s">
        <v>78</v>
      </c>
      <c r="BN1" t="s">
        <v>78</v>
      </c>
      <c r="BO1" t="s">
        <v>78</v>
      </c>
      <c r="BP1" t="s">
        <v>79</v>
      </c>
      <c r="BQ1" t="s">
        <v>79</v>
      </c>
      <c r="BR1" t="s">
        <v>79</v>
      </c>
      <c r="BS1" t="s">
        <v>79</v>
      </c>
      <c r="BT1" t="s">
        <v>80</v>
      </c>
      <c r="BU1" t="s">
        <v>80</v>
      </c>
      <c r="BV1" t="s">
        <v>80</v>
      </c>
      <c r="BW1" t="s">
        <v>80</v>
      </c>
      <c r="BX1" t="s">
        <v>80</v>
      </c>
      <c r="BY1" t="s">
        <v>80</v>
      </c>
      <c r="BZ1" t="s">
        <v>80</v>
      </c>
      <c r="CA1" t="s">
        <v>80</v>
      </c>
      <c r="CB1" t="s">
        <v>80</v>
      </c>
      <c r="CC1" t="s">
        <v>80</v>
      </c>
      <c r="CD1" t="s">
        <v>80</v>
      </c>
      <c r="CE1" t="s">
        <v>80</v>
      </c>
      <c r="CF1" t="s">
        <v>80</v>
      </c>
      <c r="CG1" t="s">
        <v>80</v>
      </c>
      <c r="CH1" t="s">
        <v>80</v>
      </c>
      <c r="CI1" t="s">
        <v>81</v>
      </c>
      <c r="CJ1" t="s">
        <v>81</v>
      </c>
      <c r="CK1" t="s">
        <v>81</v>
      </c>
      <c r="CL1" t="s">
        <v>81</v>
      </c>
      <c r="CM1" t="s">
        <v>81</v>
      </c>
      <c r="CN1" t="s">
        <v>81</v>
      </c>
      <c r="CO1" t="s">
        <v>81</v>
      </c>
      <c r="CP1" t="s">
        <v>81</v>
      </c>
      <c r="CQ1" t="s">
        <v>81</v>
      </c>
      <c r="CR1" t="s">
        <v>81</v>
      </c>
      <c r="CS1" t="s">
        <v>82</v>
      </c>
      <c r="CT1" t="s">
        <v>82</v>
      </c>
      <c r="CU1" t="s">
        <v>82</v>
      </c>
      <c r="CV1" t="s">
        <v>82</v>
      </c>
      <c r="CW1" t="s">
        <v>82</v>
      </c>
      <c r="CX1" t="s">
        <v>82</v>
      </c>
      <c r="CY1" t="s">
        <v>82</v>
      </c>
      <c r="CZ1" t="s">
        <v>82</v>
      </c>
      <c r="DA1" t="s">
        <v>82</v>
      </c>
      <c r="DB1" t="s">
        <v>82</v>
      </c>
      <c r="DC1" t="s">
        <v>83</v>
      </c>
      <c r="DD1" t="s">
        <v>83</v>
      </c>
      <c r="DE1" t="s">
        <v>83</v>
      </c>
      <c r="DF1" t="s">
        <v>83</v>
      </c>
      <c r="DG1" t="s">
        <v>83</v>
      </c>
      <c r="DH1" t="s">
        <v>83</v>
      </c>
      <c r="DI1" t="s">
        <v>83</v>
      </c>
    </row>
    <row r="2" spans="1:113">
      <c r="A2" t="s">
        <v>84</v>
      </c>
      <c r="B2" t="s">
        <v>85</v>
      </c>
      <c r="C2" t="s">
        <v>86</v>
      </c>
      <c r="D2" t="s">
        <v>87</v>
      </c>
      <c r="E2" t="s">
        <v>88</v>
      </c>
      <c r="F2" t="s">
        <v>89</v>
      </c>
      <c r="G2" t="s">
        <v>90</v>
      </c>
      <c r="J2" s="4" t="s">
        <v>91</v>
      </c>
      <c r="K2" t="s">
        <v>92</v>
      </c>
      <c r="L2" t="s">
        <v>93</v>
      </c>
      <c r="M2" t="s">
        <v>94</v>
      </c>
      <c r="N2" t="s">
        <v>95</v>
      </c>
      <c r="O2" t="s">
        <v>96</v>
      </c>
      <c r="P2" t="s">
        <v>97</v>
      </c>
      <c r="Q2" s="4" t="s">
        <v>98</v>
      </c>
      <c r="R2" t="s">
        <v>99</v>
      </c>
      <c r="S2" t="s">
        <v>100</v>
      </c>
      <c r="T2" t="s">
        <v>101</v>
      </c>
      <c r="U2" t="s">
        <v>102</v>
      </c>
      <c r="V2" t="s">
        <v>103</v>
      </c>
      <c r="W2" t="s">
        <v>104</v>
      </c>
      <c r="X2" t="s">
        <v>105</v>
      </c>
      <c r="Y2" t="s">
        <v>106</v>
      </c>
      <c r="Z2" t="s">
        <v>107</v>
      </c>
      <c r="AA2" t="s">
        <v>108</v>
      </c>
      <c r="AB2" t="s">
        <v>109</v>
      </c>
      <c r="AC2" t="s">
        <v>110</v>
      </c>
      <c r="AD2" t="s">
        <v>111</v>
      </c>
      <c r="AE2" t="s">
        <v>112</v>
      </c>
      <c r="AF2" t="s">
        <v>113</v>
      </c>
      <c r="AG2" t="s">
        <v>114</v>
      </c>
      <c r="AH2" t="s">
        <v>115</v>
      </c>
      <c r="AI2" t="s">
        <v>116</v>
      </c>
      <c r="AJ2" t="s">
        <v>117</v>
      </c>
      <c r="AK2" t="s">
        <v>118</v>
      </c>
      <c r="AL2" t="s">
        <v>119</v>
      </c>
      <c r="AM2" t="s">
        <v>120</v>
      </c>
      <c r="AN2" t="s">
        <v>121</v>
      </c>
      <c r="AO2" t="s">
        <v>122</v>
      </c>
      <c r="AP2" t="s">
        <v>493</v>
      </c>
      <c r="AQ2" t="s">
        <v>494</v>
      </c>
      <c r="AR2" t="s">
        <v>495</v>
      </c>
      <c r="AS2" t="s">
        <v>496</v>
      </c>
      <c r="AT2" t="s">
        <v>497</v>
      </c>
      <c r="AU2" t="s">
        <v>498</v>
      </c>
      <c r="AV2" t="s">
        <v>499</v>
      </c>
      <c r="AW2" t="s">
        <v>500</v>
      </c>
      <c r="AX2" t="s">
        <v>501</v>
      </c>
      <c r="AY2" t="s">
        <v>502</v>
      </c>
      <c r="AZ2" t="s">
        <v>503</v>
      </c>
      <c r="BA2" t="s">
        <v>504</v>
      </c>
      <c r="BB2" t="s">
        <v>505</v>
      </c>
      <c r="BC2" t="s">
        <v>506</v>
      </c>
      <c r="BD2" t="s">
        <v>507</v>
      </c>
      <c r="BE2" t="s">
        <v>508</v>
      </c>
      <c r="BF2" t="s">
        <v>509</v>
      </c>
      <c r="BG2" t="s">
        <v>123</v>
      </c>
      <c r="BH2" t="s">
        <v>124</v>
      </c>
      <c r="BI2" t="s">
        <v>125</v>
      </c>
      <c r="BJ2" t="s">
        <v>126</v>
      </c>
      <c r="BK2" t="s">
        <v>127</v>
      </c>
      <c r="BL2" t="s">
        <v>128</v>
      </c>
      <c r="BM2" t="s">
        <v>129</v>
      </c>
      <c r="BN2" t="s">
        <v>130</v>
      </c>
      <c r="BO2" t="s">
        <v>131</v>
      </c>
      <c r="BP2" t="s">
        <v>132</v>
      </c>
      <c r="BQ2" t="s">
        <v>133</v>
      </c>
      <c r="BR2" t="s">
        <v>134</v>
      </c>
      <c r="BS2" t="s">
        <v>135</v>
      </c>
      <c r="BT2" t="s">
        <v>136</v>
      </c>
      <c r="BU2" t="s">
        <v>137</v>
      </c>
      <c r="BV2" t="s">
        <v>138</v>
      </c>
      <c r="BW2" t="s">
        <v>139</v>
      </c>
      <c r="BX2" t="s">
        <v>140</v>
      </c>
      <c r="BY2" t="s">
        <v>141</v>
      </c>
      <c r="BZ2" t="s">
        <v>142</v>
      </c>
      <c r="CA2" t="s">
        <v>143</v>
      </c>
      <c r="CB2" t="s">
        <v>144</v>
      </c>
      <c r="CC2" t="s">
        <v>145</v>
      </c>
      <c r="CD2" t="s">
        <v>146</v>
      </c>
      <c r="CE2" t="s">
        <v>147</v>
      </c>
      <c r="CF2" t="s">
        <v>148</v>
      </c>
      <c r="CG2" t="s">
        <v>149</v>
      </c>
      <c r="CH2" t="s">
        <v>150</v>
      </c>
      <c r="CI2" t="s">
        <v>151</v>
      </c>
      <c r="CJ2" t="s">
        <v>152</v>
      </c>
      <c r="CK2" t="s">
        <v>153</v>
      </c>
      <c r="CL2" t="s">
        <v>154</v>
      </c>
      <c r="CM2" t="s">
        <v>155</v>
      </c>
      <c r="CN2" t="s">
        <v>156</v>
      </c>
      <c r="CO2" t="s">
        <v>157</v>
      </c>
      <c r="CP2" t="s">
        <v>158</v>
      </c>
      <c r="CQ2" t="s">
        <v>159</v>
      </c>
      <c r="CR2" t="s">
        <v>160</v>
      </c>
      <c r="CS2" t="s">
        <v>161</v>
      </c>
      <c r="CT2" t="s">
        <v>162</v>
      </c>
      <c r="CU2" t="s">
        <v>163</v>
      </c>
      <c r="CV2" t="s">
        <v>164</v>
      </c>
      <c r="CW2" t="s">
        <v>165</v>
      </c>
      <c r="CX2" t="s">
        <v>166</v>
      </c>
      <c r="CY2" t="s">
        <v>167</v>
      </c>
      <c r="CZ2" t="s">
        <v>168</v>
      </c>
      <c r="DA2" t="s">
        <v>169</v>
      </c>
      <c r="DB2" t="s">
        <v>170</v>
      </c>
      <c r="DC2" t="s">
        <v>171</v>
      </c>
      <c r="DD2" t="s">
        <v>172</v>
      </c>
      <c r="DE2" t="s">
        <v>173</v>
      </c>
      <c r="DF2" t="s">
        <v>174</v>
      </c>
      <c r="DG2" t="s">
        <v>175</v>
      </c>
      <c r="DH2" t="s">
        <v>176</v>
      </c>
      <c r="DI2" t="s">
        <v>177</v>
      </c>
    </row>
    <row r="3" spans="1:113">
      <c r="B3" t="s">
        <v>178</v>
      </c>
      <c r="C3" t="s">
        <v>179</v>
      </c>
      <c r="J3" t="s">
        <v>180</v>
      </c>
      <c r="K3" t="s">
        <v>180</v>
      </c>
      <c r="L3" t="s">
        <v>180</v>
      </c>
      <c r="M3" t="s">
        <v>181</v>
      </c>
      <c r="N3" t="s">
        <v>182</v>
      </c>
      <c r="O3" t="s">
        <v>182</v>
      </c>
      <c r="P3" t="s">
        <v>182</v>
      </c>
      <c r="Q3" t="s">
        <v>182</v>
      </c>
      <c r="R3" t="s">
        <v>183</v>
      </c>
      <c r="S3" t="s">
        <v>183</v>
      </c>
      <c r="T3" t="s">
        <v>183</v>
      </c>
      <c r="U3" t="s">
        <v>184</v>
      </c>
      <c r="AE3" t="s">
        <v>185</v>
      </c>
      <c r="AF3" t="s">
        <v>186</v>
      </c>
      <c r="AG3" t="s">
        <v>186</v>
      </c>
      <c r="AH3" t="s">
        <v>187</v>
      </c>
      <c r="AI3" t="s">
        <v>187</v>
      </c>
      <c r="AJ3" t="s">
        <v>182</v>
      </c>
      <c r="AK3" t="s">
        <v>188</v>
      </c>
      <c r="AL3" t="s">
        <v>188</v>
      </c>
      <c r="AM3" t="s">
        <v>186</v>
      </c>
      <c r="AN3" t="s">
        <v>185</v>
      </c>
      <c r="AO3" t="s">
        <v>189</v>
      </c>
      <c r="AP3" t="s">
        <v>510</v>
      </c>
      <c r="AQ3" t="s">
        <v>510</v>
      </c>
      <c r="AR3" t="s">
        <v>510</v>
      </c>
      <c r="AS3" t="s">
        <v>510</v>
      </c>
      <c r="AT3" t="s">
        <v>186</v>
      </c>
      <c r="AU3" t="s">
        <v>510</v>
      </c>
      <c r="AV3" t="s">
        <v>510</v>
      </c>
      <c r="AW3" t="s">
        <v>510</v>
      </c>
      <c r="AX3" t="s">
        <v>510</v>
      </c>
      <c r="AY3" t="s">
        <v>510</v>
      </c>
      <c r="AZ3" t="s">
        <v>178</v>
      </c>
      <c r="BA3" t="s">
        <v>179</v>
      </c>
      <c r="BB3" t="s">
        <v>510</v>
      </c>
      <c r="BC3" t="s">
        <v>510</v>
      </c>
      <c r="BD3" t="s">
        <v>511</v>
      </c>
      <c r="BG3" t="s">
        <v>178</v>
      </c>
      <c r="BH3" t="s">
        <v>179</v>
      </c>
      <c r="BI3" t="s">
        <v>186</v>
      </c>
      <c r="BQ3" t="s">
        <v>188</v>
      </c>
      <c r="BR3" t="s">
        <v>190</v>
      </c>
      <c r="BS3" t="s">
        <v>191</v>
      </c>
      <c r="BV3" t="s">
        <v>185</v>
      </c>
      <c r="BW3" t="s">
        <v>192</v>
      </c>
      <c r="BX3" t="s">
        <v>193</v>
      </c>
      <c r="BY3" t="s">
        <v>191</v>
      </c>
      <c r="BZ3" t="s">
        <v>194</v>
      </c>
      <c r="CA3" t="s">
        <v>194</v>
      </c>
      <c r="CB3" t="s">
        <v>194</v>
      </c>
      <c r="CD3" t="s">
        <v>186</v>
      </c>
      <c r="CI3" t="s">
        <v>189</v>
      </c>
      <c r="CJ3" t="s">
        <v>189</v>
      </c>
      <c r="CK3" t="s">
        <v>189</v>
      </c>
      <c r="CL3" t="s">
        <v>189</v>
      </c>
      <c r="CM3" t="s">
        <v>189</v>
      </c>
      <c r="CN3" t="s">
        <v>189</v>
      </c>
      <c r="CO3" t="s">
        <v>189</v>
      </c>
      <c r="CP3" t="s">
        <v>189</v>
      </c>
      <c r="CQ3" t="s">
        <v>189</v>
      </c>
      <c r="CR3" t="s">
        <v>195</v>
      </c>
    </row>
    <row r="4" spans="1:113">
      <c r="A4">
        <v>1</v>
      </c>
      <c r="B4" s="3">
        <v>3.605324074074074E-2</v>
      </c>
      <c r="C4" s="1">
        <v>45149</v>
      </c>
      <c r="D4" t="s">
        <v>196</v>
      </c>
      <c r="E4" t="s">
        <v>197</v>
      </c>
      <c r="G4">
        <v>1</v>
      </c>
      <c r="J4">
        <v>1.4534999999999999E-2</v>
      </c>
      <c r="K4">
        <v>2.9192800000000001</v>
      </c>
      <c r="L4">
        <v>1.4463E-2</v>
      </c>
      <c r="M4">
        <v>0.21373800000000001</v>
      </c>
      <c r="N4">
        <v>1.987117</v>
      </c>
      <c r="O4">
        <v>1.9814689999999999</v>
      </c>
      <c r="P4">
        <v>3.359531</v>
      </c>
      <c r="Q4">
        <v>1.372414</v>
      </c>
      <c r="R4">
        <v>20.739678999999999</v>
      </c>
      <c r="S4">
        <v>20.7988</v>
      </c>
      <c r="T4">
        <v>35.163609000000001</v>
      </c>
      <c r="U4">
        <v>0.44178600000000001</v>
      </c>
      <c r="V4" t="s">
        <v>512</v>
      </c>
      <c r="W4">
        <v>0</v>
      </c>
      <c r="X4">
        <v>0</v>
      </c>
      <c r="Y4">
        <v>0</v>
      </c>
      <c r="Z4">
        <v>117.147446</v>
      </c>
      <c r="AA4">
        <v>432.37066700000003</v>
      </c>
      <c r="AB4">
        <v>0.72905799999999998</v>
      </c>
      <c r="AC4">
        <v>0.5</v>
      </c>
      <c r="AD4">
        <v>0.8</v>
      </c>
      <c r="AE4">
        <v>13.321234</v>
      </c>
      <c r="AF4">
        <v>50.34</v>
      </c>
      <c r="AG4">
        <v>50.2</v>
      </c>
      <c r="AH4">
        <v>28.68</v>
      </c>
      <c r="AI4">
        <v>25.93</v>
      </c>
      <c r="AJ4">
        <v>95.54</v>
      </c>
      <c r="AK4">
        <v>156.4</v>
      </c>
      <c r="AL4">
        <v>156.19999999999999</v>
      </c>
      <c r="AM4">
        <v>0.1</v>
      </c>
      <c r="AN4">
        <v>46</v>
      </c>
      <c r="AO4">
        <v>4.1109999999999998</v>
      </c>
      <c r="AP4">
        <v>14</v>
      </c>
      <c r="AQ4">
        <v>-1</v>
      </c>
      <c r="AR4">
        <v>83</v>
      </c>
      <c r="AZ4" s="3">
        <v>0</v>
      </c>
      <c r="BA4" t="s">
        <v>513</v>
      </c>
      <c r="BB4" t="s">
        <v>514</v>
      </c>
      <c r="BC4" t="s">
        <v>514</v>
      </c>
      <c r="BD4" t="s">
        <v>514</v>
      </c>
      <c r="BE4">
        <v>0</v>
      </c>
      <c r="BF4" t="s">
        <v>514</v>
      </c>
      <c r="BG4" s="3">
        <v>3.5821759259259262E-2</v>
      </c>
      <c r="BH4" s="1">
        <v>45149</v>
      </c>
      <c r="BI4">
        <v>-0.13</v>
      </c>
      <c r="BJ4">
        <v>0</v>
      </c>
      <c r="BK4">
        <v>-3.0000000000000001E-3</v>
      </c>
      <c r="BL4">
        <v>-2.3E-2</v>
      </c>
      <c r="BM4">
        <v>0.16900000000000001</v>
      </c>
      <c r="BN4">
        <v>0.35299999999999998</v>
      </c>
      <c r="BO4">
        <v>0.92600000000000005</v>
      </c>
      <c r="BP4">
        <v>1</v>
      </c>
      <c r="BQ4">
        <v>150</v>
      </c>
      <c r="BR4">
        <v>5.0000000000000001E-3</v>
      </c>
      <c r="BS4">
        <v>2</v>
      </c>
      <c r="BT4">
        <v>0</v>
      </c>
      <c r="BU4" t="s">
        <v>200</v>
      </c>
      <c r="BV4">
        <v>7000</v>
      </c>
      <c r="BW4">
        <v>500</v>
      </c>
      <c r="BX4">
        <v>5</v>
      </c>
      <c r="BY4">
        <v>2</v>
      </c>
      <c r="BZ4">
        <v>300</v>
      </c>
      <c r="CA4">
        <v>300</v>
      </c>
      <c r="CB4">
        <v>300</v>
      </c>
      <c r="CC4">
        <v>432.37066700000003</v>
      </c>
      <c r="CD4">
        <v>25</v>
      </c>
      <c r="CE4">
        <v>11.906381</v>
      </c>
      <c r="CF4">
        <v>440.66156000000001</v>
      </c>
      <c r="CG4">
        <v>449.35562099999999</v>
      </c>
      <c r="CH4">
        <v>-8.6940609999999996</v>
      </c>
      <c r="CI4">
        <v>2.5174319999999999</v>
      </c>
      <c r="CJ4">
        <v>2.5260340000000001</v>
      </c>
      <c r="CK4">
        <v>1.663835</v>
      </c>
      <c r="CL4">
        <v>0.94301000000000001</v>
      </c>
      <c r="CM4">
        <v>0.23566000000000001</v>
      </c>
      <c r="CN4">
        <v>-3.1483999999999998E-2</v>
      </c>
      <c r="CO4">
        <v>5.0231999999999999E-2</v>
      </c>
      <c r="CP4">
        <v>0.147148</v>
      </c>
      <c r="CQ4">
        <v>117.147446</v>
      </c>
      <c r="CR4">
        <v>3.6099999999999999E-4</v>
      </c>
      <c r="CS4">
        <v>2.4333689999999999</v>
      </c>
      <c r="CT4">
        <v>-3.6000000000000001E-5</v>
      </c>
      <c r="CU4">
        <v>1</v>
      </c>
      <c r="CV4">
        <v>2.4396819999999999</v>
      </c>
      <c r="CW4">
        <v>1.1E-5</v>
      </c>
      <c r="CX4">
        <v>1</v>
      </c>
      <c r="CY4">
        <v>0.60025499999999998</v>
      </c>
      <c r="CZ4">
        <v>0.60245199999999999</v>
      </c>
      <c r="DA4">
        <v>0.106742</v>
      </c>
      <c r="DB4">
        <v>0</v>
      </c>
      <c r="DC4" t="s">
        <v>512</v>
      </c>
      <c r="DD4" t="s">
        <v>515</v>
      </c>
      <c r="DE4" t="s">
        <v>516</v>
      </c>
      <c r="DF4" t="s">
        <v>517</v>
      </c>
      <c r="DG4" t="s">
        <v>518</v>
      </c>
      <c r="DH4" t="s">
        <v>205</v>
      </c>
      <c r="DI4" t="s">
        <v>519</v>
      </c>
    </row>
    <row r="5" spans="1:113">
      <c r="A5">
        <v>2</v>
      </c>
      <c r="B5" s="3">
        <v>3.6458333333333336E-2</v>
      </c>
      <c r="C5" s="1">
        <v>45149</v>
      </c>
      <c r="D5" t="s">
        <v>196</v>
      </c>
      <c r="E5" t="s">
        <v>197</v>
      </c>
      <c r="G5">
        <v>2</v>
      </c>
      <c r="J5">
        <v>2.0323000000000001E-2</v>
      </c>
      <c r="K5">
        <v>2.9202110000000001</v>
      </c>
      <c r="L5">
        <v>2.0183E-2</v>
      </c>
      <c r="M5">
        <v>0.286105</v>
      </c>
      <c r="N5">
        <v>2.0309529999999998</v>
      </c>
      <c r="O5">
        <v>2.0234019999999999</v>
      </c>
      <c r="P5">
        <v>3.3471479999999998</v>
      </c>
      <c r="Q5">
        <v>1.316195</v>
      </c>
      <c r="R5">
        <v>21.179085000000001</v>
      </c>
      <c r="S5">
        <v>21.258125</v>
      </c>
      <c r="T5">
        <v>35.034824</v>
      </c>
      <c r="U5">
        <v>0.44178600000000001</v>
      </c>
      <c r="V5" t="s">
        <v>520</v>
      </c>
      <c r="W5">
        <v>0</v>
      </c>
      <c r="X5">
        <v>0</v>
      </c>
      <c r="Y5">
        <v>0</v>
      </c>
      <c r="Z5">
        <v>96.757294000000002</v>
      </c>
      <c r="AA5">
        <v>399.756439</v>
      </c>
      <c r="AB5">
        <v>0.75795900000000005</v>
      </c>
      <c r="AC5">
        <v>0.5</v>
      </c>
      <c r="AD5">
        <v>0.8</v>
      </c>
      <c r="AE5">
        <v>22.288005999999999</v>
      </c>
      <c r="AF5">
        <v>51.8</v>
      </c>
      <c r="AG5">
        <v>51.6</v>
      </c>
      <c r="AH5">
        <v>28.56</v>
      </c>
      <c r="AI5">
        <v>25.86</v>
      </c>
      <c r="AJ5">
        <v>95.54</v>
      </c>
      <c r="AK5">
        <v>156.5</v>
      </c>
      <c r="AL5">
        <v>156.5</v>
      </c>
      <c r="AM5">
        <v>0</v>
      </c>
      <c r="AN5">
        <v>74</v>
      </c>
      <c r="AO5">
        <v>4.109</v>
      </c>
      <c r="AP5">
        <v>9</v>
      </c>
      <c r="AQ5">
        <v>-1</v>
      </c>
      <c r="AR5">
        <v>271</v>
      </c>
      <c r="AZ5" s="3">
        <v>0</v>
      </c>
      <c r="BA5" t="s">
        <v>513</v>
      </c>
      <c r="BB5" t="s">
        <v>514</v>
      </c>
      <c r="BC5" t="s">
        <v>514</v>
      </c>
      <c r="BD5" t="s">
        <v>514</v>
      </c>
      <c r="BE5">
        <v>0</v>
      </c>
      <c r="BF5" t="s">
        <v>514</v>
      </c>
      <c r="BG5" s="3">
        <v>3.5821759259259262E-2</v>
      </c>
      <c r="BH5" s="1">
        <v>45149</v>
      </c>
      <c r="BI5">
        <v>-0.13</v>
      </c>
      <c r="BJ5">
        <v>-4.0000000000000001E-3</v>
      </c>
      <c r="BK5">
        <v>-5.0000000000000001E-3</v>
      </c>
      <c r="BL5">
        <v>-9999</v>
      </c>
      <c r="BM5">
        <v>0.13500000000000001</v>
      </c>
      <c r="BN5">
        <v>0.42099999999999999</v>
      </c>
      <c r="BO5">
        <v>-9999</v>
      </c>
      <c r="BP5">
        <v>1</v>
      </c>
      <c r="BQ5">
        <v>150</v>
      </c>
      <c r="BR5">
        <v>5.0000000000000001E-3</v>
      </c>
      <c r="BS5">
        <v>2</v>
      </c>
      <c r="BT5">
        <v>0</v>
      </c>
      <c r="BU5" t="s">
        <v>200</v>
      </c>
      <c r="BV5">
        <v>7000</v>
      </c>
      <c r="BW5">
        <v>500</v>
      </c>
      <c r="BX5">
        <v>5</v>
      </c>
      <c r="BY5">
        <v>2</v>
      </c>
      <c r="BZ5">
        <v>300</v>
      </c>
      <c r="CA5">
        <v>300</v>
      </c>
      <c r="CB5">
        <v>300</v>
      </c>
      <c r="CC5">
        <v>399.756439</v>
      </c>
      <c r="CD5">
        <v>25</v>
      </c>
      <c r="CE5">
        <v>15.676308000000001</v>
      </c>
      <c r="CF5">
        <v>416.15508999999997</v>
      </c>
      <c r="CG5">
        <v>422.11935399999999</v>
      </c>
      <c r="CH5">
        <v>-5.964264</v>
      </c>
      <c r="CI5">
        <v>2.5195159999999999</v>
      </c>
      <c r="CJ5">
        <v>2.5281940000000001</v>
      </c>
      <c r="CK5">
        <v>1.664814</v>
      </c>
      <c r="CL5">
        <v>0.94359599999999999</v>
      </c>
      <c r="CM5">
        <v>0.23672699999999999</v>
      </c>
      <c r="CN5">
        <v>-3.0849999999999999E-2</v>
      </c>
      <c r="CO5">
        <v>5.4995000000000002E-2</v>
      </c>
      <c r="CP5">
        <v>0.17176900000000001</v>
      </c>
      <c r="CQ5">
        <v>96.757294000000002</v>
      </c>
      <c r="CR5">
        <v>3.5399999999999999E-4</v>
      </c>
      <c r="CS5">
        <v>2.4333689999999999</v>
      </c>
      <c r="CT5">
        <v>-3.6000000000000001E-5</v>
      </c>
      <c r="CU5">
        <v>1</v>
      </c>
      <c r="CV5">
        <v>2.4396819999999999</v>
      </c>
      <c r="CW5">
        <v>1.1E-5</v>
      </c>
      <c r="CX5">
        <v>1</v>
      </c>
      <c r="CY5">
        <v>0.60025499999999998</v>
      </c>
      <c r="CZ5">
        <v>0.60245199999999999</v>
      </c>
      <c r="DA5">
        <v>0.106742</v>
      </c>
      <c r="DB5">
        <v>0</v>
      </c>
      <c r="DC5" t="s">
        <v>520</v>
      </c>
      <c r="DD5" t="s">
        <v>515</v>
      </c>
      <c r="DE5" t="s">
        <v>516</v>
      </c>
      <c r="DF5" t="s">
        <v>517</v>
      </c>
      <c r="DG5" t="s">
        <v>518</v>
      </c>
      <c r="DH5" t="s">
        <v>205</v>
      </c>
      <c r="DI5" t="s">
        <v>519</v>
      </c>
    </row>
    <row r="6" spans="1:113">
      <c r="A6">
        <v>1</v>
      </c>
      <c r="B6" s="3">
        <v>4.5254629629629624E-2</v>
      </c>
      <c r="C6" s="1">
        <v>45149</v>
      </c>
      <c r="D6" t="s">
        <v>196</v>
      </c>
      <c r="E6" t="s">
        <v>197</v>
      </c>
      <c r="G6">
        <v>1</v>
      </c>
      <c r="J6">
        <v>-3.0950000000000001E-3</v>
      </c>
      <c r="K6">
        <v>2.9193220000000002</v>
      </c>
      <c r="L6">
        <v>-3.0990000000000002E-3</v>
      </c>
      <c r="M6">
        <v>-4.4447E-2</v>
      </c>
      <c r="N6">
        <v>2.0869870000000001</v>
      </c>
      <c r="O6">
        <v>2.0881609999999999</v>
      </c>
      <c r="P6">
        <v>3.4188079999999998</v>
      </c>
      <c r="Q6">
        <v>1.3318209999999999</v>
      </c>
      <c r="R6">
        <v>21.843315</v>
      </c>
      <c r="S6">
        <v>21.831033999999999</v>
      </c>
      <c r="T6">
        <v>35.762614999999997</v>
      </c>
      <c r="U6">
        <v>0.44178600000000001</v>
      </c>
      <c r="V6" t="s">
        <v>521</v>
      </c>
      <c r="W6">
        <v>0</v>
      </c>
      <c r="X6">
        <v>0</v>
      </c>
      <c r="Y6">
        <v>0</v>
      </c>
      <c r="Z6">
        <v>138.19027700000001</v>
      </c>
      <c r="AA6">
        <v>487.04660000000001</v>
      </c>
      <c r="AB6">
        <v>0.71626900000000004</v>
      </c>
      <c r="AC6">
        <v>0.5</v>
      </c>
      <c r="AD6">
        <v>0.8</v>
      </c>
      <c r="AE6">
        <v>15.367302</v>
      </c>
      <c r="AF6">
        <v>56.42</v>
      </c>
      <c r="AG6">
        <v>56.45</v>
      </c>
      <c r="AH6">
        <v>27.56</v>
      </c>
      <c r="AI6">
        <v>26.22</v>
      </c>
      <c r="AJ6">
        <v>95.6</v>
      </c>
      <c r="AK6">
        <v>156.4</v>
      </c>
      <c r="AL6">
        <v>156.5</v>
      </c>
      <c r="AM6">
        <v>-0.1</v>
      </c>
      <c r="AN6">
        <v>54</v>
      </c>
      <c r="AO6">
        <v>4.1070000000000002</v>
      </c>
      <c r="AP6">
        <v>8</v>
      </c>
      <c r="AQ6">
        <v>-9</v>
      </c>
      <c r="AR6">
        <v>334</v>
      </c>
      <c r="AZ6" s="3">
        <v>0</v>
      </c>
      <c r="BA6" t="s">
        <v>513</v>
      </c>
      <c r="BB6" t="s">
        <v>514</v>
      </c>
      <c r="BC6" t="s">
        <v>514</v>
      </c>
      <c r="BD6" t="s">
        <v>514</v>
      </c>
      <c r="BE6">
        <v>0</v>
      </c>
      <c r="BF6" t="s">
        <v>514</v>
      </c>
      <c r="BG6" s="3">
        <v>4.4780092592592587E-2</v>
      </c>
      <c r="BH6" s="1">
        <v>45149</v>
      </c>
      <c r="BI6">
        <v>-0.34</v>
      </c>
      <c r="BJ6">
        <v>1E-3</v>
      </c>
      <c r="BK6">
        <v>0</v>
      </c>
      <c r="BL6">
        <v>-1.7000000000000001E-2</v>
      </c>
      <c r="BM6">
        <v>-0.90400000000000003</v>
      </c>
      <c r="BN6">
        <v>-0.58599999999999997</v>
      </c>
      <c r="BO6">
        <v>-1.925</v>
      </c>
      <c r="BP6">
        <v>1</v>
      </c>
      <c r="BQ6">
        <v>150</v>
      </c>
      <c r="BR6">
        <v>5.0000000000000001E-3</v>
      </c>
      <c r="BS6">
        <v>2</v>
      </c>
      <c r="BT6">
        <v>0</v>
      </c>
      <c r="BU6" t="s">
        <v>200</v>
      </c>
      <c r="BV6">
        <v>7000</v>
      </c>
      <c r="BW6">
        <v>500</v>
      </c>
      <c r="BX6">
        <v>5</v>
      </c>
      <c r="BY6">
        <v>2</v>
      </c>
      <c r="BZ6">
        <v>300</v>
      </c>
      <c r="CA6">
        <v>300</v>
      </c>
      <c r="CB6">
        <v>300</v>
      </c>
      <c r="CC6">
        <v>487.04660000000001</v>
      </c>
      <c r="CD6">
        <v>25</v>
      </c>
      <c r="CE6">
        <v>5.7244330000000003</v>
      </c>
      <c r="CF6">
        <v>488.89016700000002</v>
      </c>
      <c r="CG6">
        <v>495.212738</v>
      </c>
      <c r="CH6">
        <v>-6.3225709999999999</v>
      </c>
      <c r="CI6">
        <v>2.5268130000000002</v>
      </c>
      <c r="CJ6">
        <v>2.5354589999999999</v>
      </c>
      <c r="CK6">
        <v>1.66388</v>
      </c>
      <c r="CL6">
        <v>0.94369599999999998</v>
      </c>
      <c r="CM6">
        <v>0.246305</v>
      </c>
      <c r="CN6">
        <v>-1.4918000000000001E-2</v>
      </c>
      <c r="CO6">
        <v>0.19551099999999999</v>
      </c>
      <c r="CP6">
        <v>0.15418699999999999</v>
      </c>
      <c r="CQ6">
        <v>138.19027700000001</v>
      </c>
      <c r="CR6">
        <v>3.6200000000000002E-4</v>
      </c>
      <c r="CS6">
        <v>2.4333689999999999</v>
      </c>
      <c r="CT6">
        <v>-3.6000000000000001E-5</v>
      </c>
      <c r="CU6">
        <v>1</v>
      </c>
      <c r="CV6">
        <v>2.4396819999999999</v>
      </c>
      <c r="CW6">
        <v>1.1E-5</v>
      </c>
      <c r="CX6">
        <v>1</v>
      </c>
      <c r="CY6">
        <v>0.60025499999999998</v>
      </c>
      <c r="CZ6">
        <v>0.60245199999999999</v>
      </c>
      <c r="DA6">
        <v>0.106742</v>
      </c>
      <c r="DB6">
        <v>0</v>
      </c>
      <c r="DC6" t="s">
        <v>521</v>
      </c>
      <c r="DD6" t="s">
        <v>515</v>
      </c>
      <c r="DE6" t="s">
        <v>516</v>
      </c>
      <c r="DF6" t="s">
        <v>517</v>
      </c>
      <c r="DG6" t="s">
        <v>518</v>
      </c>
      <c r="DH6" t="s">
        <v>205</v>
      </c>
      <c r="DI6" t="s">
        <v>519</v>
      </c>
    </row>
    <row r="7" spans="1:113">
      <c r="A7">
        <v>2</v>
      </c>
      <c r="B7" s="3">
        <v>4.5682870370370367E-2</v>
      </c>
      <c r="C7" s="1">
        <v>45149</v>
      </c>
      <c r="D7" t="s">
        <v>196</v>
      </c>
      <c r="E7" t="s">
        <v>197</v>
      </c>
      <c r="G7">
        <v>2</v>
      </c>
      <c r="J7">
        <v>-1.0208E-2</v>
      </c>
      <c r="K7">
        <v>2.9213119999999999</v>
      </c>
      <c r="L7">
        <v>-1.0244E-2</v>
      </c>
      <c r="M7">
        <v>-0.15492</v>
      </c>
      <c r="N7">
        <v>2.1103900000000002</v>
      </c>
      <c r="O7">
        <v>2.1144750000000001</v>
      </c>
      <c r="P7">
        <v>3.5135299999999998</v>
      </c>
      <c r="Q7">
        <v>1.4031400000000001</v>
      </c>
      <c r="R7">
        <v>22.119092999999999</v>
      </c>
      <c r="S7">
        <v>22.076367999999999</v>
      </c>
      <c r="T7">
        <v>36.754330000000003</v>
      </c>
      <c r="U7">
        <v>0.44178600000000001</v>
      </c>
      <c r="V7" t="s">
        <v>522</v>
      </c>
      <c r="W7">
        <v>0</v>
      </c>
      <c r="X7">
        <v>0</v>
      </c>
      <c r="Y7">
        <v>0</v>
      </c>
      <c r="Z7">
        <v>114.04502100000001</v>
      </c>
      <c r="AA7">
        <v>450.74737499999998</v>
      </c>
      <c r="AB7">
        <v>0.74698699999999996</v>
      </c>
      <c r="AC7">
        <v>0.5</v>
      </c>
      <c r="AD7">
        <v>0.8</v>
      </c>
      <c r="AE7">
        <v>14.735571</v>
      </c>
      <c r="AF7">
        <v>57.33</v>
      </c>
      <c r="AG7">
        <v>57.44</v>
      </c>
      <c r="AH7">
        <v>27.48</v>
      </c>
      <c r="AI7">
        <v>26.69</v>
      </c>
      <c r="AJ7">
        <v>95.6</v>
      </c>
      <c r="AK7">
        <v>156.69999999999999</v>
      </c>
      <c r="AL7">
        <v>156.5</v>
      </c>
      <c r="AM7">
        <v>0.1</v>
      </c>
      <c r="AN7">
        <v>49</v>
      </c>
      <c r="AO7">
        <v>4.1059999999999999</v>
      </c>
      <c r="AP7">
        <v>17</v>
      </c>
      <c r="AQ7">
        <v>-20</v>
      </c>
      <c r="AR7">
        <v>217</v>
      </c>
      <c r="AZ7" s="3">
        <v>0</v>
      </c>
      <c r="BA7" t="s">
        <v>513</v>
      </c>
      <c r="BB7" t="s">
        <v>514</v>
      </c>
      <c r="BC7" t="s">
        <v>514</v>
      </c>
      <c r="BD7" t="s">
        <v>514</v>
      </c>
      <c r="BE7">
        <v>0</v>
      </c>
      <c r="BF7" t="s">
        <v>514</v>
      </c>
      <c r="BG7" s="3">
        <v>4.4780092592592587E-2</v>
      </c>
      <c r="BH7" s="1">
        <v>45149</v>
      </c>
      <c r="BI7">
        <v>-0.34</v>
      </c>
      <c r="BJ7">
        <v>-3.0000000000000001E-3</v>
      </c>
      <c r="BK7">
        <v>-4.0000000000000001E-3</v>
      </c>
      <c r="BL7">
        <v>-9999</v>
      </c>
      <c r="BM7">
        <v>-0.151</v>
      </c>
      <c r="BN7">
        <v>0.33900000000000002</v>
      </c>
      <c r="BO7">
        <v>-9999</v>
      </c>
      <c r="BP7">
        <v>1</v>
      </c>
      <c r="BQ7">
        <v>150</v>
      </c>
      <c r="BR7">
        <v>5.0000000000000001E-3</v>
      </c>
      <c r="BS7">
        <v>2</v>
      </c>
      <c r="BT7">
        <v>0</v>
      </c>
      <c r="BU7" t="s">
        <v>200</v>
      </c>
      <c r="BV7">
        <v>7000</v>
      </c>
      <c r="BW7">
        <v>500</v>
      </c>
      <c r="BX7">
        <v>5</v>
      </c>
      <c r="BY7">
        <v>2</v>
      </c>
      <c r="BZ7">
        <v>300</v>
      </c>
      <c r="CA7">
        <v>300</v>
      </c>
      <c r="CB7">
        <v>300</v>
      </c>
      <c r="CC7">
        <v>450.74737499999998</v>
      </c>
      <c r="CD7">
        <v>25</v>
      </c>
      <c r="CE7">
        <v>17.078135</v>
      </c>
      <c r="CF7">
        <v>466.13861100000003</v>
      </c>
      <c r="CG7">
        <v>475.11004600000001</v>
      </c>
      <c r="CH7">
        <v>-8.9714360000000006</v>
      </c>
      <c r="CI7">
        <v>2.52827</v>
      </c>
      <c r="CJ7">
        <v>2.5368010000000001</v>
      </c>
      <c r="CK7">
        <v>1.6659729999999999</v>
      </c>
      <c r="CL7">
        <v>0.94373700000000005</v>
      </c>
      <c r="CM7">
        <v>0.247113</v>
      </c>
      <c r="CN7">
        <v>-8.5699999999999995E-3</v>
      </c>
      <c r="CO7">
        <v>0.20059099999999999</v>
      </c>
      <c r="CP7">
        <v>0.150366</v>
      </c>
      <c r="CQ7">
        <v>114.04502100000001</v>
      </c>
      <c r="CR7">
        <v>3.5300000000000002E-4</v>
      </c>
      <c r="CS7">
        <v>2.4333689999999999</v>
      </c>
      <c r="CT7">
        <v>-3.6000000000000001E-5</v>
      </c>
      <c r="CU7">
        <v>1</v>
      </c>
      <c r="CV7">
        <v>2.4396819999999999</v>
      </c>
      <c r="CW7">
        <v>1.1E-5</v>
      </c>
      <c r="CX7">
        <v>1</v>
      </c>
      <c r="CY7">
        <v>0.60025499999999998</v>
      </c>
      <c r="CZ7">
        <v>0.60245199999999999</v>
      </c>
      <c r="DA7">
        <v>0.106742</v>
      </c>
      <c r="DB7">
        <v>0</v>
      </c>
      <c r="DC7" t="s">
        <v>522</v>
      </c>
      <c r="DD7" t="s">
        <v>515</v>
      </c>
      <c r="DE7" t="s">
        <v>516</v>
      </c>
      <c r="DF7" t="s">
        <v>517</v>
      </c>
      <c r="DG7" t="s">
        <v>518</v>
      </c>
      <c r="DH7" t="s">
        <v>205</v>
      </c>
      <c r="DI7" t="s">
        <v>519</v>
      </c>
    </row>
    <row r="8" spans="1:113">
      <c r="A8">
        <v>3</v>
      </c>
      <c r="B8" s="3">
        <v>4.5856481481481477E-2</v>
      </c>
      <c r="C8" s="1">
        <v>45149</v>
      </c>
      <c r="D8" t="s">
        <v>196</v>
      </c>
      <c r="E8" t="s">
        <v>197</v>
      </c>
      <c r="G8">
        <v>3</v>
      </c>
      <c r="J8">
        <v>-1.8585000000000001E-2</v>
      </c>
      <c r="K8">
        <v>2.9217050000000002</v>
      </c>
      <c r="L8">
        <v>-1.8703999999999998E-2</v>
      </c>
      <c r="M8">
        <v>-0.241338</v>
      </c>
      <c r="N8">
        <v>2.1738460000000002</v>
      </c>
      <c r="O8">
        <v>2.180202</v>
      </c>
      <c r="P8">
        <v>3.371556</v>
      </c>
      <c r="Q8">
        <v>1.1977100000000001</v>
      </c>
      <c r="R8">
        <v>22.80612</v>
      </c>
      <c r="S8">
        <v>22.739626000000001</v>
      </c>
      <c r="T8">
        <v>35.268332999999998</v>
      </c>
      <c r="U8">
        <v>0.44178600000000001</v>
      </c>
      <c r="V8" t="s">
        <v>523</v>
      </c>
      <c r="W8">
        <v>0</v>
      </c>
      <c r="X8">
        <v>0</v>
      </c>
      <c r="Y8">
        <v>0</v>
      </c>
      <c r="Z8">
        <v>143.875473</v>
      </c>
      <c r="AA8">
        <v>517.33233600000005</v>
      </c>
      <c r="AB8">
        <v>0.72189000000000003</v>
      </c>
      <c r="AC8">
        <v>0.5</v>
      </c>
      <c r="AD8">
        <v>0.8</v>
      </c>
      <c r="AE8">
        <v>16.893485999999999</v>
      </c>
      <c r="AF8">
        <v>59.16</v>
      </c>
      <c r="AG8">
        <v>59.34</v>
      </c>
      <c r="AH8">
        <v>27.45</v>
      </c>
      <c r="AI8">
        <v>25.99</v>
      </c>
      <c r="AJ8">
        <v>95.6</v>
      </c>
      <c r="AK8">
        <v>156.69999999999999</v>
      </c>
      <c r="AL8">
        <v>156.6</v>
      </c>
      <c r="AM8">
        <v>0.1</v>
      </c>
      <c r="AN8">
        <v>59</v>
      </c>
      <c r="AO8">
        <v>4.0810000000000004</v>
      </c>
      <c r="AP8">
        <v>44</v>
      </c>
      <c r="AQ8">
        <v>-45</v>
      </c>
      <c r="AR8">
        <v>229</v>
      </c>
      <c r="AZ8" s="3">
        <v>0</v>
      </c>
      <c r="BA8" t="s">
        <v>513</v>
      </c>
      <c r="BB8" t="s">
        <v>514</v>
      </c>
      <c r="BC8" t="s">
        <v>514</v>
      </c>
      <c r="BD8" t="s">
        <v>514</v>
      </c>
      <c r="BE8">
        <v>0</v>
      </c>
      <c r="BF8" t="s">
        <v>514</v>
      </c>
      <c r="BG8" s="3">
        <v>4.4780092592592587E-2</v>
      </c>
      <c r="BH8" s="1">
        <v>45149</v>
      </c>
      <c r="BI8">
        <v>-0.34</v>
      </c>
      <c r="BJ8">
        <v>2E-3</v>
      </c>
      <c r="BK8">
        <v>1E-3</v>
      </c>
      <c r="BL8">
        <v>-1.2999999999999999E-2</v>
      </c>
      <c r="BM8">
        <v>0.23699999999999999</v>
      </c>
      <c r="BN8">
        <v>0.94</v>
      </c>
      <c r="BO8">
        <v>2.6240000000000001</v>
      </c>
      <c r="BP8">
        <v>1</v>
      </c>
      <c r="BQ8">
        <v>150</v>
      </c>
      <c r="BR8">
        <v>5.0000000000000001E-3</v>
      </c>
      <c r="BS8">
        <v>2</v>
      </c>
      <c r="BT8">
        <v>0</v>
      </c>
      <c r="BU8" t="s">
        <v>200</v>
      </c>
      <c r="BV8">
        <v>7000</v>
      </c>
      <c r="BW8">
        <v>500</v>
      </c>
      <c r="BX8">
        <v>5</v>
      </c>
      <c r="BY8">
        <v>2</v>
      </c>
      <c r="BZ8">
        <v>300</v>
      </c>
      <c r="CA8">
        <v>300</v>
      </c>
      <c r="CB8">
        <v>300</v>
      </c>
      <c r="CC8">
        <v>517.33233600000005</v>
      </c>
      <c r="CD8">
        <v>25</v>
      </c>
      <c r="CE8">
        <v>5.4535840000000002</v>
      </c>
      <c r="CF8">
        <v>520.30529799999999</v>
      </c>
      <c r="CG8">
        <v>525.112122</v>
      </c>
      <c r="CH8">
        <v>-4.8068239999999998</v>
      </c>
      <c r="CI8">
        <v>2.5310320000000002</v>
      </c>
      <c r="CJ8">
        <v>2.5394830000000002</v>
      </c>
      <c r="CK8">
        <v>1.6663870000000001</v>
      </c>
      <c r="CL8">
        <v>0.94395099999999998</v>
      </c>
      <c r="CM8">
        <v>0.24742400000000001</v>
      </c>
      <c r="CN8">
        <v>-1.6293999999999999E-2</v>
      </c>
      <c r="CO8">
        <v>0.202462</v>
      </c>
      <c r="CP8">
        <v>0.15849299999999999</v>
      </c>
      <c r="CQ8">
        <v>143.875473</v>
      </c>
      <c r="CR8">
        <v>3.6499999999999998E-4</v>
      </c>
      <c r="CS8">
        <v>2.4333689999999999</v>
      </c>
      <c r="CT8">
        <v>-3.6000000000000001E-5</v>
      </c>
      <c r="CU8">
        <v>1</v>
      </c>
      <c r="CV8">
        <v>2.4396819999999999</v>
      </c>
      <c r="CW8">
        <v>1.1E-5</v>
      </c>
      <c r="CX8">
        <v>1</v>
      </c>
      <c r="CY8">
        <v>0.60025499999999998</v>
      </c>
      <c r="CZ8">
        <v>0.60245199999999999</v>
      </c>
      <c r="DA8">
        <v>0.106742</v>
      </c>
      <c r="DB8">
        <v>0</v>
      </c>
      <c r="DC8" t="s">
        <v>523</v>
      </c>
      <c r="DD8" t="s">
        <v>515</v>
      </c>
      <c r="DE8" t="s">
        <v>516</v>
      </c>
      <c r="DF8" t="s">
        <v>517</v>
      </c>
      <c r="DG8" t="s">
        <v>518</v>
      </c>
      <c r="DH8" t="s">
        <v>205</v>
      </c>
      <c r="DI8" t="s">
        <v>519</v>
      </c>
    </row>
    <row r="9" spans="1:113">
      <c r="A9">
        <v>4</v>
      </c>
      <c r="B9" s="3">
        <v>4.6030092592592588E-2</v>
      </c>
      <c r="C9" s="1">
        <v>45149</v>
      </c>
      <c r="D9" t="s">
        <v>196</v>
      </c>
      <c r="E9" t="s">
        <v>197</v>
      </c>
      <c r="G9">
        <v>4</v>
      </c>
      <c r="J9">
        <v>3.4710000000000001E-3</v>
      </c>
      <c r="K9">
        <v>2.9214709999999999</v>
      </c>
      <c r="L9">
        <v>3.467E-3</v>
      </c>
      <c r="M9">
        <v>4.3417999999999998E-2</v>
      </c>
      <c r="N9">
        <v>2.2086739999999998</v>
      </c>
      <c r="O9">
        <v>2.2075300000000002</v>
      </c>
      <c r="P9">
        <v>3.3708529999999999</v>
      </c>
      <c r="Q9">
        <v>1.1621790000000001</v>
      </c>
      <c r="R9">
        <v>23.091622999999998</v>
      </c>
      <c r="S9">
        <v>23.103584000000001</v>
      </c>
      <c r="T9">
        <v>35.260429000000002</v>
      </c>
      <c r="U9">
        <v>0.44178600000000001</v>
      </c>
      <c r="V9" t="s">
        <v>524</v>
      </c>
      <c r="W9">
        <v>0</v>
      </c>
      <c r="X9">
        <v>0</v>
      </c>
      <c r="Y9">
        <v>0</v>
      </c>
      <c r="Z9">
        <v>103.335144</v>
      </c>
      <c r="AA9">
        <v>495.02545199999997</v>
      </c>
      <c r="AB9">
        <v>0.79125299999999998</v>
      </c>
      <c r="AC9">
        <v>0.5</v>
      </c>
      <c r="AD9">
        <v>0.8</v>
      </c>
      <c r="AE9">
        <v>20.851230999999999</v>
      </c>
      <c r="AF9">
        <v>60.23</v>
      </c>
      <c r="AG9">
        <v>60.2</v>
      </c>
      <c r="AH9">
        <v>27.41</v>
      </c>
      <c r="AI9">
        <v>25.98</v>
      </c>
      <c r="AJ9">
        <v>95.6</v>
      </c>
      <c r="AK9">
        <v>156.69999999999999</v>
      </c>
      <c r="AL9">
        <v>156.5</v>
      </c>
      <c r="AM9">
        <v>0.1</v>
      </c>
      <c r="AN9">
        <v>66</v>
      </c>
      <c r="AO9">
        <v>4.1059999999999999</v>
      </c>
      <c r="AP9">
        <v>26</v>
      </c>
      <c r="AQ9">
        <v>-14</v>
      </c>
      <c r="AR9">
        <v>228</v>
      </c>
      <c r="AZ9" s="3">
        <v>0</v>
      </c>
      <c r="BA9" t="s">
        <v>513</v>
      </c>
      <c r="BB9" t="s">
        <v>514</v>
      </c>
      <c r="BC9" t="s">
        <v>514</v>
      </c>
      <c r="BD9" t="s">
        <v>514</v>
      </c>
      <c r="BE9">
        <v>0</v>
      </c>
      <c r="BF9" t="s">
        <v>514</v>
      </c>
      <c r="BG9" s="3">
        <v>4.4780092592592587E-2</v>
      </c>
      <c r="BH9" s="1">
        <v>45149</v>
      </c>
      <c r="BI9">
        <v>-0.34</v>
      </c>
      <c r="BJ9">
        <v>-2E-3</v>
      </c>
      <c r="BK9">
        <v>-5.0000000000000001E-3</v>
      </c>
      <c r="BL9">
        <v>-1.7000000000000001E-2</v>
      </c>
      <c r="BM9">
        <v>0.373</v>
      </c>
      <c r="BN9">
        <v>0.61199999999999999</v>
      </c>
      <c r="BO9">
        <v>1.262</v>
      </c>
      <c r="BP9">
        <v>1</v>
      </c>
      <c r="BQ9">
        <v>150</v>
      </c>
      <c r="BR9">
        <v>5.0000000000000001E-3</v>
      </c>
      <c r="BS9">
        <v>2</v>
      </c>
      <c r="BT9">
        <v>0</v>
      </c>
      <c r="BU9" t="s">
        <v>200</v>
      </c>
      <c r="BV9">
        <v>7000</v>
      </c>
      <c r="BW9">
        <v>500</v>
      </c>
      <c r="BX9">
        <v>5</v>
      </c>
      <c r="BY9">
        <v>2</v>
      </c>
      <c r="BZ9">
        <v>300</v>
      </c>
      <c r="CA9">
        <v>300</v>
      </c>
      <c r="CB9">
        <v>300</v>
      </c>
      <c r="CC9">
        <v>483.845123</v>
      </c>
      <c r="CD9">
        <v>25</v>
      </c>
      <c r="CE9">
        <v>-8.0339709999999993</v>
      </c>
      <c r="CF9">
        <v>482.951752</v>
      </c>
      <c r="CG9">
        <v>483.56466699999999</v>
      </c>
      <c r="CH9">
        <v>-0.61291499999999999</v>
      </c>
      <c r="CI9">
        <v>2.5322930000000001</v>
      </c>
      <c r="CJ9">
        <v>2.5410460000000001</v>
      </c>
      <c r="CK9">
        <v>1.66614</v>
      </c>
      <c r="CL9">
        <v>0.94378899999999999</v>
      </c>
      <c r="CM9">
        <v>0.24775800000000001</v>
      </c>
      <c r="CN9">
        <v>-1.5934E-2</v>
      </c>
      <c r="CO9">
        <v>0.20438400000000001</v>
      </c>
      <c r="CP9">
        <v>0.165017</v>
      </c>
      <c r="CQ9">
        <v>103.335144</v>
      </c>
      <c r="CR9">
        <v>3.5799999999999997E-4</v>
      </c>
      <c r="CS9">
        <v>2.4333689999999999</v>
      </c>
      <c r="CT9">
        <v>-3.6000000000000001E-5</v>
      </c>
      <c r="CU9">
        <v>1</v>
      </c>
      <c r="CV9">
        <v>2.4396819999999999</v>
      </c>
      <c r="CW9">
        <v>1.1E-5</v>
      </c>
      <c r="CX9">
        <v>1</v>
      </c>
      <c r="CY9">
        <v>0.60025499999999998</v>
      </c>
      <c r="CZ9">
        <v>0.60245199999999999</v>
      </c>
      <c r="DA9">
        <v>0.106742</v>
      </c>
      <c r="DB9">
        <v>0</v>
      </c>
      <c r="DC9" t="s">
        <v>524</v>
      </c>
      <c r="DD9" t="s">
        <v>515</v>
      </c>
      <c r="DE9" t="s">
        <v>516</v>
      </c>
      <c r="DF9" t="s">
        <v>517</v>
      </c>
      <c r="DG9" t="s">
        <v>518</v>
      </c>
      <c r="DH9" t="s">
        <v>205</v>
      </c>
      <c r="DI9" t="s">
        <v>519</v>
      </c>
    </row>
    <row r="10" spans="1:113">
      <c r="A10">
        <v>5</v>
      </c>
      <c r="B10" s="3">
        <v>4.6238425925925926E-2</v>
      </c>
      <c r="C10" s="1">
        <v>45149</v>
      </c>
      <c r="D10" t="s">
        <v>196</v>
      </c>
      <c r="E10" t="s">
        <v>197</v>
      </c>
      <c r="G10">
        <v>5</v>
      </c>
      <c r="J10">
        <v>-5.3629999999999997E-3</v>
      </c>
      <c r="K10">
        <v>2.9189129999999999</v>
      </c>
      <c r="L10">
        <v>-5.372E-3</v>
      </c>
      <c r="M10">
        <v>-8.5681999999999994E-2</v>
      </c>
      <c r="N10">
        <v>2.2020080000000002</v>
      </c>
      <c r="O10">
        <v>2.204269</v>
      </c>
      <c r="P10">
        <v>3.679659</v>
      </c>
      <c r="Q10">
        <v>1.477651</v>
      </c>
      <c r="R10">
        <v>23.059076000000001</v>
      </c>
      <c r="S10">
        <v>23.035423000000002</v>
      </c>
      <c r="T10">
        <v>38.493274999999997</v>
      </c>
      <c r="U10">
        <v>0.44178600000000001</v>
      </c>
      <c r="V10" t="s">
        <v>525</v>
      </c>
      <c r="W10">
        <v>0</v>
      </c>
      <c r="X10">
        <v>0</v>
      </c>
      <c r="Y10">
        <v>0</v>
      </c>
      <c r="Z10">
        <v>105.672241</v>
      </c>
      <c r="AA10">
        <v>284.48654199999999</v>
      </c>
      <c r="AB10">
        <v>0.62855099999999997</v>
      </c>
      <c r="AC10">
        <v>0.5</v>
      </c>
      <c r="AD10">
        <v>0.8</v>
      </c>
      <c r="AE10">
        <v>24.382833000000002</v>
      </c>
      <c r="AF10">
        <v>60.16</v>
      </c>
      <c r="AG10">
        <v>60.22</v>
      </c>
      <c r="AH10">
        <v>27.38</v>
      </c>
      <c r="AI10">
        <v>27.47</v>
      </c>
      <c r="AJ10">
        <v>95.59</v>
      </c>
      <c r="AK10">
        <v>156.4</v>
      </c>
      <c r="AL10">
        <v>156.4</v>
      </c>
      <c r="AM10">
        <v>0</v>
      </c>
      <c r="AN10">
        <v>97</v>
      </c>
      <c r="AO10">
        <v>4.1050000000000004</v>
      </c>
      <c r="AP10">
        <v>51</v>
      </c>
      <c r="AQ10">
        <v>-73</v>
      </c>
      <c r="AR10">
        <v>162</v>
      </c>
      <c r="AZ10" s="3">
        <v>0</v>
      </c>
      <c r="BA10" t="s">
        <v>513</v>
      </c>
      <c r="BB10" t="s">
        <v>514</v>
      </c>
      <c r="BC10" t="s">
        <v>514</v>
      </c>
      <c r="BD10" t="s">
        <v>514</v>
      </c>
      <c r="BE10">
        <v>0</v>
      </c>
      <c r="BF10" t="s">
        <v>514</v>
      </c>
      <c r="BG10" s="3">
        <v>4.4780092592592587E-2</v>
      </c>
      <c r="BH10" s="1">
        <v>45149</v>
      </c>
      <c r="BI10">
        <v>-0.34</v>
      </c>
      <c r="BJ10">
        <v>-1E-3</v>
      </c>
      <c r="BK10">
        <v>-3.0000000000000001E-3</v>
      </c>
      <c r="BL10">
        <v>-1.6E-2</v>
      </c>
      <c r="BM10">
        <v>1.383</v>
      </c>
      <c r="BN10">
        <v>0.496</v>
      </c>
      <c r="BO10">
        <v>0.55300000000000005</v>
      </c>
      <c r="BP10">
        <v>1</v>
      </c>
      <c r="BQ10">
        <v>150</v>
      </c>
      <c r="BR10">
        <v>5.0000000000000001E-3</v>
      </c>
      <c r="BS10">
        <v>2</v>
      </c>
      <c r="BT10">
        <v>0</v>
      </c>
      <c r="BU10" t="s">
        <v>200</v>
      </c>
      <c r="BV10">
        <v>7000</v>
      </c>
      <c r="BW10">
        <v>500</v>
      </c>
      <c r="BX10">
        <v>5</v>
      </c>
      <c r="BY10">
        <v>2</v>
      </c>
      <c r="BZ10">
        <v>300</v>
      </c>
      <c r="CA10">
        <v>300</v>
      </c>
      <c r="CB10">
        <v>300</v>
      </c>
      <c r="CC10">
        <v>284.48654199999999</v>
      </c>
      <c r="CD10">
        <v>25</v>
      </c>
      <c r="CE10">
        <v>0.58379000000000003</v>
      </c>
      <c r="CF10">
        <v>289.70538299999998</v>
      </c>
      <c r="CG10">
        <v>285.31933600000002</v>
      </c>
      <c r="CH10">
        <v>4.3860469999999996</v>
      </c>
      <c r="CI10">
        <v>2.5323319999999998</v>
      </c>
      <c r="CJ10">
        <v>2.5409470000000001</v>
      </c>
      <c r="CK10">
        <v>1.663451</v>
      </c>
      <c r="CL10">
        <v>0.94334899999999999</v>
      </c>
      <c r="CM10">
        <v>0.24806800000000001</v>
      </c>
      <c r="CN10">
        <v>1.7769999999999999E-3</v>
      </c>
      <c r="CO10">
        <v>0.20659</v>
      </c>
      <c r="CP10">
        <v>0.192527</v>
      </c>
      <c r="CQ10">
        <v>105.672241</v>
      </c>
      <c r="CR10">
        <v>3.57E-4</v>
      </c>
      <c r="CS10">
        <v>2.4333689999999999</v>
      </c>
      <c r="CT10">
        <v>-3.6000000000000001E-5</v>
      </c>
      <c r="CU10">
        <v>1</v>
      </c>
      <c r="CV10">
        <v>2.4396819999999999</v>
      </c>
      <c r="CW10">
        <v>1.1E-5</v>
      </c>
      <c r="CX10">
        <v>1</v>
      </c>
      <c r="CY10">
        <v>0.60025499999999998</v>
      </c>
      <c r="CZ10">
        <v>0.60245199999999999</v>
      </c>
      <c r="DA10">
        <v>0.106742</v>
      </c>
      <c r="DB10">
        <v>0</v>
      </c>
      <c r="DC10" t="s">
        <v>525</v>
      </c>
      <c r="DD10" t="s">
        <v>515</v>
      </c>
      <c r="DE10" t="s">
        <v>516</v>
      </c>
      <c r="DF10" t="s">
        <v>517</v>
      </c>
      <c r="DG10" t="s">
        <v>518</v>
      </c>
      <c r="DH10" t="s">
        <v>205</v>
      </c>
      <c r="DI10" t="s">
        <v>519</v>
      </c>
    </row>
    <row r="11" spans="1:113">
      <c r="A11">
        <v>1</v>
      </c>
      <c r="B11" s="3">
        <v>4.9756944444444444E-2</v>
      </c>
      <c r="C11" s="1">
        <v>45149</v>
      </c>
      <c r="D11" t="s">
        <v>196</v>
      </c>
      <c r="E11" t="s">
        <v>197</v>
      </c>
      <c r="G11">
        <v>1</v>
      </c>
      <c r="J11">
        <v>2.4257999999999998E-2</v>
      </c>
      <c r="K11">
        <v>2.9220350000000002</v>
      </c>
      <c r="L11">
        <v>2.4058E-2</v>
      </c>
      <c r="M11">
        <v>0.31447700000000001</v>
      </c>
      <c r="N11">
        <v>2.1058469999999998</v>
      </c>
      <c r="O11">
        <v>2.0975609999999998</v>
      </c>
      <c r="P11">
        <v>3.319833</v>
      </c>
      <c r="Q11">
        <v>1.213986</v>
      </c>
      <c r="R11">
        <v>21.944171999999998</v>
      </c>
      <c r="S11">
        <v>22.030857000000001</v>
      </c>
      <c r="T11">
        <v>34.731276999999999</v>
      </c>
      <c r="U11">
        <v>0.44178600000000001</v>
      </c>
      <c r="V11" t="s">
        <v>526</v>
      </c>
      <c r="W11">
        <v>0</v>
      </c>
      <c r="X11">
        <v>0</v>
      </c>
      <c r="Y11">
        <v>0</v>
      </c>
      <c r="Z11">
        <v>89.189887999999996</v>
      </c>
      <c r="AA11">
        <v>431.92068499999999</v>
      </c>
      <c r="AB11">
        <v>0.79350399999999999</v>
      </c>
      <c r="AC11">
        <v>0.5</v>
      </c>
      <c r="AD11">
        <v>0.8</v>
      </c>
      <c r="AE11">
        <v>19.051380000000002</v>
      </c>
      <c r="AF11">
        <v>58.41</v>
      </c>
      <c r="AG11">
        <v>58.18</v>
      </c>
      <c r="AH11">
        <v>27.12</v>
      </c>
      <c r="AI11">
        <v>25.73</v>
      </c>
      <c r="AJ11">
        <v>95.59</v>
      </c>
      <c r="AK11">
        <v>156.69999999999999</v>
      </c>
      <c r="AL11">
        <v>156.5</v>
      </c>
      <c r="AM11">
        <v>0.2</v>
      </c>
      <c r="AN11">
        <v>60</v>
      </c>
      <c r="AO11">
        <v>4.1040000000000001</v>
      </c>
      <c r="AP11">
        <v>-1</v>
      </c>
      <c r="AQ11">
        <v>-25</v>
      </c>
      <c r="AR11">
        <v>203</v>
      </c>
      <c r="AZ11" s="3">
        <v>0</v>
      </c>
      <c r="BA11" t="s">
        <v>513</v>
      </c>
      <c r="BB11" t="s">
        <v>514</v>
      </c>
      <c r="BC11" t="s">
        <v>514</v>
      </c>
      <c r="BD11" t="s">
        <v>514</v>
      </c>
      <c r="BE11">
        <v>0</v>
      </c>
      <c r="BF11" t="s">
        <v>514</v>
      </c>
      <c r="BG11" s="3">
        <v>4.9618055555555561E-2</v>
      </c>
      <c r="BH11" s="1">
        <v>45149</v>
      </c>
      <c r="BI11">
        <v>-0.38</v>
      </c>
      <c r="BJ11">
        <v>1E-3</v>
      </c>
      <c r="BK11">
        <v>-1E-3</v>
      </c>
      <c r="BL11">
        <v>-1.2E-2</v>
      </c>
      <c r="BM11">
        <v>0.14499999999999999</v>
      </c>
      <c r="BN11">
        <v>6.6000000000000003E-2</v>
      </c>
      <c r="BO11">
        <v>0.36699999999999999</v>
      </c>
      <c r="BP11">
        <v>1</v>
      </c>
      <c r="BQ11">
        <v>150</v>
      </c>
      <c r="BR11">
        <v>5.0000000000000001E-3</v>
      </c>
      <c r="BS11">
        <v>2</v>
      </c>
      <c r="BT11">
        <v>0</v>
      </c>
      <c r="BU11" t="s">
        <v>200</v>
      </c>
      <c r="BV11">
        <v>7000</v>
      </c>
      <c r="BW11">
        <v>500</v>
      </c>
      <c r="BX11">
        <v>5</v>
      </c>
      <c r="BY11">
        <v>2</v>
      </c>
      <c r="BZ11">
        <v>300</v>
      </c>
      <c r="CA11">
        <v>300</v>
      </c>
      <c r="CB11">
        <v>300</v>
      </c>
      <c r="CC11">
        <v>419.79718000000003</v>
      </c>
      <c r="CD11">
        <v>25</v>
      </c>
      <c r="CE11">
        <v>-8.4951460000000001</v>
      </c>
      <c r="CF11">
        <v>423.60376000000002</v>
      </c>
      <c r="CG11">
        <v>419.80200200000002</v>
      </c>
      <c r="CH11">
        <v>3.801758</v>
      </c>
      <c r="CI11">
        <v>2.529423</v>
      </c>
      <c r="CJ11">
        <v>2.5384980000000001</v>
      </c>
      <c r="CK11">
        <v>1.666736</v>
      </c>
      <c r="CL11">
        <v>0.94366700000000003</v>
      </c>
      <c r="CM11">
        <v>0.25062800000000002</v>
      </c>
      <c r="CN11">
        <v>-1.5499000000000001E-2</v>
      </c>
      <c r="CO11">
        <v>0.194413</v>
      </c>
      <c r="CP11">
        <v>0.15983600000000001</v>
      </c>
      <c r="CQ11">
        <v>89.189887999999996</v>
      </c>
      <c r="CR11">
        <v>3.6000000000000002E-4</v>
      </c>
      <c r="CS11">
        <v>2.4333689999999999</v>
      </c>
      <c r="CT11">
        <v>-3.6000000000000001E-5</v>
      </c>
      <c r="CU11">
        <v>1</v>
      </c>
      <c r="CV11">
        <v>2.4396819999999999</v>
      </c>
      <c r="CW11">
        <v>1.1E-5</v>
      </c>
      <c r="CX11">
        <v>1</v>
      </c>
      <c r="CY11">
        <v>0.60025499999999998</v>
      </c>
      <c r="CZ11">
        <v>0.60245199999999999</v>
      </c>
      <c r="DA11">
        <v>0.106742</v>
      </c>
      <c r="DB11">
        <v>0</v>
      </c>
      <c r="DC11" t="s">
        <v>526</v>
      </c>
      <c r="DD11" t="s">
        <v>515</v>
      </c>
      <c r="DE11" t="s">
        <v>516</v>
      </c>
      <c r="DF11" t="s">
        <v>517</v>
      </c>
      <c r="DG11" t="s">
        <v>518</v>
      </c>
      <c r="DH11" t="s">
        <v>205</v>
      </c>
      <c r="DI11" t="s">
        <v>519</v>
      </c>
    </row>
    <row r="12" spans="1:113">
      <c r="A12">
        <v>2</v>
      </c>
      <c r="B12" s="3">
        <v>4.9976851851851856E-2</v>
      </c>
      <c r="C12" s="1">
        <v>45149</v>
      </c>
      <c r="D12" t="s">
        <v>196</v>
      </c>
      <c r="E12" t="s">
        <v>197</v>
      </c>
      <c r="G12">
        <v>2</v>
      </c>
      <c r="J12">
        <v>2.1156000000000001E-2</v>
      </c>
      <c r="K12">
        <v>2.9219149999999998</v>
      </c>
      <c r="L12">
        <v>2.1003999999999998E-2</v>
      </c>
      <c r="M12">
        <v>0.302145</v>
      </c>
      <c r="N12">
        <v>2.1483310000000002</v>
      </c>
      <c r="O12">
        <v>2.1403729999999999</v>
      </c>
      <c r="P12">
        <v>3.4827349999999999</v>
      </c>
      <c r="Q12">
        <v>1.3344039999999999</v>
      </c>
      <c r="R12">
        <v>22.393995</v>
      </c>
      <c r="S12">
        <v>22.477250999999999</v>
      </c>
      <c r="T12">
        <v>36.438667000000002</v>
      </c>
      <c r="U12">
        <v>0.44178600000000001</v>
      </c>
      <c r="V12" t="s">
        <v>527</v>
      </c>
      <c r="W12">
        <v>0</v>
      </c>
      <c r="X12">
        <v>0</v>
      </c>
      <c r="Y12">
        <v>0</v>
      </c>
      <c r="Z12">
        <v>105.937241</v>
      </c>
      <c r="AA12">
        <v>442.59970099999998</v>
      </c>
      <c r="AB12">
        <v>0.76064799999999999</v>
      </c>
      <c r="AC12">
        <v>0.5</v>
      </c>
      <c r="AD12">
        <v>0.8</v>
      </c>
      <c r="AE12">
        <v>83.674118000000007</v>
      </c>
      <c r="AF12">
        <v>59.64</v>
      </c>
      <c r="AG12">
        <v>59.42</v>
      </c>
      <c r="AH12">
        <v>27.11</v>
      </c>
      <c r="AI12">
        <v>26.54</v>
      </c>
      <c r="AJ12">
        <v>95.58</v>
      </c>
      <c r="AK12">
        <v>156.69999999999999</v>
      </c>
      <c r="AL12">
        <v>156.5</v>
      </c>
      <c r="AM12">
        <v>0.1</v>
      </c>
      <c r="AN12">
        <v>275</v>
      </c>
      <c r="AO12">
        <v>4.1029999999999998</v>
      </c>
      <c r="AP12">
        <v>12</v>
      </c>
      <c r="AQ12">
        <v>-35</v>
      </c>
      <c r="AR12">
        <v>182</v>
      </c>
      <c r="AZ12" s="3">
        <v>0</v>
      </c>
      <c r="BA12" t="s">
        <v>513</v>
      </c>
      <c r="BB12" t="s">
        <v>514</v>
      </c>
      <c r="BC12" t="s">
        <v>514</v>
      </c>
      <c r="BD12" t="s">
        <v>514</v>
      </c>
      <c r="BE12">
        <v>0</v>
      </c>
      <c r="BF12" t="s">
        <v>514</v>
      </c>
      <c r="BG12" s="3">
        <v>4.9618055555555561E-2</v>
      </c>
      <c r="BH12" s="1">
        <v>45149</v>
      </c>
      <c r="BI12">
        <v>-0.38</v>
      </c>
      <c r="BJ12">
        <v>0</v>
      </c>
      <c r="BK12">
        <v>-1E-3</v>
      </c>
      <c r="BL12">
        <v>-9999</v>
      </c>
      <c r="BM12">
        <v>7.9000000000000001E-2</v>
      </c>
      <c r="BN12">
        <v>0.29299999999999998</v>
      </c>
      <c r="BO12">
        <v>-9999</v>
      </c>
      <c r="BP12">
        <v>1</v>
      </c>
      <c r="BQ12">
        <v>150</v>
      </c>
      <c r="BR12">
        <v>5.0000000000000001E-3</v>
      </c>
      <c r="BS12">
        <v>2</v>
      </c>
      <c r="BT12">
        <v>0</v>
      </c>
      <c r="BU12" t="s">
        <v>200</v>
      </c>
      <c r="BV12">
        <v>7000</v>
      </c>
      <c r="BW12">
        <v>500</v>
      </c>
      <c r="BX12">
        <v>5</v>
      </c>
      <c r="BY12">
        <v>2</v>
      </c>
      <c r="BZ12">
        <v>300</v>
      </c>
      <c r="CA12">
        <v>300</v>
      </c>
      <c r="CB12">
        <v>300</v>
      </c>
      <c r="CC12">
        <v>426.13326999999998</v>
      </c>
      <c r="CD12">
        <v>25</v>
      </c>
      <c r="CE12">
        <v>-12.396837</v>
      </c>
      <c r="CF12">
        <v>426.01669299999998</v>
      </c>
      <c r="CG12">
        <v>424.9151</v>
      </c>
      <c r="CH12">
        <v>1.101593</v>
      </c>
      <c r="CI12">
        <v>2.5312290000000002</v>
      </c>
      <c r="CJ12">
        <v>2.5402969999999998</v>
      </c>
      <c r="CK12">
        <v>1.6666080000000001</v>
      </c>
      <c r="CL12">
        <v>0.94370900000000002</v>
      </c>
      <c r="CM12">
        <v>0.250778</v>
      </c>
      <c r="CN12">
        <v>-5.947E-3</v>
      </c>
      <c r="CO12">
        <v>0.19736600000000001</v>
      </c>
      <c r="CP12">
        <v>0.35000500000000001</v>
      </c>
      <c r="CQ12">
        <v>105.937241</v>
      </c>
      <c r="CR12">
        <v>3.6000000000000002E-4</v>
      </c>
      <c r="CS12">
        <v>2.4333689999999999</v>
      </c>
      <c r="CT12">
        <v>-3.6000000000000001E-5</v>
      </c>
      <c r="CU12">
        <v>1</v>
      </c>
      <c r="CV12">
        <v>2.4396819999999999</v>
      </c>
      <c r="CW12">
        <v>1.1E-5</v>
      </c>
      <c r="CX12">
        <v>1</v>
      </c>
      <c r="CY12">
        <v>0.60025499999999998</v>
      </c>
      <c r="CZ12">
        <v>0.60245199999999999</v>
      </c>
      <c r="DA12">
        <v>0.106742</v>
      </c>
      <c r="DB12">
        <v>0</v>
      </c>
      <c r="DC12" t="s">
        <v>527</v>
      </c>
      <c r="DD12" t="s">
        <v>515</v>
      </c>
      <c r="DE12" t="s">
        <v>516</v>
      </c>
      <c r="DF12" t="s">
        <v>517</v>
      </c>
      <c r="DG12" t="s">
        <v>518</v>
      </c>
      <c r="DH12" t="s">
        <v>205</v>
      </c>
      <c r="DI12" t="s">
        <v>519</v>
      </c>
    </row>
    <row r="13" spans="1:113">
      <c r="A13">
        <v>3</v>
      </c>
      <c r="B13" s="3">
        <v>5.0208333333333334E-2</v>
      </c>
      <c r="C13" s="1">
        <v>45149</v>
      </c>
      <c r="D13" t="s">
        <v>196</v>
      </c>
      <c r="E13" t="s">
        <v>197</v>
      </c>
      <c r="G13">
        <v>3</v>
      </c>
      <c r="J13">
        <v>2.362E-3</v>
      </c>
      <c r="K13">
        <v>2.920744</v>
      </c>
      <c r="L13">
        <v>2.3600000000000001E-3</v>
      </c>
      <c r="M13">
        <v>3.1985E-2</v>
      </c>
      <c r="N13">
        <v>2.2088169999999998</v>
      </c>
      <c r="O13">
        <v>2.2079740000000001</v>
      </c>
      <c r="P13">
        <v>3.4656880000000001</v>
      </c>
      <c r="Q13">
        <v>1.2568710000000001</v>
      </c>
      <c r="R13">
        <v>23.098199999999999</v>
      </c>
      <c r="S13">
        <v>23.107016000000002</v>
      </c>
      <c r="T13">
        <v>36.255470000000003</v>
      </c>
      <c r="U13">
        <v>0.44178600000000001</v>
      </c>
      <c r="V13" t="s">
        <v>528</v>
      </c>
      <c r="W13">
        <v>0</v>
      </c>
      <c r="X13">
        <v>0</v>
      </c>
      <c r="Y13">
        <v>0</v>
      </c>
      <c r="Z13">
        <v>102.480408</v>
      </c>
      <c r="AA13">
        <v>446.64373799999998</v>
      </c>
      <c r="AB13">
        <v>0.77055399999999996</v>
      </c>
      <c r="AC13">
        <v>0.5</v>
      </c>
      <c r="AD13">
        <v>0.8</v>
      </c>
      <c r="AE13">
        <v>25.100176000000001</v>
      </c>
      <c r="AF13">
        <v>61.39</v>
      </c>
      <c r="AG13">
        <v>61.37</v>
      </c>
      <c r="AH13">
        <v>27.09</v>
      </c>
      <c r="AI13">
        <v>26.45</v>
      </c>
      <c r="AJ13">
        <v>95.59</v>
      </c>
      <c r="AK13">
        <v>156.6</v>
      </c>
      <c r="AL13">
        <v>156.30000000000001</v>
      </c>
      <c r="AM13">
        <v>0.2</v>
      </c>
      <c r="AN13">
        <v>81</v>
      </c>
      <c r="AO13">
        <v>4.0810000000000004</v>
      </c>
      <c r="AP13">
        <v>27</v>
      </c>
      <c r="AQ13">
        <v>-17</v>
      </c>
      <c r="AR13">
        <v>221</v>
      </c>
      <c r="AZ13" s="3">
        <v>0</v>
      </c>
      <c r="BA13" t="s">
        <v>513</v>
      </c>
      <c r="BB13" t="s">
        <v>514</v>
      </c>
      <c r="BC13" t="s">
        <v>514</v>
      </c>
      <c r="BD13" t="s">
        <v>514</v>
      </c>
      <c r="BE13">
        <v>0</v>
      </c>
      <c r="BF13" t="s">
        <v>514</v>
      </c>
      <c r="BG13" s="3">
        <v>4.9618055555555561E-2</v>
      </c>
      <c r="BH13" s="1">
        <v>45149</v>
      </c>
      <c r="BI13">
        <v>-0.38</v>
      </c>
      <c r="BJ13">
        <v>-3.0000000000000001E-3</v>
      </c>
      <c r="BK13">
        <v>-1E-3</v>
      </c>
      <c r="BL13">
        <v>-9999</v>
      </c>
      <c r="BM13">
        <v>-2.9000000000000001E-2</v>
      </c>
      <c r="BN13">
        <v>7.0000000000000001E-3</v>
      </c>
      <c r="BO13">
        <v>-9999</v>
      </c>
      <c r="BP13">
        <v>1</v>
      </c>
      <c r="BQ13">
        <v>150</v>
      </c>
      <c r="BR13">
        <v>5.0000000000000001E-3</v>
      </c>
      <c r="BS13">
        <v>2</v>
      </c>
      <c r="BT13">
        <v>0</v>
      </c>
      <c r="BU13" t="s">
        <v>200</v>
      </c>
      <c r="BV13">
        <v>7000</v>
      </c>
      <c r="BW13">
        <v>500</v>
      </c>
      <c r="BX13">
        <v>5</v>
      </c>
      <c r="BY13">
        <v>2</v>
      </c>
      <c r="BZ13">
        <v>300</v>
      </c>
      <c r="CA13">
        <v>300</v>
      </c>
      <c r="CB13">
        <v>300</v>
      </c>
      <c r="CC13">
        <v>427.56842</v>
      </c>
      <c r="CD13">
        <v>25</v>
      </c>
      <c r="CE13">
        <v>-13.571737000000001</v>
      </c>
      <c r="CF13">
        <v>427.837738</v>
      </c>
      <c r="CG13">
        <v>427.28308099999998</v>
      </c>
      <c r="CH13">
        <v>0.55465699999999996</v>
      </c>
      <c r="CI13">
        <v>2.5340590000000001</v>
      </c>
      <c r="CJ13">
        <v>2.5428489999999999</v>
      </c>
      <c r="CK13">
        <v>1.6653739999999999</v>
      </c>
      <c r="CL13">
        <v>0.94323900000000005</v>
      </c>
      <c r="CM13">
        <v>0.25097399999999997</v>
      </c>
      <c r="CN13">
        <v>-6.6839999999999998E-3</v>
      </c>
      <c r="CO13">
        <v>0.20014399999999999</v>
      </c>
      <c r="CP13">
        <v>0.17877699999999999</v>
      </c>
      <c r="CQ13">
        <v>102.480408</v>
      </c>
      <c r="CR13">
        <v>3.6299999999999999E-4</v>
      </c>
      <c r="CS13">
        <v>2.4333689999999999</v>
      </c>
      <c r="CT13">
        <v>-3.6000000000000001E-5</v>
      </c>
      <c r="CU13">
        <v>1</v>
      </c>
      <c r="CV13">
        <v>2.4396819999999999</v>
      </c>
      <c r="CW13">
        <v>1.1E-5</v>
      </c>
      <c r="CX13">
        <v>1</v>
      </c>
      <c r="CY13">
        <v>0.60025499999999998</v>
      </c>
      <c r="CZ13">
        <v>0.60245199999999999</v>
      </c>
      <c r="DA13">
        <v>0.106742</v>
      </c>
      <c r="DB13">
        <v>0</v>
      </c>
      <c r="DC13" t="s">
        <v>528</v>
      </c>
      <c r="DD13" t="s">
        <v>515</v>
      </c>
      <c r="DE13" t="s">
        <v>516</v>
      </c>
      <c r="DF13" t="s">
        <v>517</v>
      </c>
      <c r="DG13" t="s">
        <v>518</v>
      </c>
      <c r="DH13" t="s">
        <v>205</v>
      </c>
      <c r="DI13" t="s">
        <v>519</v>
      </c>
    </row>
    <row r="14" spans="1:113">
      <c r="A14">
        <v>4</v>
      </c>
      <c r="B14" s="3">
        <v>5.0393518518518511E-2</v>
      </c>
      <c r="C14" s="1">
        <v>45149</v>
      </c>
      <c r="D14" t="s">
        <v>196</v>
      </c>
      <c r="E14" t="s">
        <v>197</v>
      </c>
      <c r="G14">
        <v>4</v>
      </c>
      <c r="J14">
        <v>1.485E-2</v>
      </c>
      <c r="K14">
        <v>2.9202270000000001</v>
      </c>
      <c r="L14">
        <v>1.4775E-2</v>
      </c>
      <c r="M14">
        <v>0.206571</v>
      </c>
      <c r="N14">
        <v>2.2655470000000002</v>
      </c>
      <c r="O14">
        <v>2.2601049999999998</v>
      </c>
      <c r="P14">
        <v>3.5613410000000001</v>
      </c>
      <c r="Q14">
        <v>1.2957939999999999</v>
      </c>
      <c r="R14">
        <v>23.643056999999999</v>
      </c>
      <c r="S14">
        <v>23.699981999999999</v>
      </c>
      <c r="T14">
        <v>37.255347999999998</v>
      </c>
      <c r="U14">
        <v>0.44178600000000001</v>
      </c>
      <c r="V14" t="s">
        <v>529</v>
      </c>
      <c r="W14">
        <v>0</v>
      </c>
      <c r="X14">
        <v>0</v>
      </c>
      <c r="Y14">
        <v>0</v>
      </c>
      <c r="Z14">
        <v>115.97120700000001</v>
      </c>
      <c r="AA14">
        <v>439.916901</v>
      </c>
      <c r="AB14">
        <v>0.73637900000000001</v>
      </c>
      <c r="AC14">
        <v>0.5</v>
      </c>
      <c r="AD14">
        <v>0.8</v>
      </c>
      <c r="AE14">
        <v>88.937118999999996</v>
      </c>
      <c r="AF14">
        <v>63.02</v>
      </c>
      <c r="AG14">
        <v>62.87</v>
      </c>
      <c r="AH14">
        <v>27.08</v>
      </c>
      <c r="AI14">
        <v>26.92</v>
      </c>
      <c r="AJ14">
        <v>95.59</v>
      </c>
      <c r="AK14">
        <v>156.5</v>
      </c>
      <c r="AL14">
        <v>156.4</v>
      </c>
      <c r="AM14">
        <v>0.1</v>
      </c>
      <c r="AN14">
        <v>302</v>
      </c>
      <c r="AO14">
        <v>4.1020000000000003</v>
      </c>
      <c r="AP14">
        <v>46</v>
      </c>
      <c r="AQ14">
        <v>-24</v>
      </c>
      <c r="AR14">
        <v>198</v>
      </c>
      <c r="AZ14" s="3">
        <v>0</v>
      </c>
      <c r="BA14" t="s">
        <v>513</v>
      </c>
      <c r="BB14" t="s">
        <v>514</v>
      </c>
      <c r="BC14" t="s">
        <v>514</v>
      </c>
      <c r="BD14" t="s">
        <v>514</v>
      </c>
      <c r="BE14">
        <v>0</v>
      </c>
      <c r="BF14" t="s">
        <v>514</v>
      </c>
      <c r="BG14" s="3">
        <v>4.9618055555555561E-2</v>
      </c>
      <c r="BH14" s="1">
        <v>45149</v>
      </c>
      <c r="BI14">
        <v>-0.38</v>
      </c>
      <c r="BJ14">
        <v>-1E-3</v>
      </c>
      <c r="BK14">
        <v>-2E-3</v>
      </c>
      <c r="BL14">
        <v>-1.2999999999999999E-2</v>
      </c>
      <c r="BM14">
        <v>0.34799999999999998</v>
      </c>
      <c r="BN14">
        <v>0.49</v>
      </c>
      <c r="BO14">
        <v>1.6559999999999999</v>
      </c>
      <c r="BP14">
        <v>1</v>
      </c>
      <c r="BQ14">
        <v>150</v>
      </c>
      <c r="BR14">
        <v>5.0000000000000001E-3</v>
      </c>
      <c r="BS14">
        <v>2</v>
      </c>
      <c r="BT14">
        <v>0</v>
      </c>
      <c r="BU14" t="s">
        <v>200</v>
      </c>
      <c r="BV14">
        <v>7000</v>
      </c>
      <c r="BW14">
        <v>500</v>
      </c>
      <c r="BX14">
        <v>5</v>
      </c>
      <c r="BY14">
        <v>2</v>
      </c>
      <c r="BZ14">
        <v>300</v>
      </c>
      <c r="CA14">
        <v>300</v>
      </c>
      <c r="CB14">
        <v>300</v>
      </c>
      <c r="CC14">
        <v>418.12454200000002</v>
      </c>
      <c r="CD14">
        <v>25</v>
      </c>
      <c r="CE14">
        <v>-15.573824</v>
      </c>
      <c r="CF14">
        <v>416.60821499999997</v>
      </c>
      <c r="CG14">
        <v>417.70019500000001</v>
      </c>
      <c r="CH14">
        <v>-1.09198</v>
      </c>
      <c r="CI14">
        <v>2.5362300000000002</v>
      </c>
      <c r="CJ14">
        <v>2.5452140000000001</v>
      </c>
      <c r="CK14">
        <v>1.66483</v>
      </c>
      <c r="CL14">
        <v>0.94352199999999997</v>
      </c>
      <c r="CM14">
        <v>0.25110100000000002</v>
      </c>
      <c r="CN14">
        <v>-1.147E-3</v>
      </c>
      <c r="CO14">
        <v>0.20241000000000001</v>
      </c>
      <c r="CP14">
        <v>0.37382700000000002</v>
      </c>
      <c r="CQ14">
        <v>115.97120700000001</v>
      </c>
      <c r="CR14">
        <v>3.5399999999999999E-4</v>
      </c>
      <c r="CS14">
        <v>2.4333689999999999</v>
      </c>
      <c r="CT14">
        <v>-3.6000000000000001E-5</v>
      </c>
      <c r="CU14">
        <v>1</v>
      </c>
      <c r="CV14">
        <v>2.4396819999999999</v>
      </c>
      <c r="CW14">
        <v>1.1E-5</v>
      </c>
      <c r="CX14">
        <v>1</v>
      </c>
      <c r="CY14">
        <v>0.60025499999999998</v>
      </c>
      <c r="CZ14">
        <v>0.60245199999999999</v>
      </c>
      <c r="DA14">
        <v>0.106742</v>
      </c>
      <c r="DB14">
        <v>0</v>
      </c>
      <c r="DC14" t="s">
        <v>529</v>
      </c>
      <c r="DD14" t="s">
        <v>515</v>
      </c>
      <c r="DE14" t="s">
        <v>516</v>
      </c>
      <c r="DF14" t="s">
        <v>517</v>
      </c>
      <c r="DG14" t="s">
        <v>518</v>
      </c>
      <c r="DH14" t="s">
        <v>205</v>
      </c>
      <c r="DI14" t="s">
        <v>519</v>
      </c>
    </row>
    <row r="15" spans="1:113">
      <c r="A15">
        <v>1</v>
      </c>
      <c r="B15" s="3">
        <v>5.5046296296296295E-2</v>
      </c>
      <c r="C15" s="1">
        <v>45149</v>
      </c>
      <c r="D15" t="s">
        <v>196</v>
      </c>
      <c r="E15" t="s">
        <v>197</v>
      </c>
      <c r="G15">
        <v>1</v>
      </c>
      <c r="J15">
        <v>5.6085999999999997E-2</v>
      </c>
      <c r="K15">
        <v>2.9223349999999999</v>
      </c>
      <c r="L15">
        <v>5.5030000000000003E-2</v>
      </c>
      <c r="M15">
        <v>0.75744999999999996</v>
      </c>
      <c r="N15">
        <v>2.089655</v>
      </c>
      <c r="O15">
        <v>2.0697040000000002</v>
      </c>
      <c r="P15">
        <v>3.3674940000000002</v>
      </c>
      <c r="Q15">
        <v>1.2778389999999999</v>
      </c>
      <c r="R15">
        <v>21.657323999999999</v>
      </c>
      <c r="S15">
        <v>21.866095999999999</v>
      </c>
      <c r="T15">
        <v>35.237369999999999</v>
      </c>
      <c r="U15">
        <v>0.44178600000000001</v>
      </c>
      <c r="V15" t="s">
        <v>530</v>
      </c>
      <c r="W15">
        <v>0</v>
      </c>
      <c r="X15">
        <v>0</v>
      </c>
      <c r="Y15">
        <v>0</v>
      </c>
      <c r="Z15">
        <v>94.941970999999995</v>
      </c>
      <c r="AA15">
        <v>387.52923600000003</v>
      </c>
      <c r="AB15">
        <v>0.75500699999999998</v>
      </c>
      <c r="AC15">
        <v>0.5</v>
      </c>
      <c r="AD15">
        <v>0.8</v>
      </c>
      <c r="AE15">
        <v>146.39331100000001</v>
      </c>
      <c r="AF15">
        <v>58.23</v>
      </c>
      <c r="AG15">
        <v>57.67</v>
      </c>
      <c r="AH15">
        <v>27.05</v>
      </c>
      <c r="AI15">
        <v>25.97</v>
      </c>
      <c r="AJ15">
        <v>95.57</v>
      </c>
      <c r="AK15">
        <v>156.80000000000001</v>
      </c>
      <c r="AL15">
        <v>156.5</v>
      </c>
      <c r="AM15">
        <v>0.2</v>
      </c>
      <c r="AN15">
        <v>485</v>
      </c>
      <c r="AO15">
        <v>4.0999999999999996</v>
      </c>
      <c r="AP15">
        <v>34</v>
      </c>
      <c r="AQ15">
        <v>10</v>
      </c>
      <c r="AR15">
        <v>292</v>
      </c>
      <c r="AZ15" s="3">
        <v>0</v>
      </c>
      <c r="BA15" t="s">
        <v>513</v>
      </c>
      <c r="BB15" t="s">
        <v>514</v>
      </c>
      <c r="BC15" t="s">
        <v>514</v>
      </c>
      <c r="BD15" t="s">
        <v>514</v>
      </c>
      <c r="BE15">
        <v>0</v>
      </c>
      <c r="BF15" t="s">
        <v>514</v>
      </c>
      <c r="BG15" s="3">
        <v>5.4930555555555559E-2</v>
      </c>
      <c r="BH15" s="1">
        <v>45149</v>
      </c>
      <c r="BI15">
        <v>-0.5</v>
      </c>
      <c r="BJ15">
        <v>-1E-3</v>
      </c>
      <c r="BK15">
        <v>0</v>
      </c>
      <c r="BL15">
        <v>-3.3000000000000002E-2</v>
      </c>
      <c r="BM15">
        <v>0.42499999999999999</v>
      </c>
      <c r="BN15">
        <v>-0.34200000000000003</v>
      </c>
      <c r="BO15">
        <v>-9.8000000000000004E-2</v>
      </c>
      <c r="BP15">
        <v>1</v>
      </c>
      <c r="BQ15">
        <v>150</v>
      </c>
      <c r="BR15">
        <v>5.0000000000000001E-3</v>
      </c>
      <c r="BS15">
        <v>2</v>
      </c>
      <c r="BT15">
        <v>0</v>
      </c>
      <c r="BU15" t="s">
        <v>200</v>
      </c>
      <c r="BV15">
        <v>7000</v>
      </c>
      <c r="BW15">
        <v>500</v>
      </c>
      <c r="BX15">
        <v>5</v>
      </c>
      <c r="BY15">
        <v>2</v>
      </c>
      <c r="BZ15">
        <v>300</v>
      </c>
      <c r="CA15">
        <v>300</v>
      </c>
      <c r="CB15">
        <v>300</v>
      </c>
      <c r="CC15">
        <v>368.23046900000003</v>
      </c>
      <c r="CD15">
        <v>25</v>
      </c>
      <c r="CE15">
        <v>-13.396051</v>
      </c>
      <c r="CF15">
        <v>370.58544899999998</v>
      </c>
      <c r="CG15">
        <v>368.41922</v>
      </c>
      <c r="CH15">
        <v>2.166229</v>
      </c>
      <c r="CI15">
        <v>2.5286930000000001</v>
      </c>
      <c r="CJ15">
        <v>2.538411</v>
      </c>
      <c r="CK15">
        <v>1.667052</v>
      </c>
      <c r="CL15">
        <v>0.94363300000000006</v>
      </c>
      <c r="CM15">
        <v>0.25139499999999998</v>
      </c>
      <c r="CN15">
        <v>-1.1823E-2</v>
      </c>
      <c r="CO15">
        <v>0.16306999999999999</v>
      </c>
      <c r="CP15">
        <v>0.53552599999999995</v>
      </c>
      <c r="CQ15">
        <v>94.941970999999995</v>
      </c>
      <c r="CR15">
        <v>3.59E-4</v>
      </c>
      <c r="CS15">
        <v>2.4333689999999999</v>
      </c>
      <c r="CT15">
        <v>-3.6000000000000001E-5</v>
      </c>
      <c r="CU15">
        <v>1</v>
      </c>
      <c r="CV15">
        <v>2.4396819999999999</v>
      </c>
      <c r="CW15">
        <v>1.1E-5</v>
      </c>
      <c r="CX15">
        <v>1</v>
      </c>
      <c r="CY15">
        <v>0.60025499999999998</v>
      </c>
      <c r="CZ15">
        <v>0.60245199999999999</v>
      </c>
      <c r="DA15">
        <v>0.106742</v>
      </c>
      <c r="DB15">
        <v>0</v>
      </c>
      <c r="DC15" t="s">
        <v>530</v>
      </c>
      <c r="DD15" t="s">
        <v>515</v>
      </c>
      <c r="DE15" t="s">
        <v>516</v>
      </c>
      <c r="DF15" t="s">
        <v>517</v>
      </c>
      <c r="DG15" t="s">
        <v>518</v>
      </c>
      <c r="DH15" t="s">
        <v>205</v>
      </c>
      <c r="DI15" t="s">
        <v>519</v>
      </c>
    </row>
    <row r="16" spans="1:113">
      <c r="A16">
        <v>2</v>
      </c>
      <c r="B16" s="3">
        <v>5.5219907407407405E-2</v>
      </c>
      <c r="C16" s="1">
        <v>45149</v>
      </c>
      <c r="D16" t="s">
        <v>196</v>
      </c>
      <c r="E16" t="s">
        <v>197</v>
      </c>
      <c r="G16">
        <v>2</v>
      </c>
      <c r="J16">
        <v>1.9982E-2</v>
      </c>
      <c r="K16">
        <v>2.9191880000000001</v>
      </c>
      <c r="L16">
        <v>1.9845999999999999E-2</v>
      </c>
      <c r="M16">
        <v>0.29478599999999999</v>
      </c>
      <c r="N16">
        <v>2.1295799999999998</v>
      </c>
      <c r="O16">
        <v>2.1217999999999999</v>
      </c>
      <c r="P16">
        <v>3.5071469999999998</v>
      </c>
      <c r="Q16">
        <v>1.377567</v>
      </c>
      <c r="R16">
        <v>22.203094</v>
      </c>
      <c r="S16">
        <v>22.284513</v>
      </c>
      <c r="T16">
        <v>36.699745</v>
      </c>
      <c r="U16">
        <v>0.44178600000000001</v>
      </c>
      <c r="V16" t="s">
        <v>531</v>
      </c>
      <c r="W16">
        <v>0</v>
      </c>
      <c r="X16">
        <v>0</v>
      </c>
      <c r="Y16">
        <v>0</v>
      </c>
      <c r="Z16">
        <v>86.045981999999995</v>
      </c>
      <c r="AA16">
        <v>261.19766199999998</v>
      </c>
      <c r="AB16">
        <v>0.67057100000000003</v>
      </c>
      <c r="AC16">
        <v>0.5</v>
      </c>
      <c r="AD16">
        <v>0.8</v>
      </c>
      <c r="AE16">
        <v>103.031738</v>
      </c>
      <c r="AF16">
        <v>59.44</v>
      </c>
      <c r="AG16">
        <v>59.22</v>
      </c>
      <c r="AH16">
        <v>27.02</v>
      </c>
      <c r="AI16">
        <v>26.65</v>
      </c>
      <c r="AJ16">
        <v>95.56</v>
      </c>
      <c r="AK16">
        <v>156.4</v>
      </c>
      <c r="AL16">
        <v>156.5</v>
      </c>
      <c r="AM16">
        <v>-0.1</v>
      </c>
      <c r="AN16">
        <v>384</v>
      </c>
      <c r="AO16">
        <v>4.101</v>
      </c>
      <c r="AP16">
        <v>33</v>
      </c>
      <c r="AQ16">
        <v>-7</v>
      </c>
      <c r="AR16">
        <v>269</v>
      </c>
      <c r="AZ16" s="3">
        <v>0</v>
      </c>
      <c r="BA16" t="s">
        <v>513</v>
      </c>
      <c r="BB16" t="s">
        <v>514</v>
      </c>
      <c r="BC16" t="s">
        <v>514</v>
      </c>
      <c r="BD16" t="s">
        <v>514</v>
      </c>
      <c r="BE16">
        <v>0</v>
      </c>
      <c r="BF16" t="s">
        <v>514</v>
      </c>
      <c r="BG16" s="3">
        <v>5.4930555555555559E-2</v>
      </c>
      <c r="BH16" s="1">
        <v>45149</v>
      </c>
      <c r="BI16">
        <v>-0.5</v>
      </c>
      <c r="BJ16">
        <v>2E-3</v>
      </c>
      <c r="BK16">
        <v>1E-3</v>
      </c>
      <c r="BL16">
        <v>-9999</v>
      </c>
      <c r="BM16">
        <v>0.60699999999999998</v>
      </c>
      <c r="BN16">
        <v>1.125</v>
      </c>
      <c r="BO16">
        <v>-9999</v>
      </c>
      <c r="BP16">
        <v>1</v>
      </c>
      <c r="BQ16">
        <v>150</v>
      </c>
      <c r="BR16">
        <v>5.0000000000000001E-3</v>
      </c>
      <c r="BS16">
        <v>2</v>
      </c>
      <c r="BT16">
        <v>0</v>
      </c>
      <c r="BU16" t="s">
        <v>200</v>
      </c>
      <c r="BV16">
        <v>7000</v>
      </c>
      <c r="BW16">
        <v>500</v>
      </c>
      <c r="BX16">
        <v>5</v>
      </c>
      <c r="BY16">
        <v>2</v>
      </c>
      <c r="BZ16">
        <v>300</v>
      </c>
      <c r="CA16">
        <v>300</v>
      </c>
      <c r="CB16">
        <v>300</v>
      </c>
      <c r="CC16">
        <v>252.787476</v>
      </c>
      <c r="CD16">
        <v>25</v>
      </c>
      <c r="CE16">
        <v>-5.7409030000000003</v>
      </c>
      <c r="CF16">
        <v>257.94339000000002</v>
      </c>
      <c r="CG16">
        <v>253.008026</v>
      </c>
      <c r="CH16">
        <v>4.9353639999999999</v>
      </c>
      <c r="CI16">
        <v>2.5309590000000002</v>
      </c>
      <c r="CJ16">
        <v>2.5401889999999998</v>
      </c>
      <c r="CK16">
        <v>1.6637390000000001</v>
      </c>
      <c r="CL16">
        <v>0.94372900000000004</v>
      </c>
      <c r="CM16">
        <v>0.251689</v>
      </c>
      <c r="CN16">
        <v>-3.4949999999999998E-3</v>
      </c>
      <c r="CO16">
        <v>0.16545399999999999</v>
      </c>
      <c r="CP16">
        <v>0.446519</v>
      </c>
      <c r="CQ16">
        <v>86.045981999999995</v>
      </c>
      <c r="CR16">
        <v>3.59E-4</v>
      </c>
      <c r="CS16">
        <v>2.4333689999999999</v>
      </c>
      <c r="CT16">
        <v>-3.6000000000000001E-5</v>
      </c>
      <c r="CU16">
        <v>1</v>
      </c>
      <c r="CV16">
        <v>2.4396819999999999</v>
      </c>
      <c r="CW16">
        <v>1.1E-5</v>
      </c>
      <c r="CX16">
        <v>1</v>
      </c>
      <c r="CY16">
        <v>0.60025499999999998</v>
      </c>
      <c r="CZ16">
        <v>0.60245199999999999</v>
      </c>
      <c r="DA16">
        <v>0.106742</v>
      </c>
      <c r="DB16">
        <v>0</v>
      </c>
      <c r="DC16" t="s">
        <v>531</v>
      </c>
      <c r="DD16" t="s">
        <v>515</v>
      </c>
      <c r="DE16" t="s">
        <v>516</v>
      </c>
      <c r="DF16" t="s">
        <v>517</v>
      </c>
      <c r="DG16" t="s">
        <v>518</v>
      </c>
      <c r="DH16" t="s">
        <v>205</v>
      </c>
      <c r="DI16" t="s">
        <v>519</v>
      </c>
    </row>
    <row r="17" spans="1:113">
      <c r="A17">
        <v>3</v>
      </c>
      <c r="B17" s="3">
        <v>5.545138888888889E-2</v>
      </c>
      <c r="C17" s="1">
        <v>45149</v>
      </c>
      <c r="D17" t="s">
        <v>196</v>
      </c>
      <c r="E17" t="s">
        <v>197</v>
      </c>
      <c r="G17">
        <v>3</v>
      </c>
      <c r="J17">
        <v>3.8275999999999998E-2</v>
      </c>
      <c r="K17">
        <v>2.9206940000000001</v>
      </c>
      <c r="L17">
        <v>3.7781000000000002E-2</v>
      </c>
      <c r="M17">
        <v>0.59973900000000002</v>
      </c>
      <c r="N17">
        <v>2.148555</v>
      </c>
      <c r="O17">
        <v>2.1327470000000002</v>
      </c>
      <c r="P17">
        <v>3.6197460000000001</v>
      </c>
      <c r="Q17">
        <v>1.4711909999999999</v>
      </c>
      <c r="R17">
        <v>22.317945000000002</v>
      </c>
      <c r="S17">
        <v>22.483360000000001</v>
      </c>
      <c r="T17">
        <v>37.878509999999999</v>
      </c>
      <c r="U17">
        <v>0.44178600000000001</v>
      </c>
      <c r="V17" t="s">
        <v>532</v>
      </c>
      <c r="W17">
        <v>0</v>
      </c>
      <c r="X17">
        <v>0</v>
      </c>
      <c r="Y17">
        <v>0</v>
      </c>
      <c r="Z17">
        <v>206.04621900000001</v>
      </c>
      <c r="AA17">
        <v>420.76901199999998</v>
      </c>
      <c r="AB17">
        <v>0.51031000000000004</v>
      </c>
      <c r="AC17">
        <v>0.5</v>
      </c>
      <c r="AD17">
        <v>0.8</v>
      </c>
      <c r="AE17">
        <v>119.898392</v>
      </c>
      <c r="AF17">
        <v>60.11</v>
      </c>
      <c r="AG17">
        <v>59.66</v>
      </c>
      <c r="AH17">
        <v>26.98</v>
      </c>
      <c r="AI17">
        <v>27.19</v>
      </c>
      <c r="AJ17">
        <v>95.56</v>
      </c>
      <c r="AK17">
        <v>156.6</v>
      </c>
      <c r="AL17">
        <v>156.4</v>
      </c>
      <c r="AM17">
        <v>0.1</v>
      </c>
      <c r="AN17">
        <v>587</v>
      </c>
      <c r="AO17">
        <v>4.0999999999999996</v>
      </c>
      <c r="AP17">
        <v>52</v>
      </c>
      <c r="AQ17">
        <v>-70</v>
      </c>
      <c r="AR17">
        <v>204</v>
      </c>
      <c r="AZ17" s="3">
        <v>0</v>
      </c>
      <c r="BA17" t="s">
        <v>513</v>
      </c>
      <c r="BB17" t="s">
        <v>514</v>
      </c>
      <c r="BC17" t="s">
        <v>514</v>
      </c>
      <c r="BD17" t="s">
        <v>514</v>
      </c>
      <c r="BE17">
        <v>0</v>
      </c>
      <c r="BF17" t="s">
        <v>514</v>
      </c>
      <c r="BG17" s="3">
        <v>5.4930555555555559E-2</v>
      </c>
      <c r="BH17" s="1">
        <v>45149</v>
      </c>
      <c r="BI17">
        <v>-0.5</v>
      </c>
      <c r="BJ17">
        <v>-2E-3</v>
      </c>
      <c r="BK17">
        <v>-3.0000000000000001E-3</v>
      </c>
      <c r="BL17">
        <v>-0.01</v>
      </c>
      <c r="BM17">
        <v>-1.149</v>
      </c>
      <c r="BN17">
        <v>-2.726</v>
      </c>
      <c r="BO17">
        <v>-12.186999999999999</v>
      </c>
      <c r="BP17">
        <v>1</v>
      </c>
      <c r="BQ17">
        <v>150</v>
      </c>
      <c r="BR17">
        <v>5.0000000000000001E-3</v>
      </c>
      <c r="BS17">
        <v>2</v>
      </c>
      <c r="BT17">
        <v>0</v>
      </c>
      <c r="BU17" t="s">
        <v>200</v>
      </c>
      <c r="BV17">
        <v>7000</v>
      </c>
      <c r="BW17">
        <v>500</v>
      </c>
      <c r="BX17">
        <v>5</v>
      </c>
      <c r="BY17">
        <v>2</v>
      </c>
      <c r="BZ17">
        <v>300</v>
      </c>
      <c r="CA17">
        <v>300</v>
      </c>
      <c r="CB17">
        <v>300</v>
      </c>
      <c r="CC17">
        <v>412.13644399999998</v>
      </c>
      <c r="CD17">
        <v>25</v>
      </c>
      <c r="CE17">
        <v>-6.2478300000000004</v>
      </c>
      <c r="CF17">
        <v>410.328979</v>
      </c>
      <c r="CG17">
        <v>411.85623199999998</v>
      </c>
      <c r="CH17">
        <v>-1.5272520000000001</v>
      </c>
      <c r="CI17">
        <v>2.5316070000000002</v>
      </c>
      <c r="CJ17">
        <v>2.5411649999999999</v>
      </c>
      <c r="CK17">
        <v>1.6653210000000001</v>
      </c>
      <c r="CL17">
        <v>0.94357899999999995</v>
      </c>
      <c r="CM17">
        <v>0.25207499999999999</v>
      </c>
      <c r="CN17">
        <v>3.2420000000000001E-3</v>
      </c>
      <c r="CO17">
        <v>0.168429</v>
      </c>
      <c r="CP17">
        <v>0.62631599999999998</v>
      </c>
      <c r="CQ17">
        <v>206.04621900000001</v>
      </c>
      <c r="CR17">
        <v>3.4900000000000003E-4</v>
      </c>
      <c r="CS17">
        <v>2.4333689999999999</v>
      </c>
      <c r="CT17">
        <v>-3.6000000000000001E-5</v>
      </c>
      <c r="CU17">
        <v>1</v>
      </c>
      <c r="CV17">
        <v>2.4396819999999999</v>
      </c>
      <c r="CW17">
        <v>1.1E-5</v>
      </c>
      <c r="CX17">
        <v>1</v>
      </c>
      <c r="CY17">
        <v>0.60025499999999998</v>
      </c>
      <c r="CZ17">
        <v>0.60245199999999999</v>
      </c>
      <c r="DA17">
        <v>0.106742</v>
      </c>
      <c r="DB17">
        <v>0</v>
      </c>
      <c r="DC17" t="s">
        <v>532</v>
      </c>
      <c r="DD17" t="s">
        <v>515</v>
      </c>
      <c r="DE17" t="s">
        <v>516</v>
      </c>
      <c r="DF17" t="s">
        <v>517</v>
      </c>
      <c r="DG17" t="s">
        <v>518</v>
      </c>
      <c r="DH17" t="s">
        <v>205</v>
      </c>
      <c r="DI17" t="s">
        <v>519</v>
      </c>
    </row>
    <row r="18" spans="1:113">
      <c r="A18">
        <v>4</v>
      </c>
      <c r="B18" s="3">
        <v>5.5636574074074074E-2</v>
      </c>
      <c r="C18" s="1">
        <v>45149</v>
      </c>
      <c r="D18" t="s">
        <v>196</v>
      </c>
      <c r="E18" t="s">
        <v>197</v>
      </c>
      <c r="G18">
        <v>4</v>
      </c>
      <c r="J18">
        <v>-1.5372E-2</v>
      </c>
      <c r="K18">
        <v>2.9207169999999998</v>
      </c>
      <c r="L18">
        <v>-1.5453E-2</v>
      </c>
      <c r="M18">
        <v>-0.22836400000000001</v>
      </c>
      <c r="N18">
        <v>2.188043</v>
      </c>
      <c r="O18">
        <v>2.1940590000000002</v>
      </c>
      <c r="P18">
        <v>3.5578219999999998</v>
      </c>
      <c r="Q18">
        <v>1.36978</v>
      </c>
      <c r="R18">
        <v>22.958573999999999</v>
      </c>
      <c r="S18">
        <v>22.895617000000001</v>
      </c>
      <c r="T18">
        <v>37.228957999999999</v>
      </c>
      <c r="U18">
        <v>0.44178600000000001</v>
      </c>
      <c r="V18" t="s">
        <v>533</v>
      </c>
      <c r="W18">
        <v>0</v>
      </c>
      <c r="X18">
        <v>0</v>
      </c>
      <c r="Y18">
        <v>0</v>
      </c>
      <c r="Z18">
        <v>104.081512</v>
      </c>
      <c r="AA18">
        <v>258.59249899999998</v>
      </c>
      <c r="AB18">
        <v>0.59750800000000004</v>
      </c>
      <c r="AC18">
        <v>0.5</v>
      </c>
      <c r="AD18">
        <v>0.8</v>
      </c>
      <c r="AE18">
        <v>7.9776400000000001</v>
      </c>
      <c r="AF18">
        <v>61.3</v>
      </c>
      <c r="AG18">
        <v>61.47</v>
      </c>
      <c r="AH18">
        <v>26.95</v>
      </c>
      <c r="AI18">
        <v>26.9</v>
      </c>
      <c r="AJ18">
        <v>95.57</v>
      </c>
      <c r="AK18">
        <v>156.6</v>
      </c>
      <c r="AL18">
        <v>156.69999999999999</v>
      </c>
      <c r="AM18">
        <v>-0.1</v>
      </c>
      <c r="AN18">
        <v>33</v>
      </c>
      <c r="AO18">
        <v>4.0990000000000002</v>
      </c>
      <c r="AP18">
        <v>32</v>
      </c>
      <c r="AQ18">
        <v>-13</v>
      </c>
      <c r="AR18">
        <v>310</v>
      </c>
      <c r="AZ18" s="3">
        <v>0</v>
      </c>
      <c r="BA18" t="s">
        <v>513</v>
      </c>
      <c r="BB18" t="s">
        <v>514</v>
      </c>
      <c r="BC18" t="s">
        <v>514</v>
      </c>
      <c r="BD18" t="s">
        <v>514</v>
      </c>
      <c r="BE18">
        <v>0</v>
      </c>
      <c r="BF18" t="s">
        <v>514</v>
      </c>
      <c r="BG18" s="3">
        <v>5.4930555555555559E-2</v>
      </c>
      <c r="BH18" s="1">
        <v>45149</v>
      </c>
      <c r="BI18">
        <v>-0.5</v>
      </c>
      <c r="BJ18">
        <v>-2E-3</v>
      </c>
      <c r="BK18">
        <v>-3.0000000000000001E-3</v>
      </c>
      <c r="BL18">
        <v>-9999</v>
      </c>
      <c r="BM18">
        <v>1.1220000000000001</v>
      </c>
      <c r="BN18">
        <v>1.286</v>
      </c>
      <c r="BO18">
        <v>-9999</v>
      </c>
      <c r="BP18">
        <v>1</v>
      </c>
      <c r="BQ18">
        <v>150</v>
      </c>
      <c r="BR18">
        <v>5.0000000000000001E-3</v>
      </c>
      <c r="BS18">
        <v>2</v>
      </c>
      <c r="BT18">
        <v>0</v>
      </c>
      <c r="BU18" t="s">
        <v>200</v>
      </c>
      <c r="BV18">
        <v>7000</v>
      </c>
      <c r="BW18">
        <v>500</v>
      </c>
      <c r="BX18">
        <v>5</v>
      </c>
      <c r="BY18">
        <v>2</v>
      </c>
      <c r="BZ18">
        <v>300</v>
      </c>
      <c r="CA18">
        <v>300</v>
      </c>
      <c r="CB18">
        <v>300</v>
      </c>
      <c r="CC18">
        <v>258.59249899999998</v>
      </c>
      <c r="CD18">
        <v>25</v>
      </c>
      <c r="CE18">
        <v>2.7322820000000001</v>
      </c>
      <c r="CF18">
        <v>262.080444</v>
      </c>
      <c r="CG18">
        <v>262.49020400000001</v>
      </c>
      <c r="CH18">
        <v>-0.40976000000000001</v>
      </c>
      <c r="CI18">
        <v>2.5342359999999999</v>
      </c>
      <c r="CJ18">
        <v>2.5429140000000001</v>
      </c>
      <c r="CK18">
        <v>1.665346</v>
      </c>
      <c r="CL18">
        <v>0.94416999999999995</v>
      </c>
      <c r="CM18">
        <v>0.252334</v>
      </c>
      <c r="CN18">
        <v>1.06E-4</v>
      </c>
      <c r="CO18">
        <v>0.17085</v>
      </c>
      <c r="CP18">
        <v>0.136268</v>
      </c>
      <c r="CQ18">
        <v>104.081512</v>
      </c>
      <c r="CR18">
        <v>3.6400000000000001E-4</v>
      </c>
      <c r="CS18">
        <v>2.4333689999999999</v>
      </c>
      <c r="CT18">
        <v>-3.6000000000000001E-5</v>
      </c>
      <c r="CU18">
        <v>1</v>
      </c>
      <c r="CV18">
        <v>2.4396819999999999</v>
      </c>
      <c r="CW18">
        <v>1.1E-5</v>
      </c>
      <c r="CX18">
        <v>1</v>
      </c>
      <c r="CY18">
        <v>0.60025499999999998</v>
      </c>
      <c r="CZ18">
        <v>0.60245199999999999</v>
      </c>
      <c r="DA18">
        <v>0.106742</v>
      </c>
      <c r="DB18">
        <v>0</v>
      </c>
      <c r="DC18" t="s">
        <v>533</v>
      </c>
      <c r="DD18" t="s">
        <v>515</v>
      </c>
      <c r="DE18" t="s">
        <v>516</v>
      </c>
      <c r="DF18" t="s">
        <v>517</v>
      </c>
      <c r="DG18" t="s">
        <v>518</v>
      </c>
      <c r="DH18" t="s">
        <v>205</v>
      </c>
      <c r="DI18" t="s">
        <v>519</v>
      </c>
    </row>
    <row r="19" spans="1:113">
      <c r="A19">
        <v>1</v>
      </c>
      <c r="B19" s="3">
        <v>5.9131944444444445E-2</v>
      </c>
      <c r="C19" s="1">
        <v>45149</v>
      </c>
      <c r="D19" t="s">
        <v>196</v>
      </c>
      <c r="E19" t="s">
        <v>197</v>
      </c>
      <c r="G19">
        <v>1</v>
      </c>
      <c r="J19">
        <v>4.5531000000000002E-2</v>
      </c>
      <c r="K19">
        <v>2.9190469999999999</v>
      </c>
      <c r="L19">
        <v>4.4831999999999997E-2</v>
      </c>
      <c r="M19">
        <v>0.54467299999999996</v>
      </c>
      <c r="N19">
        <v>2.1545619999999999</v>
      </c>
      <c r="O19">
        <v>2.1401859999999999</v>
      </c>
      <c r="P19">
        <v>3.2826759999999999</v>
      </c>
      <c r="Q19">
        <v>1.128115</v>
      </c>
      <c r="R19">
        <v>22.39303</v>
      </c>
      <c r="S19">
        <v>22.543444000000001</v>
      </c>
      <c r="T19">
        <v>34.347050000000003</v>
      </c>
      <c r="U19">
        <v>0.44178600000000001</v>
      </c>
      <c r="V19" t="s">
        <v>534</v>
      </c>
      <c r="W19">
        <v>0</v>
      </c>
      <c r="X19">
        <v>0</v>
      </c>
      <c r="Y19">
        <v>0</v>
      </c>
      <c r="Z19">
        <v>99.046829000000002</v>
      </c>
      <c r="AA19">
        <v>426.01907299999999</v>
      </c>
      <c r="AB19">
        <v>0.76750600000000002</v>
      </c>
      <c r="AC19">
        <v>0.5</v>
      </c>
      <c r="AD19">
        <v>0.8</v>
      </c>
      <c r="AE19">
        <v>156.083237</v>
      </c>
      <c r="AF19">
        <v>62.14</v>
      </c>
      <c r="AG19">
        <v>61.72</v>
      </c>
      <c r="AH19">
        <v>26.46</v>
      </c>
      <c r="AI19">
        <v>25.54</v>
      </c>
      <c r="AJ19">
        <v>95.57</v>
      </c>
      <c r="AK19">
        <v>156.4</v>
      </c>
      <c r="AL19">
        <v>156.4</v>
      </c>
      <c r="AM19">
        <v>0</v>
      </c>
      <c r="AN19">
        <v>508</v>
      </c>
      <c r="AO19">
        <v>4.0979999999999999</v>
      </c>
      <c r="AP19">
        <v>30</v>
      </c>
      <c r="AQ19">
        <v>-23</v>
      </c>
      <c r="AR19">
        <v>249</v>
      </c>
      <c r="AZ19" s="3">
        <v>0</v>
      </c>
      <c r="BA19" t="s">
        <v>513</v>
      </c>
      <c r="BB19" t="s">
        <v>514</v>
      </c>
      <c r="BC19" t="s">
        <v>514</v>
      </c>
      <c r="BD19" t="s">
        <v>514</v>
      </c>
      <c r="BE19">
        <v>0</v>
      </c>
      <c r="BF19" t="s">
        <v>514</v>
      </c>
      <c r="BG19" s="3">
        <v>5.8993055555555556E-2</v>
      </c>
      <c r="BH19" s="1">
        <v>45149</v>
      </c>
      <c r="BI19">
        <v>-0.46</v>
      </c>
      <c r="BJ19">
        <v>0</v>
      </c>
      <c r="BK19">
        <v>-2E-3</v>
      </c>
      <c r="BL19">
        <v>-1.2999999999999999E-2</v>
      </c>
      <c r="BM19">
        <v>4.3999999999999997E-2</v>
      </c>
      <c r="BN19">
        <v>0.108</v>
      </c>
      <c r="BO19">
        <v>0.13700000000000001</v>
      </c>
      <c r="BP19">
        <v>1</v>
      </c>
      <c r="BQ19">
        <v>150</v>
      </c>
      <c r="BR19">
        <v>5.0000000000000001E-3</v>
      </c>
      <c r="BS19">
        <v>2</v>
      </c>
      <c r="BT19">
        <v>0</v>
      </c>
      <c r="BU19" t="s">
        <v>200</v>
      </c>
      <c r="BV19">
        <v>7000</v>
      </c>
      <c r="BW19">
        <v>500</v>
      </c>
      <c r="BX19">
        <v>5</v>
      </c>
      <c r="BY19">
        <v>2</v>
      </c>
      <c r="BZ19">
        <v>300</v>
      </c>
      <c r="CA19">
        <v>300</v>
      </c>
      <c r="CB19">
        <v>300</v>
      </c>
      <c r="CC19">
        <v>407.16754200000003</v>
      </c>
      <c r="CD19">
        <v>25</v>
      </c>
      <c r="CE19">
        <v>-13.227684999999999</v>
      </c>
      <c r="CF19">
        <v>410.36654700000003</v>
      </c>
      <c r="CG19">
        <v>407.14923099999999</v>
      </c>
      <c r="CH19">
        <v>3.2173159999999998</v>
      </c>
      <c r="CI19">
        <v>2.5347029999999999</v>
      </c>
      <c r="CJ19">
        <v>2.5441400000000001</v>
      </c>
      <c r="CK19">
        <v>1.663591</v>
      </c>
      <c r="CL19">
        <v>0.94351200000000002</v>
      </c>
      <c r="CM19">
        <v>0.25731199999999999</v>
      </c>
      <c r="CN19">
        <v>-9.9380000000000007E-3</v>
      </c>
      <c r="CO19">
        <v>0.165685</v>
      </c>
      <c r="CP19">
        <v>0.55646300000000004</v>
      </c>
      <c r="CQ19">
        <v>99.046829000000002</v>
      </c>
      <c r="CR19">
        <v>3.6099999999999999E-4</v>
      </c>
      <c r="CS19">
        <v>2.4333689999999999</v>
      </c>
      <c r="CT19">
        <v>-3.6000000000000001E-5</v>
      </c>
      <c r="CU19">
        <v>1</v>
      </c>
      <c r="CV19">
        <v>2.4396819999999999</v>
      </c>
      <c r="CW19">
        <v>1.1E-5</v>
      </c>
      <c r="CX19">
        <v>1</v>
      </c>
      <c r="CY19">
        <v>0.60025499999999998</v>
      </c>
      <c r="CZ19">
        <v>0.60245199999999999</v>
      </c>
      <c r="DA19">
        <v>0.106742</v>
      </c>
      <c r="DB19">
        <v>0</v>
      </c>
      <c r="DC19" t="s">
        <v>534</v>
      </c>
      <c r="DD19" t="s">
        <v>515</v>
      </c>
      <c r="DE19" t="s">
        <v>516</v>
      </c>
      <c r="DF19" t="s">
        <v>517</v>
      </c>
      <c r="DG19" t="s">
        <v>518</v>
      </c>
      <c r="DH19" t="s">
        <v>205</v>
      </c>
      <c r="DI19" t="s">
        <v>519</v>
      </c>
    </row>
    <row r="20" spans="1:113">
      <c r="A20">
        <v>2</v>
      </c>
      <c r="B20" s="3">
        <v>5.9513888888888887E-2</v>
      </c>
      <c r="C20" s="1">
        <v>45149</v>
      </c>
      <c r="D20" t="s">
        <v>196</v>
      </c>
      <c r="E20" t="s">
        <v>197</v>
      </c>
      <c r="G20">
        <v>2</v>
      </c>
      <c r="J20">
        <v>0.277812</v>
      </c>
      <c r="K20">
        <v>2.9209480000000001</v>
      </c>
      <c r="L20">
        <v>0.25368400000000002</v>
      </c>
      <c r="M20">
        <v>2.5074320000000001</v>
      </c>
      <c r="N20">
        <v>2.2725230000000001</v>
      </c>
      <c r="O20">
        <v>2.2065269999999999</v>
      </c>
      <c r="P20">
        <v>3.1901920000000001</v>
      </c>
      <c r="Q20">
        <v>0.91766999999999999</v>
      </c>
      <c r="R20">
        <v>23.086983</v>
      </c>
      <c r="S20">
        <v>23.777501999999998</v>
      </c>
      <c r="T20">
        <v>33.37912</v>
      </c>
      <c r="U20">
        <v>0.44178600000000001</v>
      </c>
      <c r="V20" t="s">
        <v>535</v>
      </c>
      <c r="W20">
        <v>0</v>
      </c>
      <c r="X20">
        <v>0</v>
      </c>
      <c r="Y20">
        <v>0</v>
      </c>
      <c r="Z20">
        <v>95.196960000000004</v>
      </c>
      <c r="AA20">
        <v>419.15863000000002</v>
      </c>
      <c r="AB20">
        <v>0.77288599999999996</v>
      </c>
      <c r="AC20">
        <v>0.5</v>
      </c>
      <c r="AD20">
        <v>0.8</v>
      </c>
      <c r="AE20">
        <v>168.22369399999999</v>
      </c>
      <c r="AF20">
        <v>65.760000000000005</v>
      </c>
      <c r="AG20">
        <v>63.85</v>
      </c>
      <c r="AH20">
        <v>26.4</v>
      </c>
      <c r="AI20">
        <v>25.06</v>
      </c>
      <c r="AJ20">
        <v>95.57</v>
      </c>
      <c r="AK20">
        <v>156.6</v>
      </c>
      <c r="AL20">
        <v>156.6</v>
      </c>
      <c r="AM20">
        <v>0</v>
      </c>
      <c r="AN20">
        <v>544</v>
      </c>
      <c r="AO20">
        <v>4.0979999999999999</v>
      </c>
      <c r="AP20">
        <v>46</v>
      </c>
      <c r="AQ20">
        <v>-25</v>
      </c>
      <c r="AR20">
        <v>235</v>
      </c>
      <c r="AZ20" s="3">
        <v>0</v>
      </c>
      <c r="BA20" t="s">
        <v>513</v>
      </c>
      <c r="BB20" t="s">
        <v>514</v>
      </c>
      <c r="BC20" t="s">
        <v>514</v>
      </c>
      <c r="BD20" t="s">
        <v>514</v>
      </c>
      <c r="BE20">
        <v>0</v>
      </c>
      <c r="BF20" t="s">
        <v>514</v>
      </c>
      <c r="BG20" s="3">
        <v>5.8993055555555556E-2</v>
      </c>
      <c r="BH20" s="1">
        <v>45149</v>
      </c>
      <c r="BI20">
        <v>-0.46</v>
      </c>
      <c r="BJ20">
        <v>0</v>
      </c>
      <c r="BK20">
        <v>-1E-3</v>
      </c>
      <c r="BL20">
        <v>-1.0999999999999999E-2</v>
      </c>
      <c r="BM20">
        <v>-0.156</v>
      </c>
      <c r="BN20">
        <v>-0.39100000000000001</v>
      </c>
      <c r="BO20">
        <v>-0.27400000000000002</v>
      </c>
      <c r="BP20">
        <v>1</v>
      </c>
      <c r="BQ20">
        <v>150</v>
      </c>
      <c r="BR20">
        <v>5.0000000000000001E-3</v>
      </c>
      <c r="BS20">
        <v>2</v>
      </c>
      <c r="BT20">
        <v>0</v>
      </c>
      <c r="BU20" t="s">
        <v>200</v>
      </c>
      <c r="BV20">
        <v>7000</v>
      </c>
      <c r="BW20">
        <v>500</v>
      </c>
      <c r="BX20">
        <v>5</v>
      </c>
      <c r="BY20">
        <v>2</v>
      </c>
      <c r="BZ20">
        <v>300</v>
      </c>
      <c r="CA20">
        <v>300</v>
      </c>
      <c r="CB20">
        <v>300</v>
      </c>
      <c r="CC20">
        <v>411.59677099999999</v>
      </c>
      <c r="CD20">
        <v>25</v>
      </c>
      <c r="CE20">
        <v>-5.1900550000000001</v>
      </c>
      <c r="CF20">
        <v>414.90768400000002</v>
      </c>
      <c r="CG20">
        <v>411.75479100000001</v>
      </c>
      <c r="CH20">
        <v>3.1528930000000002</v>
      </c>
      <c r="CI20">
        <v>2.5377939999999999</v>
      </c>
      <c r="CJ20">
        <v>2.54941</v>
      </c>
      <c r="CK20">
        <v>1.665589</v>
      </c>
      <c r="CL20">
        <v>0.94393099999999996</v>
      </c>
      <c r="CM20">
        <v>0.25789200000000001</v>
      </c>
      <c r="CN20">
        <v>-1.4792E-2</v>
      </c>
      <c r="CO20">
        <v>0.171152</v>
      </c>
      <c r="CP20">
        <v>0.58806899999999995</v>
      </c>
      <c r="CQ20">
        <v>95.196960000000004</v>
      </c>
      <c r="CR20">
        <v>3.57E-4</v>
      </c>
      <c r="CS20">
        <v>2.4333689999999999</v>
      </c>
      <c r="CT20">
        <v>-3.6000000000000001E-5</v>
      </c>
      <c r="CU20">
        <v>1</v>
      </c>
      <c r="CV20">
        <v>2.4396819999999999</v>
      </c>
      <c r="CW20">
        <v>1.1E-5</v>
      </c>
      <c r="CX20">
        <v>1</v>
      </c>
      <c r="CY20">
        <v>0.60025499999999998</v>
      </c>
      <c r="CZ20">
        <v>0.60245199999999999</v>
      </c>
      <c r="DA20">
        <v>0.106742</v>
      </c>
      <c r="DB20">
        <v>0</v>
      </c>
      <c r="DC20" t="s">
        <v>535</v>
      </c>
      <c r="DD20" t="s">
        <v>515</v>
      </c>
      <c r="DE20" t="s">
        <v>516</v>
      </c>
      <c r="DF20" t="s">
        <v>517</v>
      </c>
      <c r="DG20" t="s">
        <v>518</v>
      </c>
      <c r="DH20" t="s">
        <v>205</v>
      </c>
      <c r="DI20" t="s">
        <v>519</v>
      </c>
    </row>
    <row r="21" spans="1:113">
      <c r="A21">
        <v>3</v>
      </c>
      <c r="B21" s="3">
        <v>5.9780092592592593E-2</v>
      </c>
      <c r="C21" s="1">
        <v>45149</v>
      </c>
      <c r="D21" t="s">
        <v>196</v>
      </c>
      <c r="E21" t="s">
        <v>197</v>
      </c>
      <c r="G21">
        <v>3</v>
      </c>
      <c r="J21">
        <v>0.149893</v>
      </c>
      <c r="K21">
        <v>2.9212950000000002</v>
      </c>
      <c r="L21">
        <v>0.14257800000000001</v>
      </c>
      <c r="M21">
        <v>1.5971489999999999</v>
      </c>
      <c r="N21">
        <v>2.2908710000000001</v>
      </c>
      <c r="O21">
        <v>2.2488519999999999</v>
      </c>
      <c r="P21">
        <v>3.3300429999999999</v>
      </c>
      <c r="Q21">
        <v>1.039172</v>
      </c>
      <c r="R21">
        <v>23.529097</v>
      </c>
      <c r="S21">
        <v>23.968729</v>
      </c>
      <c r="T21">
        <v>34.841290000000001</v>
      </c>
      <c r="U21">
        <v>0.44178600000000001</v>
      </c>
      <c r="V21" t="s">
        <v>536</v>
      </c>
      <c r="W21">
        <v>0</v>
      </c>
      <c r="X21">
        <v>0</v>
      </c>
      <c r="Y21">
        <v>0</v>
      </c>
      <c r="Z21">
        <v>96.231933999999995</v>
      </c>
      <c r="AA21">
        <v>437.099762</v>
      </c>
      <c r="AB21">
        <v>0.77983999999999998</v>
      </c>
      <c r="AC21">
        <v>0.5</v>
      </c>
      <c r="AD21">
        <v>0.8</v>
      </c>
      <c r="AE21">
        <v>163.255112</v>
      </c>
      <c r="AF21">
        <v>66.430000000000007</v>
      </c>
      <c r="AG21">
        <v>65.209999999999994</v>
      </c>
      <c r="AH21">
        <v>26.37</v>
      </c>
      <c r="AI21">
        <v>25.78</v>
      </c>
      <c r="AJ21">
        <v>95.58</v>
      </c>
      <c r="AK21">
        <v>156.69999999999999</v>
      </c>
      <c r="AL21">
        <v>156.6</v>
      </c>
      <c r="AM21">
        <v>0</v>
      </c>
      <c r="AN21">
        <v>523</v>
      </c>
      <c r="AO21">
        <v>4.0960000000000001</v>
      </c>
      <c r="AP21">
        <v>37</v>
      </c>
      <c r="AQ21">
        <v>-40</v>
      </c>
      <c r="AR21">
        <v>243</v>
      </c>
      <c r="AZ21" s="3">
        <v>0</v>
      </c>
      <c r="BA21" t="s">
        <v>513</v>
      </c>
      <c r="BB21" t="s">
        <v>514</v>
      </c>
      <c r="BC21" t="s">
        <v>514</v>
      </c>
      <c r="BD21" t="s">
        <v>514</v>
      </c>
      <c r="BE21">
        <v>0</v>
      </c>
      <c r="BF21" t="s">
        <v>514</v>
      </c>
      <c r="BG21" s="3">
        <v>5.8993055555555556E-2</v>
      </c>
      <c r="BH21" s="1">
        <v>45149</v>
      </c>
      <c r="BI21">
        <v>-0.46</v>
      </c>
      <c r="BJ21">
        <v>-1E-3</v>
      </c>
      <c r="BK21">
        <v>-4.0000000000000001E-3</v>
      </c>
      <c r="BL21">
        <v>-1.0999999999999999E-2</v>
      </c>
      <c r="BM21">
        <v>-7.8E-2</v>
      </c>
      <c r="BN21">
        <v>-0.27400000000000002</v>
      </c>
      <c r="BO21">
        <v>-0.20899999999999999</v>
      </c>
      <c r="BP21">
        <v>1</v>
      </c>
      <c r="BQ21">
        <v>150</v>
      </c>
      <c r="BR21">
        <v>5.0000000000000001E-3</v>
      </c>
      <c r="BS21">
        <v>2</v>
      </c>
      <c r="BT21">
        <v>0</v>
      </c>
      <c r="BU21" t="s">
        <v>200</v>
      </c>
      <c r="BV21">
        <v>7000</v>
      </c>
      <c r="BW21">
        <v>500</v>
      </c>
      <c r="BX21">
        <v>5</v>
      </c>
      <c r="BY21">
        <v>2</v>
      </c>
      <c r="BZ21">
        <v>300</v>
      </c>
      <c r="CA21">
        <v>300</v>
      </c>
      <c r="CB21">
        <v>300</v>
      </c>
      <c r="CC21">
        <v>418.30407700000001</v>
      </c>
      <c r="CD21">
        <v>25</v>
      </c>
      <c r="CE21">
        <v>-13.06298</v>
      </c>
      <c r="CF21">
        <v>419.87799100000001</v>
      </c>
      <c r="CG21">
        <v>418.46487400000001</v>
      </c>
      <c r="CH21">
        <v>1.413116</v>
      </c>
      <c r="CI21">
        <v>2.5397750000000001</v>
      </c>
      <c r="CJ21">
        <v>2.550392</v>
      </c>
      <c r="CK21">
        <v>1.6659550000000001</v>
      </c>
      <c r="CL21">
        <v>0.94391899999999995</v>
      </c>
      <c r="CM21">
        <v>0.25826300000000002</v>
      </c>
      <c r="CN21">
        <v>-6.0720000000000001E-3</v>
      </c>
      <c r="CO21">
        <v>0.17466499999999999</v>
      </c>
      <c r="CP21">
        <v>0.56968799999999997</v>
      </c>
      <c r="CQ21">
        <v>96.231933999999995</v>
      </c>
      <c r="CR21">
        <v>3.5799999999999997E-4</v>
      </c>
      <c r="CS21">
        <v>2.4333689999999999</v>
      </c>
      <c r="CT21">
        <v>-3.6000000000000001E-5</v>
      </c>
      <c r="CU21">
        <v>1</v>
      </c>
      <c r="CV21">
        <v>2.4396819999999999</v>
      </c>
      <c r="CW21">
        <v>1.1E-5</v>
      </c>
      <c r="CX21">
        <v>1</v>
      </c>
      <c r="CY21">
        <v>0.60025499999999998</v>
      </c>
      <c r="CZ21">
        <v>0.60245199999999999</v>
      </c>
      <c r="DA21">
        <v>0.106742</v>
      </c>
      <c r="DB21">
        <v>0</v>
      </c>
      <c r="DC21" t="s">
        <v>536</v>
      </c>
      <c r="DD21" t="s">
        <v>515</v>
      </c>
      <c r="DE21" t="s">
        <v>516</v>
      </c>
      <c r="DF21" t="s">
        <v>517</v>
      </c>
      <c r="DG21" t="s">
        <v>518</v>
      </c>
      <c r="DH21" t="s">
        <v>205</v>
      </c>
      <c r="DI21" t="s">
        <v>519</v>
      </c>
    </row>
    <row r="22" spans="1:113">
      <c r="A22">
        <v>4</v>
      </c>
      <c r="B22" s="3">
        <v>6.0069444444444446E-2</v>
      </c>
      <c r="C22" s="1">
        <v>45149</v>
      </c>
      <c r="D22" t="s">
        <v>196</v>
      </c>
      <c r="E22" t="s">
        <v>197</v>
      </c>
      <c r="G22">
        <v>4</v>
      </c>
      <c r="J22">
        <v>5.4511999999999998E-2</v>
      </c>
      <c r="K22">
        <v>2.9197340000000001</v>
      </c>
      <c r="L22">
        <v>5.3512999999999998E-2</v>
      </c>
      <c r="M22">
        <v>0.63948400000000005</v>
      </c>
      <c r="N22">
        <v>2.2466499999999998</v>
      </c>
      <c r="O22">
        <v>2.229797</v>
      </c>
      <c r="P22">
        <v>3.3553829999999998</v>
      </c>
      <c r="Q22">
        <v>1.108733</v>
      </c>
      <c r="R22">
        <v>23.328875</v>
      </c>
      <c r="S22">
        <v>23.505199000000001</v>
      </c>
      <c r="T22">
        <v>35.105128999999998</v>
      </c>
      <c r="U22">
        <v>0.44178600000000001</v>
      </c>
      <c r="V22" t="s">
        <v>537</v>
      </c>
      <c r="W22">
        <v>0</v>
      </c>
      <c r="X22">
        <v>0</v>
      </c>
      <c r="Y22">
        <v>0</v>
      </c>
      <c r="Z22">
        <v>92.835189999999997</v>
      </c>
      <c r="AA22">
        <v>396.312836</v>
      </c>
      <c r="AB22">
        <v>0.76575300000000002</v>
      </c>
      <c r="AC22">
        <v>0.5</v>
      </c>
      <c r="AD22">
        <v>0.8</v>
      </c>
      <c r="AE22">
        <v>26.213840000000001</v>
      </c>
      <c r="AF22">
        <v>65.28</v>
      </c>
      <c r="AG22">
        <v>64.790000000000006</v>
      </c>
      <c r="AH22">
        <v>26.33</v>
      </c>
      <c r="AI22">
        <v>25.91</v>
      </c>
      <c r="AJ22">
        <v>95.58</v>
      </c>
      <c r="AK22">
        <v>156.5</v>
      </c>
      <c r="AL22">
        <v>156.69999999999999</v>
      </c>
      <c r="AM22">
        <v>-0.2</v>
      </c>
      <c r="AN22">
        <v>86</v>
      </c>
      <c r="AO22">
        <v>4.0940000000000003</v>
      </c>
      <c r="AP22">
        <v>28</v>
      </c>
      <c r="AQ22">
        <v>-17</v>
      </c>
      <c r="AR22">
        <v>281</v>
      </c>
      <c r="AZ22" s="3">
        <v>0</v>
      </c>
      <c r="BA22" t="s">
        <v>513</v>
      </c>
      <c r="BB22" t="s">
        <v>514</v>
      </c>
      <c r="BC22" t="s">
        <v>514</v>
      </c>
      <c r="BD22" t="s">
        <v>514</v>
      </c>
      <c r="BE22">
        <v>0</v>
      </c>
      <c r="BF22" t="s">
        <v>514</v>
      </c>
      <c r="BG22" s="3">
        <v>5.8993055555555556E-2</v>
      </c>
      <c r="BH22" s="1">
        <v>45149</v>
      </c>
      <c r="BI22">
        <v>-0.46</v>
      </c>
      <c r="BJ22">
        <v>-3.0000000000000001E-3</v>
      </c>
      <c r="BK22">
        <v>-4.0000000000000001E-3</v>
      </c>
      <c r="BL22">
        <v>-1.0999999999999999E-2</v>
      </c>
      <c r="BM22">
        <v>8.5000000000000006E-2</v>
      </c>
      <c r="BN22">
        <v>0.214</v>
      </c>
      <c r="BO22">
        <v>0.45900000000000002</v>
      </c>
      <c r="BP22">
        <v>1</v>
      </c>
      <c r="BQ22">
        <v>150</v>
      </c>
      <c r="BR22">
        <v>5.0000000000000001E-3</v>
      </c>
      <c r="BS22">
        <v>2</v>
      </c>
      <c r="BT22">
        <v>0</v>
      </c>
      <c r="BU22" t="s">
        <v>200</v>
      </c>
      <c r="BV22">
        <v>7000</v>
      </c>
      <c r="BW22">
        <v>500</v>
      </c>
      <c r="BX22">
        <v>5</v>
      </c>
      <c r="BY22">
        <v>2</v>
      </c>
      <c r="BZ22">
        <v>300</v>
      </c>
      <c r="CA22">
        <v>300</v>
      </c>
      <c r="CB22">
        <v>300</v>
      </c>
      <c r="CC22">
        <v>396.312836</v>
      </c>
      <c r="CD22">
        <v>25</v>
      </c>
      <c r="CE22">
        <v>0.28549000000000002</v>
      </c>
      <c r="CF22">
        <v>403.04122899999999</v>
      </c>
      <c r="CG22">
        <v>396.72009300000002</v>
      </c>
      <c r="CH22">
        <v>6.3211360000000001</v>
      </c>
      <c r="CI22">
        <v>2.5391750000000002</v>
      </c>
      <c r="CJ22">
        <v>2.5487299999999999</v>
      </c>
      <c r="CK22">
        <v>1.664312</v>
      </c>
      <c r="CL22">
        <v>0.94434300000000004</v>
      </c>
      <c r="CM22">
        <v>0.25862000000000002</v>
      </c>
      <c r="CN22">
        <v>-4.1879999999999999E-3</v>
      </c>
      <c r="CO22">
        <v>0.1784</v>
      </c>
      <c r="CP22">
        <v>0.182445</v>
      </c>
      <c r="CQ22">
        <v>92.835189999999997</v>
      </c>
      <c r="CR22">
        <v>3.59E-4</v>
      </c>
      <c r="CS22">
        <v>2.4333689999999999</v>
      </c>
      <c r="CT22">
        <v>-3.6000000000000001E-5</v>
      </c>
      <c r="CU22">
        <v>1</v>
      </c>
      <c r="CV22">
        <v>2.4396819999999999</v>
      </c>
      <c r="CW22">
        <v>1.1E-5</v>
      </c>
      <c r="CX22">
        <v>1</v>
      </c>
      <c r="CY22">
        <v>0.60025499999999998</v>
      </c>
      <c r="CZ22">
        <v>0.60245199999999999</v>
      </c>
      <c r="DA22">
        <v>0.106742</v>
      </c>
      <c r="DB22">
        <v>0</v>
      </c>
      <c r="DC22" t="s">
        <v>537</v>
      </c>
      <c r="DD22" t="s">
        <v>515</v>
      </c>
      <c r="DE22" t="s">
        <v>516</v>
      </c>
      <c r="DF22" t="s">
        <v>517</v>
      </c>
      <c r="DG22" t="s">
        <v>518</v>
      </c>
      <c r="DH22" t="s">
        <v>205</v>
      </c>
      <c r="DI22" t="s">
        <v>519</v>
      </c>
    </row>
    <row r="23" spans="1:113">
      <c r="A23">
        <v>5</v>
      </c>
      <c r="B23" s="3">
        <v>6.0300925925925924E-2</v>
      </c>
      <c r="C23" s="1">
        <v>45149</v>
      </c>
      <c r="D23" t="s">
        <v>196</v>
      </c>
      <c r="E23" t="s">
        <v>197</v>
      </c>
      <c r="G23">
        <v>5</v>
      </c>
      <c r="J23">
        <v>4.1607999999999999E-2</v>
      </c>
      <c r="K23">
        <v>2.920757</v>
      </c>
      <c r="L23">
        <v>4.1023999999999998E-2</v>
      </c>
      <c r="M23">
        <v>0.47357399999999999</v>
      </c>
      <c r="N23">
        <v>2.2363620000000002</v>
      </c>
      <c r="O23">
        <v>2.2238899999999999</v>
      </c>
      <c r="P23">
        <v>3.307763</v>
      </c>
      <c r="Q23">
        <v>1.0713999999999999</v>
      </c>
      <c r="R23">
        <v>23.266586</v>
      </c>
      <c r="S23">
        <v>23.397074</v>
      </c>
      <c r="T23">
        <v>34.606181999999997</v>
      </c>
      <c r="U23">
        <v>0.44178600000000001</v>
      </c>
      <c r="V23" t="s">
        <v>538</v>
      </c>
      <c r="W23">
        <v>0</v>
      </c>
      <c r="X23">
        <v>0</v>
      </c>
      <c r="Y23">
        <v>0</v>
      </c>
      <c r="Z23">
        <v>93.025802999999996</v>
      </c>
      <c r="AA23">
        <v>483.568848</v>
      </c>
      <c r="AB23">
        <v>0.80762699999999998</v>
      </c>
      <c r="AC23">
        <v>0.5</v>
      </c>
      <c r="AD23">
        <v>0.8</v>
      </c>
      <c r="AE23">
        <v>109.08100899999999</v>
      </c>
      <c r="AF23">
        <v>65.099999999999994</v>
      </c>
      <c r="AG23">
        <v>64.739999999999995</v>
      </c>
      <c r="AH23">
        <v>26.3</v>
      </c>
      <c r="AI23">
        <v>25.66</v>
      </c>
      <c r="AJ23">
        <v>95.58</v>
      </c>
      <c r="AK23">
        <v>156.6</v>
      </c>
      <c r="AL23">
        <v>156.69999999999999</v>
      </c>
      <c r="AM23">
        <v>-0.1</v>
      </c>
      <c r="AN23">
        <v>338</v>
      </c>
      <c r="AO23">
        <v>4.093</v>
      </c>
      <c r="AP23">
        <v>16</v>
      </c>
      <c r="AQ23">
        <v>7</v>
      </c>
      <c r="AR23">
        <v>274</v>
      </c>
      <c r="AZ23" s="3">
        <v>0</v>
      </c>
      <c r="BA23" t="s">
        <v>513</v>
      </c>
      <c r="BB23" t="s">
        <v>514</v>
      </c>
      <c r="BC23" t="s">
        <v>514</v>
      </c>
      <c r="BD23" t="s">
        <v>514</v>
      </c>
      <c r="BE23">
        <v>0</v>
      </c>
      <c r="BF23" t="s">
        <v>514</v>
      </c>
      <c r="BG23" s="3">
        <v>5.8993055555555556E-2</v>
      </c>
      <c r="BH23" s="1">
        <v>45149</v>
      </c>
      <c r="BI23">
        <v>-0.46</v>
      </c>
      <c r="BJ23">
        <v>-1E-3</v>
      </c>
      <c r="BK23">
        <v>1E-3</v>
      </c>
      <c r="BL23">
        <v>-1.9E-2</v>
      </c>
      <c r="BM23">
        <v>-8.2000000000000003E-2</v>
      </c>
      <c r="BN23">
        <v>-2.3E-2</v>
      </c>
      <c r="BO23">
        <v>-6.4000000000000001E-2</v>
      </c>
      <c r="BP23">
        <v>1</v>
      </c>
      <c r="BQ23">
        <v>150</v>
      </c>
      <c r="BR23">
        <v>5.0000000000000001E-3</v>
      </c>
      <c r="BS23">
        <v>2</v>
      </c>
      <c r="BT23">
        <v>0</v>
      </c>
      <c r="BU23" t="s">
        <v>200</v>
      </c>
      <c r="BV23">
        <v>7000</v>
      </c>
      <c r="BW23">
        <v>500</v>
      </c>
      <c r="BX23">
        <v>5</v>
      </c>
      <c r="BY23">
        <v>2</v>
      </c>
      <c r="BZ23">
        <v>300</v>
      </c>
      <c r="CA23">
        <v>300</v>
      </c>
      <c r="CB23">
        <v>300</v>
      </c>
      <c r="CC23">
        <v>473.920593</v>
      </c>
      <c r="CD23">
        <v>25</v>
      </c>
      <c r="CE23">
        <v>-6.6211630000000001</v>
      </c>
      <c r="CF23">
        <v>476.910706</v>
      </c>
      <c r="CG23">
        <v>474.12347399999999</v>
      </c>
      <c r="CH23">
        <v>2.7872309999999998</v>
      </c>
      <c r="CI23">
        <v>2.5391010000000001</v>
      </c>
      <c r="CJ23">
        <v>2.54847</v>
      </c>
      <c r="CK23">
        <v>1.6653880000000001</v>
      </c>
      <c r="CL23">
        <v>0.94419699999999995</v>
      </c>
      <c r="CM23">
        <v>0.25893300000000002</v>
      </c>
      <c r="CN23">
        <v>-6.6179999999999998E-3</v>
      </c>
      <c r="CO23">
        <v>0.181253</v>
      </c>
      <c r="CP23">
        <v>0.40542299999999998</v>
      </c>
      <c r="CQ23">
        <v>93.025802999999996</v>
      </c>
      <c r="CR23">
        <v>3.6299999999999999E-4</v>
      </c>
      <c r="CS23">
        <v>2.4333689999999999</v>
      </c>
      <c r="CT23">
        <v>-3.6000000000000001E-5</v>
      </c>
      <c r="CU23">
        <v>1</v>
      </c>
      <c r="CV23">
        <v>2.4396819999999999</v>
      </c>
      <c r="CW23">
        <v>1.1E-5</v>
      </c>
      <c r="CX23">
        <v>1</v>
      </c>
      <c r="CY23">
        <v>0.60025499999999998</v>
      </c>
      <c r="CZ23">
        <v>0.60245199999999999</v>
      </c>
      <c r="DA23">
        <v>0.106742</v>
      </c>
      <c r="DB23">
        <v>0</v>
      </c>
      <c r="DC23" t="s">
        <v>538</v>
      </c>
      <c r="DD23" t="s">
        <v>515</v>
      </c>
      <c r="DE23" t="s">
        <v>516</v>
      </c>
      <c r="DF23" t="s">
        <v>517</v>
      </c>
      <c r="DG23" t="s">
        <v>518</v>
      </c>
      <c r="DH23" t="s">
        <v>205</v>
      </c>
      <c r="DI23" t="s">
        <v>519</v>
      </c>
    </row>
    <row r="24" spans="1:113">
      <c r="A24">
        <v>1</v>
      </c>
      <c r="B24" s="3">
        <v>6.40162037037037E-2</v>
      </c>
      <c r="C24" s="1">
        <v>45149</v>
      </c>
      <c r="D24" t="s">
        <v>196</v>
      </c>
      <c r="E24" t="s">
        <v>197</v>
      </c>
      <c r="G24">
        <v>1</v>
      </c>
      <c r="J24">
        <v>6.8838999999999997E-2</v>
      </c>
      <c r="K24">
        <v>2.920963</v>
      </c>
      <c r="L24">
        <v>6.7253999999999994E-2</v>
      </c>
      <c r="M24">
        <v>0.84259099999999998</v>
      </c>
      <c r="N24">
        <v>2.1760519999999999</v>
      </c>
      <c r="O24">
        <v>2.153845</v>
      </c>
      <c r="P24">
        <v>3.3392789999999999</v>
      </c>
      <c r="Q24">
        <v>1.1632279999999999</v>
      </c>
      <c r="R24">
        <v>22.528694000000002</v>
      </c>
      <c r="S24">
        <v>22.760974999999998</v>
      </c>
      <c r="T24">
        <v>34.928055000000001</v>
      </c>
      <c r="U24">
        <v>0.44178600000000001</v>
      </c>
      <c r="V24" t="s">
        <v>539</v>
      </c>
      <c r="W24">
        <v>0</v>
      </c>
      <c r="X24">
        <v>0</v>
      </c>
      <c r="Y24">
        <v>0</v>
      </c>
      <c r="Z24">
        <v>98.257537999999997</v>
      </c>
      <c r="AA24">
        <v>407.26400799999999</v>
      </c>
      <c r="AB24">
        <v>0.75873800000000002</v>
      </c>
      <c r="AC24">
        <v>0.5</v>
      </c>
      <c r="AD24">
        <v>0.8</v>
      </c>
      <c r="AE24">
        <v>48.366329</v>
      </c>
      <c r="AF24">
        <v>64.010000000000005</v>
      </c>
      <c r="AG24">
        <v>63.36</v>
      </c>
      <c r="AH24">
        <v>26.13</v>
      </c>
      <c r="AI24">
        <v>25.82</v>
      </c>
      <c r="AJ24">
        <v>95.6</v>
      </c>
      <c r="AK24">
        <v>156.6</v>
      </c>
      <c r="AL24">
        <v>156.69999999999999</v>
      </c>
      <c r="AM24">
        <v>-0.1</v>
      </c>
      <c r="AN24">
        <v>159</v>
      </c>
      <c r="AO24">
        <v>4.093</v>
      </c>
      <c r="AP24">
        <v>31</v>
      </c>
      <c r="AQ24">
        <v>-6</v>
      </c>
      <c r="AR24">
        <v>292</v>
      </c>
      <c r="AZ24" s="3">
        <v>0</v>
      </c>
      <c r="BA24" t="s">
        <v>513</v>
      </c>
      <c r="BB24" t="s">
        <v>514</v>
      </c>
      <c r="BC24" t="s">
        <v>514</v>
      </c>
      <c r="BD24" t="s">
        <v>514</v>
      </c>
      <c r="BE24">
        <v>0</v>
      </c>
      <c r="BF24" t="s">
        <v>514</v>
      </c>
      <c r="BG24" s="3">
        <v>6.3865740740740737E-2</v>
      </c>
      <c r="BH24" s="1">
        <v>45149</v>
      </c>
      <c r="BI24">
        <v>-0.42</v>
      </c>
      <c r="BJ24">
        <v>0</v>
      </c>
      <c r="BK24">
        <v>-2E-3</v>
      </c>
      <c r="BL24">
        <v>-1.2E-2</v>
      </c>
      <c r="BM24">
        <v>0.28599999999999998</v>
      </c>
      <c r="BN24">
        <v>0.50700000000000001</v>
      </c>
      <c r="BO24">
        <v>2.0009999999999999</v>
      </c>
      <c r="BP24">
        <v>1</v>
      </c>
      <c r="BQ24">
        <v>150</v>
      </c>
      <c r="BR24">
        <v>5.0000000000000001E-3</v>
      </c>
      <c r="BS24">
        <v>2</v>
      </c>
      <c r="BT24">
        <v>0</v>
      </c>
      <c r="BU24" t="s">
        <v>200</v>
      </c>
      <c r="BV24">
        <v>7000</v>
      </c>
      <c r="BW24">
        <v>500</v>
      </c>
      <c r="BX24">
        <v>5</v>
      </c>
      <c r="BY24">
        <v>2</v>
      </c>
      <c r="BZ24">
        <v>300</v>
      </c>
      <c r="CA24">
        <v>300</v>
      </c>
      <c r="CB24">
        <v>300</v>
      </c>
      <c r="CC24">
        <v>388.83270299999998</v>
      </c>
      <c r="CD24">
        <v>25</v>
      </c>
      <c r="CE24">
        <v>-13.227684999999999</v>
      </c>
      <c r="CF24">
        <v>389.09197999999998</v>
      </c>
      <c r="CG24">
        <v>388.39416499999999</v>
      </c>
      <c r="CH24">
        <v>0.69781499999999996</v>
      </c>
      <c r="CI24">
        <v>2.5371440000000001</v>
      </c>
      <c r="CJ24">
        <v>2.546875</v>
      </c>
      <c r="CK24">
        <v>1.665605</v>
      </c>
      <c r="CL24">
        <v>0.94431500000000002</v>
      </c>
      <c r="CM24">
        <v>0.26076899999999997</v>
      </c>
      <c r="CN24">
        <v>-2.7000000000000001E-3</v>
      </c>
      <c r="CO24">
        <v>0.164546</v>
      </c>
      <c r="CP24">
        <v>0.24771000000000001</v>
      </c>
      <c r="CQ24">
        <v>98.257537999999997</v>
      </c>
      <c r="CR24">
        <v>3.57E-4</v>
      </c>
      <c r="CS24">
        <v>2.4333689999999999</v>
      </c>
      <c r="CT24">
        <v>-3.6000000000000001E-5</v>
      </c>
      <c r="CU24">
        <v>1</v>
      </c>
      <c r="CV24">
        <v>2.4396819999999999</v>
      </c>
      <c r="CW24">
        <v>1.1E-5</v>
      </c>
      <c r="CX24">
        <v>1</v>
      </c>
      <c r="CY24">
        <v>0.60025499999999998</v>
      </c>
      <c r="CZ24">
        <v>0.60245199999999999</v>
      </c>
      <c r="DA24">
        <v>0.106742</v>
      </c>
      <c r="DB24">
        <v>0</v>
      </c>
      <c r="DC24" t="s">
        <v>539</v>
      </c>
      <c r="DD24" t="s">
        <v>515</v>
      </c>
      <c r="DE24" t="s">
        <v>516</v>
      </c>
      <c r="DF24" t="s">
        <v>517</v>
      </c>
      <c r="DG24" t="s">
        <v>518</v>
      </c>
      <c r="DH24" t="s">
        <v>205</v>
      </c>
      <c r="DI24" t="s">
        <v>519</v>
      </c>
    </row>
    <row r="25" spans="1:113">
      <c r="A25">
        <v>2</v>
      </c>
      <c r="B25" s="3">
        <v>6.4166666666666664E-2</v>
      </c>
      <c r="C25" s="1">
        <v>45149</v>
      </c>
      <c r="D25" t="s">
        <v>196</v>
      </c>
      <c r="E25" t="s">
        <v>197</v>
      </c>
      <c r="G25">
        <v>2</v>
      </c>
      <c r="J25">
        <v>2.4834999999999999E-2</v>
      </c>
      <c r="K25">
        <v>2.9201800000000002</v>
      </c>
      <c r="L25">
        <v>2.4625999999999999E-2</v>
      </c>
      <c r="M25">
        <v>0.32025799999999999</v>
      </c>
      <c r="N25">
        <v>2.1695159999999998</v>
      </c>
      <c r="O25">
        <v>2.16107</v>
      </c>
      <c r="P25">
        <v>3.376789</v>
      </c>
      <c r="Q25">
        <v>1.207273</v>
      </c>
      <c r="R25">
        <v>22.604209999999998</v>
      </c>
      <c r="S25">
        <v>22.692557999999998</v>
      </c>
      <c r="T25">
        <v>35.320304999999998</v>
      </c>
      <c r="U25">
        <v>0.44178600000000001</v>
      </c>
      <c r="V25" t="s">
        <v>540</v>
      </c>
      <c r="W25">
        <v>0</v>
      </c>
      <c r="X25">
        <v>0</v>
      </c>
      <c r="Y25">
        <v>0</v>
      </c>
      <c r="Z25">
        <v>102.681038</v>
      </c>
      <c r="AA25">
        <v>405.24917599999998</v>
      </c>
      <c r="AB25">
        <v>0.74662300000000004</v>
      </c>
      <c r="AC25">
        <v>0.5</v>
      </c>
      <c r="AD25">
        <v>0.8</v>
      </c>
      <c r="AE25">
        <v>37.15963</v>
      </c>
      <c r="AF25">
        <v>63.81</v>
      </c>
      <c r="AG25">
        <v>63.57</v>
      </c>
      <c r="AH25">
        <v>26.13</v>
      </c>
      <c r="AI25">
        <v>26.01</v>
      </c>
      <c r="AJ25">
        <v>95.6</v>
      </c>
      <c r="AK25">
        <v>156.5</v>
      </c>
      <c r="AL25">
        <v>156.69999999999999</v>
      </c>
      <c r="AM25">
        <v>-0.1</v>
      </c>
      <c r="AN25">
        <v>124</v>
      </c>
      <c r="AO25">
        <v>4.0940000000000003</v>
      </c>
      <c r="AP25">
        <v>34</v>
      </c>
      <c r="AQ25">
        <v>-68</v>
      </c>
      <c r="AR25">
        <v>262</v>
      </c>
      <c r="AZ25" s="3">
        <v>0</v>
      </c>
      <c r="BA25" t="s">
        <v>513</v>
      </c>
      <c r="BB25" t="s">
        <v>514</v>
      </c>
      <c r="BC25" t="s">
        <v>514</v>
      </c>
      <c r="BD25" t="s">
        <v>514</v>
      </c>
      <c r="BE25">
        <v>0</v>
      </c>
      <c r="BF25" t="s">
        <v>514</v>
      </c>
      <c r="BG25" s="3">
        <v>6.3865740740740737E-2</v>
      </c>
      <c r="BH25" s="1">
        <v>45149</v>
      </c>
      <c r="BI25">
        <v>-0.42</v>
      </c>
      <c r="BJ25">
        <v>1E-3</v>
      </c>
      <c r="BK25">
        <v>2E-3</v>
      </c>
      <c r="BL25">
        <v>-1.7000000000000001E-2</v>
      </c>
      <c r="BM25">
        <v>1.155</v>
      </c>
      <c r="BN25">
        <v>-0.65700000000000003</v>
      </c>
      <c r="BO25">
        <v>-4.4139999999999997</v>
      </c>
      <c r="BP25">
        <v>1</v>
      </c>
      <c r="BQ25">
        <v>150</v>
      </c>
      <c r="BR25">
        <v>5.0000000000000001E-3</v>
      </c>
      <c r="BS25">
        <v>2</v>
      </c>
      <c r="BT25">
        <v>0</v>
      </c>
      <c r="BU25" t="s">
        <v>200</v>
      </c>
      <c r="BV25">
        <v>7000</v>
      </c>
      <c r="BW25">
        <v>500</v>
      </c>
      <c r="BX25">
        <v>5</v>
      </c>
      <c r="BY25">
        <v>2</v>
      </c>
      <c r="BZ25">
        <v>300</v>
      </c>
      <c r="CA25">
        <v>300</v>
      </c>
      <c r="CB25">
        <v>300</v>
      </c>
      <c r="CC25">
        <v>391.19695999999999</v>
      </c>
      <c r="CD25">
        <v>25</v>
      </c>
      <c r="CE25">
        <v>-10.039718000000001</v>
      </c>
      <c r="CF25">
        <v>393.15103099999999</v>
      </c>
      <c r="CG25">
        <v>390.92709400000001</v>
      </c>
      <c r="CH25">
        <v>2.223938</v>
      </c>
      <c r="CI25">
        <v>2.5374409999999998</v>
      </c>
      <c r="CJ25">
        <v>2.5465840000000002</v>
      </c>
      <c r="CK25">
        <v>1.6647810000000001</v>
      </c>
      <c r="CL25">
        <v>0.94412799999999997</v>
      </c>
      <c r="CM25">
        <v>0.26074799999999998</v>
      </c>
      <c r="CN25">
        <v>-5.4000000000000001E-4</v>
      </c>
      <c r="CO25">
        <v>0.16669</v>
      </c>
      <c r="CP25">
        <v>0.216804</v>
      </c>
      <c r="CQ25">
        <v>102.681038</v>
      </c>
      <c r="CR25">
        <v>3.59E-4</v>
      </c>
      <c r="CS25">
        <v>2.4333689999999999</v>
      </c>
      <c r="CT25">
        <v>-3.6000000000000001E-5</v>
      </c>
      <c r="CU25">
        <v>1</v>
      </c>
      <c r="CV25">
        <v>2.4396819999999999</v>
      </c>
      <c r="CW25">
        <v>1.1E-5</v>
      </c>
      <c r="CX25">
        <v>1</v>
      </c>
      <c r="CY25">
        <v>0.60025499999999998</v>
      </c>
      <c r="CZ25">
        <v>0.60245199999999999</v>
      </c>
      <c r="DA25">
        <v>0.106742</v>
      </c>
      <c r="DB25">
        <v>0</v>
      </c>
      <c r="DC25" t="s">
        <v>540</v>
      </c>
      <c r="DD25" t="s">
        <v>515</v>
      </c>
      <c r="DE25" t="s">
        <v>516</v>
      </c>
      <c r="DF25" t="s">
        <v>517</v>
      </c>
      <c r="DG25" t="s">
        <v>518</v>
      </c>
      <c r="DH25" t="s">
        <v>205</v>
      </c>
      <c r="DI25" t="s">
        <v>519</v>
      </c>
    </row>
    <row r="26" spans="1:113">
      <c r="A26">
        <v>3</v>
      </c>
      <c r="B26" s="3">
        <v>6.4328703703703707E-2</v>
      </c>
      <c r="C26" s="1">
        <v>45149</v>
      </c>
      <c r="D26" t="s">
        <v>196</v>
      </c>
      <c r="E26" t="s">
        <v>197</v>
      </c>
      <c r="G26">
        <v>3</v>
      </c>
      <c r="J26">
        <v>4.2601E-2</v>
      </c>
      <c r="K26">
        <v>2.9227050000000001</v>
      </c>
      <c r="L26">
        <v>4.1988999999999999E-2</v>
      </c>
      <c r="M26">
        <v>0.561168</v>
      </c>
      <c r="N26">
        <v>2.2084519999999999</v>
      </c>
      <c r="O26">
        <v>2.1936879999999999</v>
      </c>
      <c r="P26">
        <v>3.4483269999999999</v>
      </c>
      <c r="Q26">
        <v>1.239876</v>
      </c>
      <c r="R26">
        <v>22.946285</v>
      </c>
      <c r="S26">
        <v>23.100718000000001</v>
      </c>
      <c r="T26">
        <v>36.069988000000002</v>
      </c>
      <c r="U26">
        <v>0.44178600000000001</v>
      </c>
      <c r="V26" t="s">
        <v>541</v>
      </c>
      <c r="W26">
        <v>0</v>
      </c>
      <c r="X26">
        <v>0</v>
      </c>
      <c r="Y26">
        <v>0</v>
      </c>
      <c r="Z26">
        <v>93.468185000000005</v>
      </c>
      <c r="AA26">
        <v>416.890198</v>
      </c>
      <c r="AB26">
        <v>0.77579699999999996</v>
      </c>
      <c r="AC26">
        <v>0.5</v>
      </c>
      <c r="AD26">
        <v>0.8</v>
      </c>
      <c r="AE26">
        <v>31.221197</v>
      </c>
      <c r="AF26">
        <v>64.95</v>
      </c>
      <c r="AG26">
        <v>64.510000000000005</v>
      </c>
      <c r="AH26">
        <v>26.13</v>
      </c>
      <c r="AI26">
        <v>26.37</v>
      </c>
      <c r="AJ26">
        <v>95.6</v>
      </c>
      <c r="AK26">
        <v>156.80000000000001</v>
      </c>
      <c r="AL26">
        <v>156.80000000000001</v>
      </c>
      <c r="AM26">
        <v>0</v>
      </c>
      <c r="AN26">
        <v>101</v>
      </c>
      <c r="AO26">
        <v>4.093</v>
      </c>
      <c r="AP26">
        <v>52</v>
      </c>
      <c r="AQ26">
        <v>-39</v>
      </c>
      <c r="AR26">
        <v>272</v>
      </c>
      <c r="AZ26" s="3">
        <v>0</v>
      </c>
      <c r="BA26" t="s">
        <v>513</v>
      </c>
      <c r="BB26" t="s">
        <v>514</v>
      </c>
      <c r="BC26" t="s">
        <v>514</v>
      </c>
      <c r="BD26" t="s">
        <v>514</v>
      </c>
      <c r="BE26">
        <v>0</v>
      </c>
      <c r="BF26" t="s">
        <v>514</v>
      </c>
      <c r="BG26" s="3">
        <v>6.3865740740740737E-2</v>
      </c>
      <c r="BH26" s="1">
        <v>45149</v>
      </c>
      <c r="BI26">
        <v>-0.42</v>
      </c>
      <c r="BJ26">
        <v>-2E-3</v>
      </c>
      <c r="BK26">
        <v>-2E-3</v>
      </c>
      <c r="BL26">
        <v>1E-3</v>
      </c>
      <c r="BM26">
        <v>-0.17499999999999999</v>
      </c>
      <c r="BN26">
        <v>0.65</v>
      </c>
      <c r="BO26">
        <v>-12.821</v>
      </c>
      <c r="BP26">
        <v>1</v>
      </c>
      <c r="BQ26">
        <v>150</v>
      </c>
      <c r="BR26">
        <v>5.0000000000000001E-3</v>
      </c>
      <c r="BS26">
        <v>2</v>
      </c>
      <c r="BT26">
        <v>0</v>
      </c>
      <c r="BU26" t="s">
        <v>200</v>
      </c>
      <c r="BV26">
        <v>7000</v>
      </c>
      <c r="BW26">
        <v>500</v>
      </c>
      <c r="BX26">
        <v>5</v>
      </c>
      <c r="BY26">
        <v>2</v>
      </c>
      <c r="BZ26">
        <v>300</v>
      </c>
      <c r="CA26">
        <v>300</v>
      </c>
      <c r="CB26">
        <v>300</v>
      </c>
      <c r="CC26">
        <v>394.309753</v>
      </c>
      <c r="CD26">
        <v>25</v>
      </c>
      <c r="CE26">
        <v>-16.166765000000002</v>
      </c>
      <c r="CF26">
        <v>394.23181199999999</v>
      </c>
      <c r="CG26">
        <v>393.82763699999998</v>
      </c>
      <c r="CH26">
        <v>0.40417500000000001</v>
      </c>
      <c r="CI26">
        <v>2.5388109999999999</v>
      </c>
      <c r="CJ26">
        <v>2.5482290000000001</v>
      </c>
      <c r="CK26">
        <v>1.667443</v>
      </c>
      <c r="CL26">
        <v>0.94439200000000001</v>
      </c>
      <c r="CM26">
        <v>0.260716</v>
      </c>
      <c r="CN26">
        <v>3.5430000000000001E-3</v>
      </c>
      <c r="CO26">
        <v>0.16881099999999999</v>
      </c>
      <c r="CP26">
        <v>0.195738</v>
      </c>
      <c r="CQ26">
        <v>93.468185000000005</v>
      </c>
      <c r="CR26">
        <v>3.6400000000000001E-4</v>
      </c>
      <c r="CS26">
        <v>2.4333689999999999</v>
      </c>
      <c r="CT26">
        <v>-3.6000000000000001E-5</v>
      </c>
      <c r="CU26">
        <v>1</v>
      </c>
      <c r="CV26">
        <v>2.4396819999999999</v>
      </c>
      <c r="CW26">
        <v>1.1E-5</v>
      </c>
      <c r="CX26">
        <v>1</v>
      </c>
      <c r="CY26">
        <v>0.60025499999999998</v>
      </c>
      <c r="CZ26">
        <v>0.60245199999999999</v>
      </c>
      <c r="DA26">
        <v>0.106742</v>
      </c>
      <c r="DB26">
        <v>0</v>
      </c>
      <c r="DC26" t="s">
        <v>541</v>
      </c>
      <c r="DD26" t="s">
        <v>515</v>
      </c>
      <c r="DE26" t="s">
        <v>516</v>
      </c>
      <c r="DF26" t="s">
        <v>517</v>
      </c>
      <c r="DG26" t="s">
        <v>518</v>
      </c>
      <c r="DH26" t="s">
        <v>205</v>
      </c>
      <c r="DI26" t="s">
        <v>519</v>
      </c>
    </row>
    <row r="27" spans="1:113">
      <c r="A27">
        <v>4</v>
      </c>
      <c r="B27" s="3">
        <v>6.4560185185185193E-2</v>
      </c>
      <c r="C27" s="1">
        <v>45149</v>
      </c>
      <c r="D27" t="s">
        <v>196</v>
      </c>
      <c r="E27" t="s">
        <v>197</v>
      </c>
      <c r="G27">
        <v>4</v>
      </c>
      <c r="J27">
        <v>3.4055000000000002E-2</v>
      </c>
      <c r="K27">
        <v>2.9207900000000002</v>
      </c>
      <c r="L27">
        <v>3.3661999999999997E-2</v>
      </c>
      <c r="M27">
        <v>0.465111</v>
      </c>
      <c r="N27">
        <v>2.2239249999999999</v>
      </c>
      <c r="O27">
        <v>2.2116709999999999</v>
      </c>
      <c r="P27">
        <v>3.5053709999999998</v>
      </c>
      <c r="Q27">
        <v>1.2814460000000001</v>
      </c>
      <c r="R27">
        <v>23.132452000000001</v>
      </c>
      <c r="S27">
        <v>23.260624</v>
      </c>
      <c r="T27">
        <v>36.663612000000001</v>
      </c>
      <c r="U27">
        <v>0.44178600000000001</v>
      </c>
      <c r="V27" t="s">
        <v>542</v>
      </c>
      <c r="W27">
        <v>0</v>
      </c>
      <c r="X27">
        <v>0</v>
      </c>
      <c r="Y27">
        <v>0</v>
      </c>
      <c r="Z27">
        <v>96.613524999999996</v>
      </c>
      <c r="AA27">
        <v>320.02676400000001</v>
      </c>
      <c r="AB27">
        <v>0.69810799999999995</v>
      </c>
      <c r="AC27">
        <v>0.5</v>
      </c>
      <c r="AD27">
        <v>0.8</v>
      </c>
      <c r="AE27">
        <v>58.984425000000002</v>
      </c>
      <c r="AF27">
        <v>65.36</v>
      </c>
      <c r="AG27">
        <v>65</v>
      </c>
      <c r="AH27">
        <v>26.14</v>
      </c>
      <c r="AI27">
        <v>26.65</v>
      </c>
      <c r="AJ27">
        <v>95.61</v>
      </c>
      <c r="AK27">
        <v>156.6</v>
      </c>
      <c r="AL27">
        <v>156.5</v>
      </c>
      <c r="AM27">
        <v>0</v>
      </c>
      <c r="AN27">
        <v>211</v>
      </c>
      <c r="AO27">
        <v>4.0919999999999996</v>
      </c>
      <c r="AP27">
        <v>4</v>
      </c>
      <c r="AQ27">
        <v>3</v>
      </c>
      <c r="AR27">
        <v>334</v>
      </c>
      <c r="AZ27" s="3">
        <v>0</v>
      </c>
      <c r="BA27" t="s">
        <v>513</v>
      </c>
      <c r="BB27" t="s">
        <v>514</v>
      </c>
      <c r="BC27" t="s">
        <v>514</v>
      </c>
      <c r="BD27" t="s">
        <v>514</v>
      </c>
      <c r="BE27">
        <v>0</v>
      </c>
      <c r="BF27" t="s">
        <v>514</v>
      </c>
      <c r="BG27" s="3">
        <v>6.3865740740740737E-2</v>
      </c>
      <c r="BH27" s="1">
        <v>45149</v>
      </c>
      <c r="BI27">
        <v>-0.42</v>
      </c>
      <c r="BJ27">
        <v>2E-3</v>
      </c>
      <c r="BK27">
        <v>1E-3</v>
      </c>
      <c r="BL27">
        <v>-1.2E-2</v>
      </c>
      <c r="BM27">
        <v>0.82899999999999996</v>
      </c>
      <c r="BN27">
        <v>1.1990000000000001</v>
      </c>
      <c r="BO27">
        <v>2.2229999999999999</v>
      </c>
      <c r="BP27">
        <v>1</v>
      </c>
      <c r="BQ27">
        <v>150</v>
      </c>
      <c r="BR27">
        <v>5.0000000000000001E-3</v>
      </c>
      <c r="BS27">
        <v>2</v>
      </c>
      <c r="BT27">
        <v>0</v>
      </c>
      <c r="BU27" t="s">
        <v>200</v>
      </c>
      <c r="BV27">
        <v>7000</v>
      </c>
      <c r="BW27">
        <v>500</v>
      </c>
      <c r="BX27">
        <v>5</v>
      </c>
      <c r="BY27">
        <v>2</v>
      </c>
      <c r="BZ27">
        <v>300</v>
      </c>
      <c r="CA27">
        <v>300</v>
      </c>
      <c r="CB27">
        <v>300</v>
      </c>
      <c r="CC27">
        <v>308.83312999999998</v>
      </c>
      <c r="CD27">
        <v>25</v>
      </c>
      <c r="CE27">
        <v>-7.6588079999999996</v>
      </c>
      <c r="CF27">
        <v>312.48129299999999</v>
      </c>
      <c r="CG27">
        <v>309.10116599999998</v>
      </c>
      <c r="CH27">
        <v>3.3801269999999999</v>
      </c>
      <c r="CI27">
        <v>2.5395159999999999</v>
      </c>
      <c r="CJ27">
        <v>2.5488300000000002</v>
      </c>
      <c r="CK27">
        <v>1.665422</v>
      </c>
      <c r="CL27">
        <v>0.94379000000000002</v>
      </c>
      <c r="CM27">
        <v>0.26060800000000001</v>
      </c>
      <c r="CN27">
        <v>6.6670000000000002E-3</v>
      </c>
      <c r="CO27">
        <v>0.17197100000000001</v>
      </c>
      <c r="CP27">
        <v>0.29358800000000002</v>
      </c>
      <c r="CQ27">
        <v>96.613524999999996</v>
      </c>
      <c r="CR27">
        <v>3.6499999999999998E-4</v>
      </c>
      <c r="CS27">
        <v>2.4333689999999999</v>
      </c>
      <c r="CT27">
        <v>-3.6000000000000001E-5</v>
      </c>
      <c r="CU27">
        <v>1</v>
      </c>
      <c r="CV27">
        <v>2.4396819999999999</v>
      </c>
      <c r="CW27">
        <v>1.1E-5</v>
      </c>
      <c r="CX27">
        <v>1</v>
      </c>
      <c r="CY27">
        <v>0.60025499999999998</v>
      </c>
      <c r="CZ27">
        <v>0.60245199999999999</v>
      </c>
      <c r="DA27">
        <v>0.106742</v>
      </c>
      <c r="DB27">
        <v>0</v>
      </c>
      <c r="DC27" t="s">
        <v>542</v>
      </c>
      <c r="DD27" t="s">
        <v>515</v>
      </c>
      <c r="DE27" t="s">
        <v>516</v>
      </c>
      <c r="DF27" t="s">
        <v>517</v>
      </c>
      <c r="DG27" t="s">
        <v>518</v>
      </c>
      <c r="DH27" t="s">
        <v>205</v>
      </c>
      <c r="DI27" t="s">
        <v>519</v>
      </c>
    </row>
    <row r="28" spans="1:113">
      <c r="A28">
        <v>1</v>
      </c>
      <c r="B28" s="3">
        <v>6.789351851851852E-2</v>
      </c>
      <c r="C28" s="1">
        <v>45149</v>
      </c>
      <c r="D28" t="s">
        <v>196</v>
      </c>
      <c r="E28" t="s">
        <v>197</v>
      </c>
      <c r="G28">
        <v>1</v>
      </c>
      <c r="J28">
        <v>0.10506</v>
      </c>
      <c r="K28">
        <v>2.9189850000000002</v>
      </c>
      <c r="L28">
        <v>0.10141</v>
      </c>
      <c r="M28">
        <v>1.2397199999999999</v>
      </c>
      <c r="N28">
        <v>2.1901489999999999</v>
      </c>
      <c r="O28">
        <v>2.1574260000000001</v>
      </c>
      <c r="P28">
        <v>3.3252999999999999</v>
      </c>
      <c r="Q28">
        <v>1.135151</v>
      </c>
      <c r="R28">
        <v>22.563976</v>
      </c>
      <c r="S28">
        <v>22.906217999999999</v>
      </c>
      <c r="T28">
        <v>34.778477000000002</v>
      </c>
      <c r="U28">
        <v>0.44178600000000001</v>
      </c>
      <c r="V28" t="s">
        <v>543</v>
      </c>
      <c r="W28">
        <v>0</v>
      </c>
      <c r="X28">
        <v>0</v>
      </c>
      <c r="Y28">
        <v>0</v>
      </c>
      <c r="Z28">
        <v>102.153542</v>
      </c>
      <c r="AA28">
        <v>419.02590900000001</v>
      </c>
      <c r="AB28">
        <v>0.756212</v>
      </c>
      <c r="AC28">
        <v>0.5</v>
      </c>
      <c r="AD28">
        <v>0.8</v>
      </c>
      <c r="AE28">
        <v>173.09570299999999</v>
      </c>
      <c r="AF28">
        <v>64.95</v>
      </c>
      <c r="AG28">
        <v>63.98</v>
      </c>
      <c r="AH28">
        <v>25.99</v>
      </c>
      <c r="AI28">
        <v>25.75</v>
      </c>
      <c r="AJ28">
        <v>95.61</v>
      </c>
      <c r="AK28">
        <v>156.4</v>
      </c>
      <c r="AL28">
        <v>156.69999999999999</v>
      </c>
      <c r="AM28">
        <v>-0.2</v>
      </c>
      <c r="AN28">
        <v>572</v>
      </c>
      <c r="AO28">
        <v>4.093</v>
      </c>
      <c r="AP28">
        <v>24</v>
      </c>
      <c r="AQ28">
        <v>-5</v>
      </c>
      <c r="AR28">
        <v>278</v>
      </c>
      <c r="AZ28" s="3">
        <v>0</v>
      </c>
      <c r="BA28" t="s">
        <v>513</v>
      </c>
      <c r="BB28" t="s">
        <v>514</v>
      </c>
      <c r="BC28" t="s">
        <v>514</v>
      </c>
      <c r="BD28" t="s">
        <v>514</v>
      </c>
      <c r="BE28">
        <v>0</v>
      </c>
      <c r="BF28" t="s">
        <v>514</v>
      </c>
      <c r="BG28" s="3">
        <v>6.7789351851851851E-2</v>
      </c>
      <c r="BH28" s="1">
        <v>45149</v>
      </c>
      <c r="BI28">
        <v>-0.48</v>
      </c>
      <c r="BJ28">
        <v>2E-3</v>
      </c>
      <c r="BK28">
        <v>1E-3</v>
      </c>
      <c r="BL28">
        <v>-3.9E-2</v>
      </c>
      <c r="BM28">
        <v>0.36799999999999999</v>
      </c>
      <c r="BN28">
        <v>0.88400000000000001</v>
      </c>
      <c r="BO28">
        <v>2.3069999999999999</v>
      </c>
      <c r="BP28">
        <v>1</v>
      </c>
      <c r="BQ28">
        <v>150</v>
      </c>
      <c r="BR28">
        <v>5.0000000000000001E-3</v>
      </c>
      <c r="BS28">
        <v>2</v>
      </c>
      <c r="BT28">
        <v>0</v>
      </c>
      <c r="BU28" t="s">
        <v>200</v>
      </c>
      <c r="BV28">
        <v>7000</v>
      </c>
      <c r="BW28">
        <v>500</v>
      </c>
      <c r="BX28">
        <v>5</v>
      </c>
      <c r="BY28">
        <v>2</v>
      </c>
      <c r="BZ28">
        <v>300</v>
      </c>
      <c r="CA28">
        <v>300</v>
      </c>
      <c r="CB28">
        <v>300</v>
      </c>
      <c r="CC28">
        <v>389.26934799999998</v>
      </c>
      <c r="CD28">
        <v>25</v>
      </c>
      <c r="CE28">
        <v>-21.334858000000001</v>
      </c>
      <c r="CF28">
        <v>387.34710699999999</v>
      </c>
      <c r="CG28">
        <v>388.59085099999999</v>
      </c>
      <c r="CH28">
        <v>-1.243744</v>
      </c>
      <c r="CI28">
        <v>2.538065</v>
      </c>
      <c r="CJ28">
        <v>2.5483280000000001</v>
      </c>
      <c r="CK28">
        <v>1.6635260000000001</v>
      </c>
      <c r="CL28">
        <v>0.94433400000000001</v>
      </c>
      <c r="CM28">
        <v>0.26218200000000003</v>
      </c>
      <c r="CN28">
        <v>-1.9369999999999999E-3</v>
      </c>
      <c r="CO28">
        <v>0.166912</v>
      </c>
      <c r="CP28">
        <v>0.61292899999999995</v>
      </c>
      <c r="CQ28">
        <v>102.153542</v>
      </c>
      <c r="CR28">
        <v>3.6299999999999999E-4</v>
      </c>
      <c r="CS28">
        <v>2.4333689999999999</v>
      </c>
      <c r="CT28">
        <v>-3.6000000000000001E-5</v>
      </c>
      <c r="CU28">
        <v>1</v>
      </c>
      <c r="CV28">
        <v>2.4396819999999999</v>
      </c>
      <c r="CW28">
        <v>1.1E-5</v>
      </c>
      <c r="CX28">
        <v>1</v>
      </c>
      <c r="CY28">
        <v>0.60025499999999998</v>
      </c>
      <c r="CZ28">
        <v>0.60245199999999999</v>
      </c>
      <c r="DA28">
        <v>0.106742</v>
      </c>
      <c r="DB28">
        <v>0</v>
      </c>
      <c r="DC28" t="s">
        <v>543</v>
      </c>
      <c r="DD28" t="s">
        <v>515</v>
      </c>
      <c r="DE28" t="s">
        <v>516</v>
      </c>
      <c r="DF28" t="s">
        <v>517</v>
      </c>
      <c r="DG28" t="s">
        <v>518</v>
      </c>
      <c r="DH28" t="s">
        <v>205</v>
      </c>
      <c r="DI28" t="s">
        <v>519</v>
      </c>
    </row>
    <row r="29" spans="1:113">
      <c r="A29">
        <v>2</v>
      </c>
      <c r="B29" s="3">
        <v>6.8032407407407403E-2</v>
      </c>
      <c r="C29" s="1">
        <v>45149</v>
      </c>
      <c r="D29" t="s">
        <v>196</v>
      </c>
      <c r="E29" t="s">
        <v>197</v>
      </c>
      <c r="G29">
        <v>2</v>
      </c>
      <c r="J29">
        <v>4.7302999999999998E-2</v>
      </c>
      <c r="K29">
        <v>2.9218069999999998</v>
      </c>
      <c r="L29">
        <v>4.6550000000000001E-2</v>
      </c>
      <c r="M29">
        <v>0.70458299999999996</v>
      </c>
      <c r="N29">
        <v>2.1906859999999999</v>
      </c>
      <c r="O29">
        <v>2.1721300000000001</v>
      </c>
      <c r="P29">
        <v>3.594109</v>
      </c>
      <c r="Q29">
        <v>1.4034230000000001</v>
      </c>
      <c r="R29">
        <v>22.718108999999998</v>
      </c>
      <c r="S29">
        <v>22.912184</v>
      </c>
      <c r="T29">
        <v>37.590457999999998</v>
      </c>
      <c r="U29">
        <v>0.44178600000000001</v>
      </c>
      <c r="V29" t="s">
        <v>544</v>
      </c>
      <c r="W29">
        <v>0</v>
      </c>
      <c r="X29">
        <v>0</v>
      </c>
      <c r="Y29">
        <v>0</v>
      </c>
      <c r="Z29">
        <v>82.935333</v>
      </c>
      <c r="AA29">
        <v>207.10969499999999</v>
      </c>
      <c r="AB29">
        <v>0.59955800000000004</v>
      </c>
      <c r="AC29">
        <v>0.5</v>
      </c>
      <c r="AD29">
        <v>0.8</v>
      </c>
      <c r="AE29">
        <v>180.58216899999999</v>
      </c>
      <c r="AF29">
        <v>64.930000000000007</v>
      </c>
      <c r="AG29">
        <v>64.38</v>
      </c>
      <c r="AH29">
        <v>26</v>
      </c>
      <c r="AI29">
        <v>27.07</v>
      </c>
      <c r="AJ29">
        <v>95.61</v>
      </c>
      <c r="AK29">
        <v>156.69999999999999</v>
      </c>
      <c r="AL29">
        <v>156.6</v>
      </c>
      <c r="AM29">
        <v>0.1</v>
      </c>
      <c r="AN29">
        <v>753</v>
      </c>
      <c r="AO29">
        <v>4.0919999999999996</v>
      </c>
      <c r="AP29">
        <v>43</v>
      </c>
      <c r="AQ29">
        <v>-15</v>
      </c>
      <c r="AR29">
        <v>266</v>
      </c>
      <c r="AZ29" s="3">
        <v>0</v>
      </c>
      <c r="BA29" t="s">
        <v>513</v>
      </c>
      <c r="BB29" t="s">
        <v>514</v>
      </c>
      <c r="BC29" t="s">
        <v>514</v>
      </c>
      <c r="BD29" t="s">
        <v>514</v>
      </c>
      <c r="BE29">
        <v>0</v>
      </c>
      <c r="BF29" t="s">
        <v>514</v>
      </c>
      <c r="BG29" s="3">
        <v>6.7789351851851851E-2</v>
      </c>
      <c r="BH29" s="1">
        <v>45149</v>
      </c>
      <c r="BI29">
        <v>-0.48</v>
      </c>
      <c r="BJ29">
        <v>0</v>
      </c>
      <c r="BK29">
        <v>-3.0000000000000001E-3</v>
      </c>
      <c r="BL29">
        <v>-2.5999999999999999E-2</v>
      </c>
      <c r="BM29">
        <v>3.7999999999999999E-2</v>
      </c>
      <c r="BN29">
        <v>0.67100000000000004</v>
      </c>
      <c r="BO29">
        <v>2.3199999999999998</v>
      </c>
      <c r="BP29">
        <v>1</v>
      </c>
      <c r="BQ29">
        <v>150</v>
      </c>
      <c r="BR29">
        <v>5.0000000000000001E-3</v>
      </c>
      <c r="BS29">
        <v>2</v>
      </c>
      <c r="BT29">
        <v>0</v>
      </c>
      <c r="BU29" t="s">
        <v>200</v>
      </c>
      <c r="BV29">
        <v>7000</v>
      </c>
      <c r="BW29">
        <v>500</v>
      </c>
      <c r="BX29">
        <v>5</v>
      </c>
      <c r="BY29">
        <v>2</v>
      </c>
      <c r="BZ29">
        <v>300</v>
      </c>
      <c r="CA29">
        <v>300</v>
      </c>
      <c r="CB29">
        <v>300</v>
      </c>
      <c r="CC29">
        <v>199.46586600000001</v>
      </c>
      <c r="CD29">
        <v>25</v>
      </c>
      <c r="CE29">
        <v>-5.2065250000000001</v>
      </c>
      <c r="CF29">
        <v>203.99844400000001</v>
      </c>
      <c r="CG29">
        <v>199.68237300000001</v>
      </c>
      <c r="CH29">
        <v>4.316071</v>
      </c>
      <c r="CI29">
        <v>2.5386519999999999</v>
      </c>
      <c r="CJ29">
        <v>2.5483069999999999</v>
      </c>
      <c r="CK29">
        <v>1.6664950000000001</v>
      </c>
      <c r="CL29">
        <v>0.94391700000000001</v>
      </c>
      <c r="CM29">
        <v>0.26210099999999997</v>
      </c>
      <c r="CN29">
        <v>1.3325999999999999E-2</v>
      </c>
      <c r="CO29">
        <v>0.16894899999999999</v>
      </c>
      <c r="CP29">
        <v>0.77280000000000004</v>
      </c>
      <c r="CQ29">
        <v>82.935333</v>
      </c>
      <c r="CR29">
        <v>3.5599999999999998E-4</v>
      </c>
      <c r="CS29">
        <v>2.4333689999999999</v>
      </c>
      <c r="CT29">
        <v>-3.6000000000000001E-5</v>
      </c>
      <c r="CU29">
        <v>1</v>
      </c>
      <c r="CV29">
        <v>2.4396819999999999</v>
      </c>
      <c r="CW29">
        <v>1.1E-5</v>
      </c>
      <c r="CX29">
        <v>1</v>
      </c>
      <c r="CY29">
        <v>0.60025499999999998</v>
      </c>
      <c r="CZ29">
        <v>0.60245199999999999</v>
      </c>
      <c r="DA29">
        <v>0.106742</v>
      </c>
      <c r="DB29">
        <v>0</v>
      </c>
      <c r="DC29" t="s">
        <v>544</v>
      </c>
      <c r="DD29" t="s">
        <v>515</v>
      </c>
      <c r="DE29" t="s">
        <v>516</v>
      </c>
      <c r="DF29" t="s">
        <v>517</v>
      </c>
      <c r="DG29" t="s">
        <v>518</v>
      </c>
      <c r="DH29" t="s">
        <v>205</v>
      </c>
      <c r="DI29" t="s">
        <v>519</v>
      </c>
    </row>
    <row r="30" spans="1:113">
      <c r="A30">
        <v>3</v>
      </c>
      <c r="B30" s="3">
        <v>6.8182870370370366E-2</v>
      </c>
      <c r="C30" s="1">
        <v>45149</v>
      </c>
      <c r="D30" t="s">
        <v>196</v>
      </c>
      <c r="E30" t="s">
        <v>197</v>
      </c>
      <c r="G30">
        <v>3</v>
      </c>
      <c r="J30">
        <v>6.1539000000000003E-2</v>
      </c>
      <c r="K30">
        <v>2.9210410000000002</v>
      </c>
      <c r="L30">
        <v>6.0269000000000003E-2</v>
      </c>
      <c r="M30">
        <v>0.88731199999999999</v>
      </c>
      <c r="N30">
        <v>2.1975419999999999</v>
      </c>
      <c r="O30">
        <v>2.1741579999999998</v>
      </c>
      <c r="P30">
        <v>3.5629460000000002</v>
      </c>
      <c r="Q30">
        <v>1.3654040000000001</v>
      </c>
      <c r="R30">
        <v>22.736651999999999</v>
      </c>
      <c r="S30">
        <v>22.981190000000002</v>
      </c>
      <c r="T30">
        <v>37.260151</v>
      </c>
      <c r="U30">
        <v>0.44178600000000001</v>
      </c>
      <c r="V30" t="s">
        <v>545</v>
      </c>
      <c r="W30">
        <v>0</v>
      </c>
      <c r="X30">
        <v>0</v>
      </c>
      <c r="Y30">
        <v>0</v>
      </c>
      <c r="Z30">
        <v>123.796104</v>
      </c>
      <c r="AA30">
        <v>372.86914100000001</v>
      </c>
      <c r="AB30">
        <v>0.66798999999999997</v>
      </c>
      <c r="AC30">
        <v>0.5</v>
      </c>
      <c r="AD30">
        <v>0.8</v>
      </c>
      <c r="AE30">
        <v>136.500519</v>
      </c>
      <c r="AF30">
        <v>65.11</v>
      </c>
      <c r="AG30">
        <v>64.41</v>
      </c>
      <c r="AH30">
        <v>26.01</v>
      </c>
      <c r="AI30">
        <v>26.92</v>
      </c>
      <c r="AJ30">
        <v>95.62</v>
      </c>
      <c r="AK30">
        <v>156.6</v>
      </c>
      <c r="AL30">
        <v>156.6</v>
      </c>
      <c r="AM30">
        <v>0</v>
      </c>
      <c r="AN30">
        <v>511</v>
      </c>
      <c r="AO30">
        <v>4.0910000000000002</v>
      </c>
      <c r="AP30">
        <v>26</v>
      </c>
      <c r="AQ30">
        <v>-6</v>
      </c>
      <c r="AR30">
        <v>195</v>
      </c>
      <c r="AZ30" s="3">
        <v>0</v>
      </c>
      <c r="BA30" t="s">
        <v>513</v>
      </c>
      <c r="BB30" t="s">
        <v>514</v>
      </c>
      <c r="BC30" t="s">
        <v>514</v>
      </c>
      <c r="BD30" t="s">
        <v>514</v>
      </c>
      <c r="BE30">
        <v>0</v>
      </c>
      <c r="BF30" t="s">
        <v>514</v>
      </c>
      <c r="BG30" s="3">
        <v>6.7789351851851851E-2</v>
      </c>
      <c r="BH30" s="1">
        <v>45149</v>
      </c>
      <c r="BI30">
        <v>-0.48</v>
      </c>
      <c r="BJ30">
        <v>-2E-3</v>
      </c>
      <c r="BK30">
        <v>-2E-3</v>
      </c>
      <c r="BL30">
        <v>5.0000000000000001E-3</v>
      </c>
      <c r="BM30">
        <v>0.54</v>
      </c>
      <c r="BN30">
        <v>1.413</v>
      </c>
      <c r="BO30">
        <v>2.2679999999999998</v>
      </c>
      <c r="BP30">
        <v>1</v>
      </c>
      <c r="BQ30">
        <v>150</v>
      </c>
      <c r="BR30">
        <v>5.0000000000000001E-3</v>
      </c>
      <c r="BS30">
        <v>2</v>
      </c>
      <c r="BT30">
        <v>0</v>
      </c>
      <c r="BU30" t="s">
        <v>200</v>
      </c>
      <c r="BV30">
        <v>7000</v>
      </c>
      <c r="BW30">
        <v>500</v>
      </c>
      <c r="BX30">
        <v>5</v>
      </c>
      <c r="BY30">
        <v>2</v>
      </c>
      <c r="BZ30">
        <v>300</v>
      </c>
      <c r="CA30">
        <v>300</v>
      </c>
      <c r="CB30">
        <v>300</v>
      </c>
      <c r="CC30">
        <v>353.68966699999999</v>
      </c>
      <c r="CD30">
        <v>25</v>
      </c>
      <c r="CE30">
        <v>-13.253306</v>
      </c>
      <c r="CF30">
        <v>353.244415</v>
      </c>
      <c r="CG30">
        <v>353.962738</v>
      </c>
      <c r="CH30">
        <v>-0.71832300000000004</v>
      </c>
      <c r="CI30">
        <v>2.538694</v>
      </c>
      <c r="CJ30">
        <v>2.5485570000000002</v>
      </c>
      <c r="CK30">
        <v>1.6656869999999999</v>
      </c>
      <c r="CL30">
        <v>0.94398499999999996</v>
      </c>
      <c r="CM30">
        <v>0.262019</v>
      </c>
      <c r="CN30">
        <v>1.1493E-2</v>
      </c>
      <c r="CO30">
        <v>0.17114399999999999</v>
      </c>
      <c r="CP30">
        <v>0.55863200000000002</v>
      </c>
      <c r="CQ30">
        <v>123.796104</v>
      </c>
      <c r="CR30">
        <v>3.5799999999999997E-4</v>
      </c>
      <c r="CS30">
        <v>2.4333689999999999</v>
      </c>
      <c r="CT30">
        <v>-3.6000000000000001E-5</v>
      </c>
      <c r="CU30">
        <v>1</v>
      </c>
      <c r="CV30">
        <v>2.4396819999999999</v>
      </c>
      <c r="CW30">
        <v>1.1E-5</v>
      </c>
      <c r="CX30">
        <v>1</v>
      </c>
      <c r="CY30">
        <v>0.60025499999999998</v>
      </c>
      <c r="CZ30">
        <v>0.60245199999999999</v>
      </c>
      <c r="DA30">
        <v>0.106742</v>
      </c>
      <c r="DB30">
        <v>0</v>
      </c>
      <c r="DC30" t="s">
        <v>545</v>
      </c>
      <c r="DD30" t="s">
        <v>515</v>
      </c>
      <c r="DE30" t="s">
        <v>516</v>
      </c>
      <c r="DF30" t="s">
        <v>517</v>
      </c>
      <c r="DG30" t="s">
        <v>518</v>
      </c>
      <c r="DH30" t="s">
        <v>205</v>
      </c>
      <c r="DI30" t="s">
        <v>519</v>
      </c>
    </row>
    <row r="31" spans="1:113">
      <c r="A31">
        <v>4</v>
      </c>
      <c r="B31" s="3">
        <v>6.8553240740740748E-2</v>
      </c>
      <c r="C31" s="1">
        <v>45149</v>
      </c>
      <c r="D31" t="s">
        <v>196</v>
      </c>
      <c r="E31" t="s">
        <v>197</v>
      </c>
      <c r="G31">
        <v>4</v>
      </c>
      <c r="J31">
        <v>3.7613000000000001E-2</v>
      </c>
      <c r="K31">
        <v>2.9211140000000002</v>
      </c>
      <c r="L31">
        <v>3.7135000000000001E-2</v>
      </c>
      <c r="M31">
        <v>0.60811000000000004</v>
      </c>
      <c r="N31">
        <v>2.301946</v>
      </c>
      <c r="O31">
        <v>2.2859400000000001</v>
      </c>
      <c r="P31">
        <v>3.8176350000000001</v>
      </c>
      <c r="Q31">
        <v>1.5156890000000001</v>
      </c>
      <c r="R31">
        <v>23.907446</v>
      </c>
      <c r="S31">
        <v>24.074839000000001</v>
      </c>
      <c r="T31">
        <v>39.926636000000002</v>
      </c>
      <c r="U31">
        <v>0.44178600000000001</v>
      </c>
      <c r="V31" t="s">
        <v>546</v>
      </c>
      <c r="W31">
        <v>0</v>
      </c>
      <c r="X31">
        <v>0</v>
      </c>
      <c r="Y31">
        <v>0</v>
      </c>
      <c r="Z31">
        <v>221.98176599999999</v>
      </c>
      <c r="AA31">
        <v>293.99835200000001</v>
      </c>
      <c r="AB31">
        <v>0.24495600000000001</v>
      </c>
      <c r="AC31">
        <v>0.5</v>
      </c>
      <c r="AD31">
        <v>0.8</v>
      </c>
      <c r="AE31">
        <v>88.746077999999997</v>
      </c>
      <c r="AF31">
        <v>68.099999999999994</v>
      </c>
      <c r="AG31">
        <v>67.62</v>
      </c>
      <c r="AH31">
        <v>26.03</v>
      </c>
      <c r="AI31">
        <v>28.1</v>
      </c>
      <c r="AJ31">
        <v>95.62</v>
      </c>
      <c r="AK31">
        <v>156.6</v>
      </c>
      <c r="AL31">
        <v>156.6</v>
      </c>
      <c r="AM31">
        <v>0</v>
      </c>
      <c r="AN31">
        <v>906</v>
      </c>
      <c r="AO31">
        <v>4.0609999999999999</v>
      </c>
      <c r="AP31">
        <v>61</v>
      </c>
      <c r="AQ31">
        <v>-32</v>
      </c>
      <c r="AR31">
        <v>190</v>
      </c>
      <c r="AZ31" s="3">
        <v>0</v>
      </c>
      <c r="BA31" t="s">
        <v>513</v>
      </c>
      <c r="BB31" t="s">
        <v>514</v>
      </c>
      <c r="BC31" t="s">
        <v>514</v>
      </c>
      <c r="BD31" t="s">
        <v>514</v>
      </c>
      <c r="BE31">
        <v>0</v>
      </c>
      <c r="BF31" t="s">
        <v>514</v>
      </c>
      <c r="BG31" s="3">
        <v>6.7789351851851851E-2</v>
      </c>
      <c r="BH31" s="1">
        <v>45149</v>
      </c>
      <c r="BI31">
        <v>-0.48</v>
      </c>
      <c r="BJ31">
        <v>0</v>
      </c>
      <c r="BK31">
        <v>0</v>
      </c>
      <c r="BL31">
        <v>0.01</v>
      </c>
      <c r="BM31">
        <v>0.19600000000000001</v>
      </c>
      <c r="BN31">
        <v>-1.389</v>
      </c>
      <c r="BO31">
        <v>-1.3360000000000001</v>
      </c>
      <c r="BP31">
        <v>1</v>
      </c>
      <c r="BQ31">
        <v>150</v>
      </c>
      <c r="BR31">
        <v>5.0000000000000001E-3</v>
      </c>
      <c r="BS31">
        <v>2</v>
      </c>
      <c r="BT31">
        <v>0</v>
      </c>
      <c r="BU31" t="s">
        <v>200</v>
      </c>
      <c r="BV31">
        <v>7000</v>
      </c>
      <c r="BW31">
        <v>500</v>
      </c>
      <c r="BX31">
        <v>5</v>
      </c>
      <c r="BY31">
        <v>2</v>
      </c>
      <c r="BZ31">
        <v>300</v>
      </c>
      <c r="CA31">
        <v>300</v>
      </c>
      <c r="CB31">
        <v>300</v>
      </c>
      <c r="CC31">
        <v>291.94198599999999</v>
      </c>
      <c r="CD31">
        <v>25</v>
      </c>
      <c r="CE31">
        <v>-1.3304549999999999</v>
      </c>
      <c r="CF31">
        <v>294.48761000000002</v>
      </c>
      <c r="CG31">
        <v>292.10040300000003</v>
      </c>
      <c r="CH31">
        <v>2.3872070000000001</v>
      </c>
      <c r="CI31">
        <v>2.543329</v>
      </c>
      <c r="CJ31">
        <v>2.5528909999999998</v>
      </c>
      <c r="CK31">
        <v>1.665764</v>
      </c>
      <c r="CL31">
        <v>0.94402600000000003</v>
      </c>
      <c r="CM31">
        <v>0.26175199999999998</v>
      </c>
      <c r="CN31">
        <v>2.5132999999999999E-2</v>
      </c>
      <c r="CO31">
        <v>0.17635600000000001</v>
      </c>
      <c r="CP31">
        <v>0.90792200000000001</v>
      </c>
      <c r="CQ31">
        <v>221.98176599999999</v>
      </c>
      <c r="CR31">
        <v>3.6299999999999999E-4</v>
      </c>
      <c r="CS31">
        <v>2.4333689999999999</v>
      </c>
      <c r="CT31">
        <v>-3.6000000000000001E-5</v>
      </c>
      <c r="CU31">
        <v>1</v>
      </c>
      <c r="CV31">
        <v>2.4396819999999999</v>
      </c>
      <c r="CW31">
        <v>1.1E-5</v>
      </c>
      <c r="CX31">
        <v>1</v>
      </c>
      <c r="CY31">
        <v>0.60025499999999998</v>
      </c>
      <c r="CZ31">
        <v>0.60245199999999999</v>
      </c>
      <c r="DA31">
        <v>0.106742</v>
      </c>
      <c r="DB31">
        <v>0</v>
      </c>
      <c r="DC31" t="s">
        <v>546</v>
      </c>
      <c r="DD31" t="s">
        <v>515</v>
      </c>
      <c r="DE31" t="s">
        <v>516</v>
      </c>
      <c r="DF31" t="s">
        <v>517</v>
      </c>
      <c r="DG31" t="s">
        <v>518</v>
      </c>
      <c r="DH31" t="s">
        <v>205</v>
      </c>
      <c r="DI31" t="s">
        <v>519</v>
      </c>
    </row>
    <row r="32" spans="1:113">
      <c r="A32">
        <v>5</v>
      </c>
      <c r="B32" s="3">
        <v>6.8738425925925925E-2</v>
      </c>
      <c r="C32" s="1">
        <v>45149</v>
      </c>
      <c r="D32" t="s">
        <v>196</v>
      </c>
      <c r="E32" t="s">
        <v>197</v>
      </c>
      <c r="G32">
        <v>5</v>
      </c>
      <c r="J32">
        <v>7.7881000000000006E-2</v>
      </c>
      <c r="K32">
        <v>2.9214250000000002</v>
      </c>
      <c r="L32">
        <v>7.5858999999999996E-2</v>
      </c>
      <c r="M32">
        <v>0.853634</v>
      </c>
      <c r="N32">
        <v>2.3654229999999998</v>
      </c>
      <c r="O32">
        <v>2.3429739999999999</v>
      </c>
      <c r="P32">
        <v>3.4089710000000002</v>
      </c>
      <c r="Q32">
        <v>1.0435479999999999</v>
      </c>
      <c r="R32">
        <v>24.502136</v>
      </c>
      <c r="S32">
        <v>24.736898</v>
      </c>
      <c r="T32">
        <v>35.650016999999998</v>
      </c>
      <c r="U32">
        <v>0.44178600000000001</v>
      </c>
      <c r="V32" t="s">
        <v>547</v>
      </c>
      <c r="W32">
        <v>0</v>
      </c>
      <c r="X32">
        <v>0</v>
      </c>
      <c r="Y32">
        <v>0</v>
      </c>
      <c r="Z32">
        <v>167.089462</v>
      </c>
      <c r="AA32">
        <v>553.907104</v>
      </c>
      <c r="AB32">
        <v>0.69834399999999996</v>
      </c>
      <c r="AC32">
        <v>0.5</v>
      </c>
      <c r="AD32">
        <v>0.8</v>
      </c>
      <c r="AE32">
        <v>24.878284000000001</v>
      </c>
      <c r="AF32">
        <v>69.900000000000006</v>
      </c>
      <c r="AG32">
        <v>69.239999999999995</v>
      </c>
      <c r="AH32">
        <v>26.05</v>
      </c>
      <c r="AI32">
        <v>26.17</v>
      </c>
      <c r="AJ32">
        <v>95.62</v>
      </c>
      <c r="AK32">
        <v>156.69999999999999</v>
      </c>
      <c r="AL32">
        <v>156.6</v>
      </c>
      <c r="AM32">
        <v>0</v>
      </c>
      <c r="AN32">
        <v>89</v>
      </c>
      <c r="AO32">
        <v>4.0890000000000004</v>
      </c>
      <c r="AP32">
        <v>47</v>
      </c>
      <c r="AQ32">
        <v>-43</v>
      </c>
      <c r="AR32">
        <v>197</v>
      </c>
      <c r="AZ32" s="3">
        <v>0</v>
      </c>
      <c r="BA32" t="s">
        <v>513</v>
      </c>
      <c r="BB32" t="s">
        <v>514</v>
      </c>
      <c r="BC32" t="s">
        <v>514</v>
      </c>
      <c r="BD32" t="s">
        <v>514</v>
      </c>
      <c r="BE32">
        <v>0</v>
      </c>
      <c r="BF32" t="s">
        <v>514</v>
      </c>
      <c r="BG32" s="3">
        <v>6.7789351851851851E-2</v>
      </c>
      <c r="BH32" s="1">
        <v>45149</v>
      </c>
      <c r="BI32">
        <v>-0.48</v>
      </c>
      <c r="BJ32">
        <v>2E-3</v>
      </c>
      <c r="BK32">
        <v>2E-3</v>
      </c>
      <c r="BL32">
        <v>-0.01</v>
      </c>
      <c r="BM32">
        <v>1.262</v>
      </c>
      <c r="BN32">
        <v>-1.48</v>
      </c>
      <c r="BO32">
        <v>-0.152</v>
      </c>
      <c r="BP32">
        <v>1</v>
      </c>
      <c r="BQ32">
        <v>150</v>
      </c>
      <c r="BR32">
        <v>5.0000000000000001E-3</v>
      </c>
      <c r="BS32">
        <v>2</v>
      </c>
      <c r="BT32">
        <v>0</v>
      </c>
      <c r="BU32" t="s">
        <v>200</v>
      </c>
      <c r="BV32">
        <v>7000</v>
      </c>
      <c r="BW32">
        <v>500</v>
      </c>
      <c r="BX32">
        <v>5</v>
      </c>
      <c r="BY32">
        <v>2</v>
      </c>
      <c r="BZ32">
        <v>300</v>
      </c>
      <c r="CA32">
        <v>300</v>
      </c>
      <c r="CB32">
        <v>300</v>
      </c>
      <c r="CC32">
        <v>541.28015100000005</v>
      </c>
      <c r="CD32">
        <v>25</v>
      </c>
      <c r="CE32">
        <v>-9.5895229999999998</v>
      </c>
      <c r="CF32">
        <v>537.90270999999996</v>
      </c>
      <c r="CG32">
        <v>540.22723399999995</v>
      </c>
      <c r="CH32">
        <v>-2.3245239999999998</v>
      </c>
      <c r="CI32">
        <v>2.545658</v>
      </c>
      <c r="CJ32">
        <v>2.5555050000000001</v>
      </c>
      <c r="CK32">
        <v>1.666091</v>
      </c>
      <c r="CL32">
        <v>0.943971</v>
      </c>
      <c r="CM32">
        <v>0.26156600000000002</v>
      </c>
      <c r="CN32">
        <v>2.2390000000000001E-3</v>
      </c>
      <c r="CO32">
        <v>0.17874300000000001</v>
      </c>
      <c r="CP32">
        <v>0.18552299999999999</v>
      </c>
      <c r="CQ32">
        <v>167.089462</v>
      </c>
      <c r="CR32">
        <v>3.59E-4</v>
      </c>
      <c r="CS32">
        <v>2.4333689999999999</v>
      </c>
      <c r="CT32">
        <v>-3.6000000000000001E-5</v>
      </c>
      <c r="CU32">
        <v>1</v>
      </c>
      <c r="CV32">
        <v>2.4396819999999999</v>
      </c>
      <c r="CW32">
        <v>1.1E-5</v>
      </c>
      <c r="CX32">
        <v>1</v>
      </c>
      <c r="CY32">
        <v>0.60025499999999998</v>
      </c>
      <c r="CZ32">
        <v>0.60245199999999999</v>
      </c>
      <c r="DA32">
        <v>0.106742</v>
      </c>
      <c r="DB32">
        <v>0</v>
      </c>
      <c r="DC32" t="s">
        <v>547</v>
      </c>
      <c r="DD32" t="s">
        <v>515</v>
      </c>
      <c r="DE32" t="s">
        <v>516</v>
      </c>
      <c r="DF32" t="s">
        <v>517</v>
      </c>
      <c r="DG32" t="s">
        <v>518</v>
      </c>
      <c r="DH32" t="s">
        <v>205</v>
      </c>
      <c r="DI32" t="s">
        <v>519</v>
      </c>
    </row>
    <row r="33" spans="1:113">
      <c r="A33">
        <v>1</v>
      </c>
      <c r="B33" s="3">
        <v>7.3530092592592591E-2</v>
      </c>
      <c r="C33" s="1">
        <v>45149</v>
      </c>
      <c r="D33" t="s">
        <v>196</v>
      </c>
      <c r="E33" t="s">
        <v>197</v>
      </c>
      <c r="G33">
        <v>1</v>
      </c>
      <c r="J33">
        <v>5.0278999999999997E-2</v>
      </c>
      <c r="K33">
        <v>2.9196960000000001</v>
      </c>
      <c r="L33">
        <v>4.9428E-2</v>
      </c>
      <c r="M33">
        <v>0.67839300000000002</v>
      </c>
      <c r="N33">
        <v>2.2041550000000001</v>
      </c>
      <c r="O33">
        <v>2.1862629999999998</v>
      </c>
      <c r="P33">
        <v>3.4773010000000002</v>
      </c>
      <c r="Q33">
        <v>1.2731460000000001</v>
      </c>
      <c r="R33">
        <v>22.868383000000001</v>
      </c>
      <c r="S33">
        <v>23.055529</v>
      </c>
      <c r="T33">
        <v>36.372681</v>
      </c>
      <c r="U33">
        <v>0.44178600000000001</v>
      </c>
      <c r="V33" t="s">
        <v>548</v>
      </c>
      <c r="W33">
        <v>0</v>
      </c>
      <c r="X33">
        <v>0</v>
      </c>
      <c r="Y33">
        <v>0</v>
      </c>
      <c r="Z33">
        <v>88.275786999999994</v>
      </c>
      <c r="AA33">
        <v>334.13342299999999</v>
      </c>
      <c r="AB33">
        <v>0.73580699999999999</v>
      </c>
      <c r="AC33">
        <v>0.5</v>
      </c>
      <c r="AD33">
        <v>0.8</v>
      </c>
      <c r="AE33">
        <v>204.55990600000001</v>
      </c>
      <c r="AF33">
        <v>64.16</v>
      </c>
      <c r="AG33">
        <v>63.64</v>
      </c>
      <c r="AH33">
        <v>26.3</v>
      </c>
      <c r="AI33">
        <v>26.51</v>
      </c>
      <c r="AJ33">
        <v>95.6</v>
      </c>
      <c r="AK33">
        <v>156.5</v>
      </c>
      <c r="AL33">
        <v>156.80000000000001</v>
      </c>
      <c r="AM33">
        <v>-0.2</v>
      </c>
      <c r="AN33">
        <v>695</v>
      </c>
      <c r="AO33">
        <v>4.0869999999999997</v>
      </c>
      <c r="AP33">
        <v>30</v>
      </c>
      <c r="AQ33">
        <v>-11</v>
      </c>
      <c r="AR33">
        <v>251</v>
      </c>
      <c r="AZ33" s="3">
        <v>0</v>
      </c>
      <c r="BA33" t="s">
        <v>513</v>
      </c>
      <c r="BB33" t="s">
        <v>514</v>
      </c>
      <c r="BC33" t="s">
        <v>514</v>
      </c>
      <c r="BD33" t="s">
        <v>514</v>
      </c>
      <c r="BE33">
        <v>0</v>
      </c>
      <c r="BF33" t="s">
        <v>514</v>
      </c>
      <c r="BG33" s="3">
        <v>7.3344907407407414E-2</v>
      </c>
      <c r="BH33" s="1">
        <v>45149</v>
      </c>
      <c r="BI33">
        <v>-0.61</v>
      </c>
      <c r="BJ33">
        <v>-4.0000000000000001E-3</v>
      </c>
      <c r="BK33">
        <v>-5.0000000000000001E-3</v>
      </c>
      <c r="BL33">
        <v>-0.02</v>
      </c>
      <c r="BM33">
        <v>1.4999999999999999E-2</v>
      </c>
      <c r="BN33">
        <v>0.28299999999999997</v>
      </c>
      <c r="BO33">
        <v>1.0940000000000001</v>
      </c>
      <c r="BP33">
        <v>1</v>
      </c>
      <c r="BQ33">
        <v>150</v>
      </c>
      <c r="BR33">
        <v>5.0000000000000001E-3</v>
      </c>
      <c r="BS33">
        <v>2</v>
      </c>
      <c r="BT33">
        <v>0</v>
      </c>
      <c r="BU33" t="s">
        <v>200</v>
      </c>
      <c r="BV33">
        <v>7000</v>
      </c>
      <c r="BW33">
        <v>500</v>
      </c>
      <c r="BX33">
        <v>5</v>
      </c>
      <c r="BY33">
        <v>2</v>
      </c>
      <c r="BZ33">
        <v>300</v>
      </c>
      <c r="CA33">
        <v>300</v>
      </c>
      <c r="CB33">
        <v>300</v>
      </c>
      <c r="CC33">
        <v>316.51711999999998</v>
      </c>
      <c r="CD33">
        <v>25</v>
      </c>
      <c r="CE33">
        <v>-12.332786</v>
      </c>
      <c r="CF33">
        <v>318.08422899999999</v>
      </c>
      <c r="CG33">
        <v>316.54019199999999</v>
      </c>
      <c r="CH33">
        <v>1.5440370000000001</v>
      </c>
      <c r="CI33">
        <v>2.5375179999999999</v>
      </c>
      <c r="CJ33">
        <v>2.5473279999999998</v>
      </c>
      <c r="CK33">
        <v>1.664272</v>
      </c>
      <c r="CL33">
        <v>0.94440900000000005</v>
      </c>
      <c r="CM33">
        <v>0.25893699999999997</v>
      </c>
      <c r="CN33">
        <v>3.1840000000000002E-3</v>
      </c>
      <c r="CO33">
        <v>0.15143499999999999</v>
      </c>
      <c r="CP33">
        <v>0.72153</v>
      </c>
      <c r="CQ33">
        <v>88.275786999999994</v>
      </c>
      <c r="CR33">
        <v>3.6299999999999999E-4</v>
      </c>
      <c r="CS33">
        <v>2.4333689999999999</v>
      </c>
      <c r="CT33">
        <v>-3.6000000000000001E-5</v>
      </c>
      <c r="CU33">
        <v>1</v>
      </c>
      <c r="CV33">
        <v>2.4396819999999999</v>
      </c>
      <c r="CW33">
        <v>1.1E-5</v>
      </c>
      <c r="CX33">
        <v>1</v>
      </c>
      <c r="CY33">
        <v>0.60025499999999998</v>
      </c>
      <c r="CZ33">
        <v>0.60245199999999999</v>
      </c>
      <c r="DA33">
        <v>0.106742</v>
      </c>
      <c r="DB33">
        <v>0</v>
      </c>
      <c r="DC33" t="s">
        <v>548</v>
      </c>
      <c r="DD33" t="s">
        <v>515</v>
      </c>
      <c r="DE33" t="s">
        <v>516</v>
      </c>
      <c r="DF33" t="s">
        <v>517</v>
      </c>
      <c r="DG33" t="s">
        <v>518</v>
      </c>
      <c r="DH33" t="s">
        <v>205</v>
      </c>
      <c r="DI33" t="s">
        <v>519</v>
      </c>
    </row>
    <row r="34" spans="1:113">
      <c r="A34">
        <v>2</v>
      </c>
      <c r="B34" s="3">
        <v>7.3692129629629635E-2</v>
      </c>
      <c r="C34" s="1">
        <v>45149</v>
      </c>
      <c r="D34" t="s">
        <v>196</v>
      </c>
      <c r="E34" t="s">
        <v>197</v>
      </c>
      <c r="G34">
        <v>2</v>
      </c>
      <c r="J34">
        <v>0.101498</v>
      </c>
      <c r="K34">
        <v>2.920385</v>
      </c>
      <c r="L34">
        <v>9.8088999999999996E-2</v>
      </c>
      <c r="M34">
        <v>1.198639</v>
      </c>
      <c r="N34">
        <v>2.2213699999999998</v>
      </c>
      <c r="O34">
        <v>2.189784</v>
      </c>
      <c r="P34">
        <v>3.3554490000000001</v>
      </c>
      <c r="Q34">
        <v>1.1340790000000001</v>
      </c>
      <c r="R34">
        <v>22.907003</v>
      </c>
      <c r="S34">
        <v>23.237427</v>
      </c>
      <c r="T34">
        <v>35.100856999999998</v>
      </c>
      <c r="U34">
        <v>0.44178600000000001</v>
      </c>
      <c r="V34" t="s">
        <v>549</v>
      </c>
      <c r="W34">
        <v>0</v>
      </c>
      <c r="X34">
        <v>0</v>
      </c>
      <c r="Y34">
        <v>0</v>
      </c>
      <c r="Z34">
        <v>109.38370500000001</v>
      </c>
      <c r="AA34">
        <v>460.68298299999998</v>
      </c>
      <c r="AB34">
        <v>0.76256199999999996</v>
      </c>
      <c r="AC34">
        <v>0.5</v>
      </c>
      <c r="AD34">
        <v>0.8</v>
      </c>
      <c r="AE34">
        <v>149.835037</v>
      </c>
      <c r="AF34">
        <v>64.63</v>
      </c>
      <c r="AG34">
        <v>63.71</v>
      </c>
      <c r="AH34">
        <v>26.31</v>
      </c>
      <c r="AI34">
        <v>25.91</v>
      </c>
      <c r="AJ34">
        <v>95.59</v>
      </c>
      <c r="AK34">
        <v>156.5</v>
      </c>
      <c r="AL34">
        <v>156.69999999999999</v>
      </c>
      <c r="AM34">
        <v>-0.1</v>
      </c>
      <c r="AN34">
        <v>491</v>
      </c>
      <c r="AO34">
        <v>4.0869999999999997</v>
      </c>
      <c r="AP34">
        <v>36</v>
      </c>
      <c r="AQ34">
        <v>-21</v>
      </c>
      <c r="AR34">
        <v>293</v>
      </c>
      <c r="AZ34" s="3">
        <v>0</v>
      </c>
      <c r="BA34" t="s">
        <v>513</v>
      </c>
      <c r="BB34" t="s">
        <v>514</v>
      </c>
      <c r="BC34" t="s">
        <v>514</v>
      </c>
      <c r="BD34" t="s">
        <v>514</v>
      </c>
      <c r="BE34">
        <v>0</v>
      </c>
      <c r="BF34" t="s">
        <v>514</v>
      </c>
      <c r="BG34" s="3">
        <v>7.3344907407407414E-2</v>
      </c>
      <c r="BH34" s="1">
        <v>45149</v>
      </c>
      <c r="BI34">
        <v>-0.61</v>
      </c>
      <c r="BJ34">
        <v>0</v>
      </c>
      <c r="BK34">
        <v>4.0000000000000001E-3</v>
      </c>
      <c r="BL34">
        <v>4.0000000000000001E-3</v>
      </c>
      <c r="BM34">
        <v>7.2999999999999995E-2</v>
      </c>
      <c r="BN34">
        <v>-1.401</v>
      </c>
      <c r="BO34">
        <v>-10.122</v>
      </c>
      <c r="BP34">
        <v>1</v>
      </c>
      <c r="BQ34">
        <v>150</v>
      </c>
      <c r="BR34">
        <v>5.0000000000000001E-3</v>
      </c>
      <c r="BS34">
        <v>2</v>
      </c>
      <c r="BT34">
        <v>0</v>
      </c>
      <c r="BU34" t="s">
        <v>200</v>
      </c>
      <c r="BV34">
        <v>7000</v>
      </c>
      <c r="BW34">
        <v>500</v>
      </c>
      <c r="BX34">
        <v>5</v>
      </c>
      <c r="BY34">
        <v>2</v>
      </c>
      <c r="BZ34">
        <v>300</v>
      </c>
      <c r="CA34">
        <v>300</v>
      </c>
      <c r="CB34">
        <v>300</v>
      </c>
      <c r="CC34">
        <v>440.20486499999998</v>
      </c>
      <c r="CD34">
        <v>25</v>
      </c>
      <c r="CE34">
        <v>-14.999185000000001</v>
      </c>
      <c r="CF34">
        <v>437.64425699999998</v>
      </c>
      <c r="CG34">
        <v>439.28601099999997</v>
      </c>
      <c r="CH34">
        <v>-1.6417539999999999</v>
      </c>
      <c r="CI34">
        <v>2.537614</v>
      </c>
      <c r="CJ34">
        <v>2.548003</v>
      </c>
      <c r="CK34">
        <v>1.6649959999999999</v>
      </c>
      <c r="CL34">
        <v>0.94433500000000004</v>
      </c>
      <c r="CM34">
        <v>0.25884099999999999</v>
      </c>
      <c r="CN34">
        <v>-3.9329999999999999E-3</v>
      </c>
      <c r="CO34">
        <v>0.15384800000000001</v>
      </c>
      <c r="CP34">
        <v>0.54125900000000005</v>
      </c>
      <c r="CQ34">
        <v>109.38370500000001</v>
      </c>
      <c r="CR34">
        <v>3.5500000000000001E-4</v>
      </c>
      <c r="CS34">
        <v>2.4333689999999999</v>
      </c>
      <c r="CT34">
        <v>-3.6000000000000001E-5</v>
      </c>
      <c r="CU34">
        <v>1</v>
      </c>
      <c r="CV34">
        <v>2.4396819999999999</v>
      </c>
      <c r="CW34">
        <v>1.1E-5</v>
      </c>
      <c r="CX34">
        <v>1</v>
      </c>
      <c r="CY34">
        <v>0.60025499999999998</v>
      </c>
      <c r="CZ34">
        <v>0.60245199999999999</v>
      </c>
      <c r="DA34">
        <v>0.106742</v>
      </c>
      <c r="DB34">
        <v>0</v>
      </c>
      <c r="DC34" t="s">
        <v>549</v>
      </c>
      <c r="DD34" t="s">
        <v>515</v>
      </c>
      <c r="DE34" t="s">
        <v>516</v>
      </c>
      <c r="DF34" t="s">
        <v>517</v>
      </c>
      <c r="DG34" t="s">
        <v>518</v>
      </c>
      <c r="DH34" t="s">
        <v>205</v>
      </c>
      <c r="DI34" t="s">
        <v>519</v>
      </c>
    </row>
    <row r="35" spans="1:113">
      <c r="A35">
        <v>3</v>
      </c>
      <c r="B35" s="3">
        <v>7.3935185185185187E-2</v>
      </c>
      <c r="C35" s="1">
        <v>45149</v>
      </c>
      <c r="D35" t="s">
        <v>196</v>
      </c>
      <c r="E35" t="s">
        <v>197</v>
      </c>
      <c r="G35">
        <v>3</v>
      </c>
      <c r="J35">
        <v>7.9555000000000001E-2</v>
      </c>
      <c r="K35">
        <v>2.9203480000000002</v>
      </c>
      <c r="L35">
        <v>7.7446000000000001E-2</v>
      </c>
      <c r="M35">
        <v>0.94210499999999997</v>
      </c>
      <c r="N35">
        <v>2.2234349999999998</v>
      </c>
      <c r="O35">
        <v>2.198607</v>
      </c>
      <c r="P35">
        <v>3.3524539999999998</v>
      </c>
      <c r="Q35">
        <v>1.129019</v>
      </c>
      <c r="R35">
        <v>22.998287000000001</v>
      </c>
      <c r="S35">
        <v>23.257994</v>
      </c>
      <c r="T35">
        <v>35.067974</v>
      </c>
      <c r="U35">
        <v>0.44178600000000001</v>
      </c>
      <c r="V35" t="s">
        <v>550</v>
      </c>
      <c r="W35">
        <v>0</v>
      </c>
      <c r="X35">
        <v>0</v>
      </c>
      <c r="Y35">
        <v>0</v>
      </c>
      <c r="Z35">
        <v>112.641335</v>
      </c>
      <c r="AA35">
        <v>473.63232399999998</v>
      </c>
      <c r="AB35">
        <v>0.76217599999999996</v>
      </c>
      <c r="AC35">
        <v>0.5</v>
      </c>
      <c r="AD35">
        <v>0.8</v>
      </c>
      <c r="AE35">
        <v>179.58982800000001</v>
      </c>
      <c r="AF35">
        <v>64.67</v>
      </c>
      <c r="AG35">
        <v>63.95</v>
      </c>
      <c r="AH35">
        <v>26.32</v>
      </c>
      <c r="AI35">
        <v>25.89</v>
      </c>
      <c r="AJ35">
        <v>95.6</v>
      </c>
      <c r="AK35">
        <v>156.5</v>
      </c>
      <c r="AL35">
        <v>156.4</v>
      </c>
      <c r="AM35">
        <v>0.1</v>
      </c>
      <c r="AN35">
        <v>589</v>
      </c>
      <c r="AO35">
        <v>4.0860000000000003</v>
      </c>
      <c r="AP35">
        <v>34</v>
      </c>
      <c r="AQ35">
        <v>-3</v>
      </c>
      <c r="AR35">
        <v>304</v>
      </c>
      <c r="AZ35" s="3">
        <v>0</v>
      </c>
      <c r="BA35" t="s">
        <v>513</v>
      </c>
      <c r="BB35" t="s">
        <v>514</v>
      </c>
      <c r="BC35" t="s">
        <v>514</v>
      </c>
      <c r="BD35" t="s">
        <v>514</v>
      </c>
      <c r="BE35">
        <v>0</v>
      </c>
      <c r="BF35" t="s">
        <v>514</v>
      </c>
      <c r="BG35" s="3">
        <v>7.3344907407407414E-2</v>
      </c>
      <c r="BH35" s="1">
        <v>45149</v>
      </c>
      <c r="BI35">
        <v>-0.61</v>
      </c>
      <c r="BJ35">
        <v>1E-3</v>
      </c>
      <c r="BK35">
        <v>2E-3</v>
      </c>
      <c r="BL35">
        <v>1E-3</v>
      </c>
      <c r="BM35">
        <v>0.16500000000000001</v>
      </c>
      <c r="BN35">
        <v>-0.59399999999999997</v>
      </c>
      <c r="BO35">
        <v>-12.917</v>
      </c>
      <c r="BP35">
        <v>1</v>
      </c>
      <c r="BQ35">
        <v>150</v>
      </c>
      <c r="BR35">
        <v>5.0000000000000001E-3</v>
      </c>
      <c r="BS35">
        <v>2</v>
      </c>
      <c r="BT35">
        <v>0</v>
      </c>
      <c r="BU35" t="s">
        <v>200</v>
      </c>
      <c r="BV35">
        <v>7000</v>
      </c>
      <c r="BW35">
        <v>500</v>
      </c>
      <c r="BX35">
        <v>5</v>
      </c>
      <c r="BY35">
        <v>2</v>
      </c>
      <c r="BZ35">
        <v>300</v>
      </c>
      <c r="CA35">
        <v>300</v>
      </c>
      <c r="CB35">
        <v>300</v>
      </c>
      <c r="CC35">
        <v>453.17245500000001</v>
      </c>
      <c r="CD35">
        <v>25</v>
      </c>
      <c r="CE35">
        <v>-15.324935999999999</v>
      </c>
      <c r="CF35">
        <v>446.85494999999997</v>
      </c>
      <c r="CG35">
        <v>451.77066000000002</v>
      </c>
      <c r="CH35">
        <v>-4.9157099999999998</v>
      </c>
      <c r="CI35">
        <v>2.5379610000000001</v>
      </c>
      <c r="CJ35">
        <v>2.5480670000000001</v>
      </c>
      <c r="CK35">
        <v>1.6649579999999999</v>
      </c>
      <c r="CL35">
        <v>0.94352999999999998</v>
      </c>
      <c r="CM35">
        <v>0.25879799999999997</v>
      </c>
      <c r="CN35">
        <v>-4.156E-3</v>
      </c>
      <c r="CO35">
        <v>0.157332</v>
      </c>
      <c r="CP35">
        <v>0.62781100000000001</v>
      </c>
      <c r="CQ35">
        <v>112.641335</v>
      </c>
      <c r="CR35">
        <v>3.6299999999999999E-4</v>
      </c>
      <c r="CS35">
        <v>2.4333689999999999</v>
      </c>
      <c r="CT35">
        <v>-3.6000000000000001E-5</v>
      </c>
      <c r="CU35">
        <v>1</v>
      </c>
      <c r="CV35">
        <v>2.4396819999999999</v>
      </c>
      <c r="CW35">
        <v>1.1E-5</v>
      </c>
      <c r="CX35">
        <v>1</v>
      </c>
      <c r="CY35">
        <v>0.60025499999999998</v>
      </c>
      <c r="CZ35">
        <v>0.60245199999999999</v>
      </c>
      <c r="DA35">
        <v>0.106742</v>
      </c>
      <c r="DB35">
        <v>0</v>
      </c>
      <c r="DC35" t="s">
        <v>550</v>
      </c>
      <c r="DD35" t="s">
        <v>515</v>
      </c>
      <c r="DE35" t="s">
        <v>516</v>
      </c>
      <c r="DF35" t="s">
        <v>517</v>
      </c>
      <c r="DG35" t="s">
        <v>518</v>
      </c>
      <c r="DH35" t="s">
        <v>205</v>
      </c>
      <c r="DI35" t="s">
        <v>519</v>
      </c>
    </row>
    <row r="36" spans="1:113">
      <c r="A36">
        <v>4</v>
      </c>
      <c r="B36" s="3">
        <v>7.4120370370370378E-2</v>
      </c>
      <c r="C36" s="1">
        <v>45149</v>
      </c>
      <c r="D36" t="s">
        <v>196</v>
      </c>
      <c r="E36" t="s">
        <v>197</v>
      </c>
      <c r="G36">
        <v>4</v>
      </c>
      <c r="J36">
        <v>1.3636000000000001E-2</v>
      </c>
      <c r="K36">
        <v>2.9203519999999998</v>
      </c>
      <c r="L36">
        <v>1.3573E-2</v>
      </c>
      <c r="M36">
        <v>0.166715</v>
      </c>
      <c r="N36">
        <v>2.262737</v>
      </c>
      <c r="O36">
        <v>2.2583449999999998</v>
      </c>
      <c r="P36">
        <v>3.4022209999999999</v>
      </c>
      <c r="Q36">
        <v>1.1394839999999999</v>
      </c>
      <c r="R36">
        <v>23.622610000000002</v>
      </c>
      <c r="S36">
        <v>23.668548999999999</v>
      </c>
      <c r="T36">
        <v>35.587710999999999</v>
      </c>
      <c r="U36">
        <v>0.44178600000000001</v>
      </c>
      <c r="V36" t="s">
        <v>551</v>
      </c>
      <c r="W36">
        <v>0</v>
      </c>
      <c r="X36">
        <v>0</v>
      </c>
      <c r="Y36">
        <v>0</v>
      </c>
      <c r="Z36">
        <v>112.394569</v>
      </c>
      <c r="AA36">
        <v>440.91888399999999</v>
      </c>
      <c r="AB36">
        <v>0.74509000000000003</v>
      </c>
      <c r="AC36">
        <v>0.5</v>
      </c>
      <c r="AD36">
        <v>0.8</v>
      </c>
      <c r="AE36">
        <v>23.558928000000002</v>
      </c>
      <c r="AF36">
        <v>65.78</v>
      </c>
      <c r="AG36">
        <v>65.650000000000006</v>
      </c>
      <c r="AH36">
        <v>26.33</v>
      </c>
      <c r="AI36">
        <v>26.14</v>
      </c>
      <c r="AJ36">
        <v>95.6</v>
      </c>
      <c r="AK36">
        <v>156.5</v>
      </c>
      <c r="AL36">
        <v>156.19999999999999</v>
      </c>
      <c r="AM36">
        <v>0.2</v>
      </c>
      <c r="AN36">
        <v>79</v>
      </c>
      <c r="AO36">
        <v>4.0860000000000003</v>
      </c>
      <c r="AP36">
        <v>45</v>
      </c>
      <c r="AQ36">
        <v>-10</v>
      </c>
      <c r="AR36">
        <v>345</v>
      </c>
      <c r="AZ36" s="3">
        <v>0</v>
      </c>
      <c r="BA36" t="s">
        <v>513</v>
      </c>
      <c r="BB36" t="s">
        <v>514</v>
      </c>
      <c r="BC36" t="s">
        <v>514</v>
      </c>
      <c r="BD36" t="s">
        <v>514</v>
      </c>
      <c r="BE36">
        <v>0</v>
      </c>
      <c r="BF36" t="s">
        <v>514</v>
      </c>
      <c r="BG36" s="3">
        <v>7.3344907407407414E-2</v>
      </c>
      <c r="BH36" s="1">
        <v>45149</v>
      </c>
      <c r="BI36">
        <v>-0.61</v>
      </c>
      <c r="BJ36">
        <v>3.0000000000000001E-3</v>
      </c>
      <c r="BK36">
        <v>2E-3</v>
      </c>
      <c r="BL36">
        <v>-9999</v>
      </c>
      <c r="BM36">
        <v>0.78300000000000003</v>
      </c>
      <c r="BN36">
        <v>1.413</v>
      </c>
      <c r="BO36">
        <v>-9999</v>
      </c>
      <c r="BP36">
        <v>1</v>
      </c>
      <c r="BQ36">
        <v>150</v>
      </c>
      <c r="BR36">
        <v>5.0000000000000001E-3</v>
      </c>
      <c r="BS36">
        <v>2</v>
      </c>
      <c r="BT36">
        <v>0</v>
      </c>
      <c r="BU36" t="s">
        <v>200</v>
      </c>
      <c r="BV36">
        <v>7000</v>
      </c>
      <c r="BW36">
        <v>500</v>
      </c>
      <c r="BX36">
        <v>5</v>
      </c>
      <c r="BY36">
        <v>2</v>
      </c>
      <c r="BZ36">
        <v>300</v>
      </c>
      <c r="CA36">
        <v>300</v>
      </c>
      <c r="CB36">
        <v>300</v>
      </c>
      <c r="CC36">
        <v>433.11309799999998</v>
      </c>
      <c r="CD36">
        <v>25</v>
      </c>
      <c r="CE36">
        <v>-5.8671769999999999</v>
      </c>
      <c r="CF36">
        <v>435.00744600000002</v>
      </c>
      <c r="CG36">
        <v>432.549103</v>
      </c>
      <c r="CH36">
        <v>2.4583439999999999</v>
      </c>
      <c r="CI36">
        <v>2.5404170000000001</v>
      </c>
      <c r="CJ36">
        <v>2.549668</v>
      </c>
      <c r="CK36">
        <v>1.6649609999999999</v>
      </c>
      <c r="CL36">
        <v>0.94299100000000002</v>
      </c>
      <c r="CM36">
        <v>0.25869399999999998</v>
      </c>
      <c r="CN36">
        <v>-1.39E-3</v>
      </c>
      <c r="CO36">
        <v>0.15989500000000001</v>
      </c>
      <c r="CP36">
        <v>0.17666399999999999</v>
      </c>
      <c r="CQ36">
        <v>112.394569</v>
      </c>
      <c r="CR36">
        <v>3.59E-4</v>
      </c>
      <c r="CS36">
        <v>2.4333689999999999</v>
      </c>
      <c r="CT36">
        <v>-3.6000000000000001E-5</v>
      </c>
      <c r="CU36">
        <v>1</v>
      </c>
      <c r="CV36">
        <v>2.4396819999999999</v>
      </c>
      <c r="CW36">
        <v>1.1E-5</v>
      </c>
      <c r="CX36">
        <v>1</v>
      </c>
      <c r="CY36">
        <v>0.60025499999999998</v>
      </c>
      <c r="CZ36">
        <v>0.60245199999999999</v>
      </c>
      <c r="DA36">
        <v>0.106742</v>
      </c>
      <c r="DB36">
        <v>0</v>
      </c>
      <c r="DC36" t="s">
        <v>551</v>
      </c>
      <c r="DD36" t="s">
        <v>515</v>
      </c>
      <c r="DE36" t="s">
        <v>516</v>
      </c>
      <c r="DF36" t="s">
        <v>517</v>
      </c>
      <c r="DG36" t="s">
        <v>518</v>
      </c>
      <c r="DH36" t="s">
        <v>205</v>
      </c>
      <c r="DI36" t="s">
        <v>519</v>
      </c>
    </row>
    <row r="37" spans="1:113">
      <c r="A37">
        <v>1</v>
      </c>
      <c r="B37" s="3">
        <v>7.6898148148148146E-2</v>
      </c>
      <c r="C37" s="1">
        <v>45149</v>
      </c>
      <c r="D37" t="s">
        <v>196</v>
      </c>
      <c r="E37" t="s">
        <v>197</v>
      </c>
      <c r="G37">
        <v>1</v>
      </c>
      <c r="J37">
        <v>0.13963300000000001</v>
      </c>
      <c r="K37">
        <v>2.9211049999999998</v>
      </c>
      <c r="L37">
        <v>0.13326299999999999</v>
      </c>
      <c r="M37">
        <v>1.8028960000000001</v>
      </c>
      <c r="N37">
        <v>2.292211</v>
      </c>
      <c r="O37">
        <v>2.2447530000000002</v>
      </c>
      <c r="P37">
        <v>3.5462880000000001</v>
      </c>
      <c r="Q37">
        <v>1.254078</v>
      </c>
      <c r="R37">
        <v>23.476811999999999</v>
      </c>
      <c r="S37">
        <v>23.97315</v>
      </c>
      <c r="T37">
        <v>37.088954999999999</v>
      </c>
      <c r="U37">
        <v>0.44178600000000001</v>
      </c>
      <c r="V37" t="s">
        <v>552</v>
      </c>
      <c r="W37">
        <v>0</v>
      </c>
      <c r="X37">
        <v>0</v>
      </c>
      <c r="Y37">
        <v>0</v>
      </c>
      <c r="Z37">
        <v>109.09831200000001</v>
      </c>
      <c r="AA37">
        <v>370.69622800000002</v>
      </c>
      <c r="AB37">
        <v>0.70569300000000001</v>
      </c>
      <c r="AC37">
        <v>0.5</v>
      </c>
      <c r="AD37">
        <v>0.8</v>
      </c>
      <c r="AE37">
        <v>214.122726</v>
      </c>
      <c r="AF37">
        <v>66.290000000000006</v>
      </c>
      <c r="AG37">
        <v>64.91</v>
      </c>
      <c r="AH37">
        <v>26.41</v>
      </c>
      <c r="AI37">
        <v>26.84</v>
      </c>
      <c r="AJ37">
        <v>95.62</v>
      </c>
      <c r="AK37">
        <v>156.6</v>
      </c>
      <c r="AL37">
        <v>134.6</v>
      </c>
      <c r="AM37">
        <v>14.1</v>
      </c>
      <c r="AN37">
        <v>759</v>
      </c>
      <c r="AO37">
        <v>4.0839999999999996</v>
      </c>
      <c r="AP37">
        <v>42</v>
      </c>
      <c r="AQ37">
        <v>-23</v>
      </c>
      <c r="AR37">
        <v>276</v>
      </c>
      <c r="AZ37" s="3">
        <v>0</v>
      </c>
      <c r="BA37" t="s">
        <v>513</v>
      </c>
      <c r="BB37" t="s">
        <v>514</v>
      </c>
      <c r="BC37" t="s">
        <v>514</v>
      </c>
      <c r="BD37" t="s">
        <v>514</v>
      </c>
      <c r="BE37">
        <v>0</v>
      </c>
      <c r="BF37" t="s">
        <v>514</v>
      </c>
      <c r="BG37" s="3">
        <v>7.6724537037037036E-2</v>
      </c>
      <c r="BH37" s="1">
        <v>45149</v>
      </c>
      <c r="BI37">
        <v>-0.48</v>
      </c>
      <c r="BJ37">
        <v>-2E-3</v>
      </c>
      <c r="BK37">
        <v>0</v>
      </c>
      <c r="BL37">
        <v>0</v>
      </c>
      <c r="BM37">
        <v>1.835</v>
      </c>
      <c r="BN37">
        <v>-0.73399999999999999</v>
      </c>
      <c r="BO37">
        <v>3.0019999999999998</v>
      </c>
      <c r="BP37">
        <v>1</v>
      </c>
      <c r="BQ37">
        <v>150</v>
      </c>
      <c r="BR37">
        <v>5.0000000000000001E-3</v>
      </c>
      <c r="BS37">
        <v>2</v>
      </c>
      <c r="BT37">
        <v>0</v>
      </c>
      <c r="BU37" t="s">
        <v>200</v>
      </c>
      <c r="BV37">
        <v>7000</v>
      </c>
      <c r="BW37">
        <v>500</v>
      </c>
      <c r="BX37">
        <v>5</v>
      </c>
      <c r="BY37">
        <v>2</v>
      </c>
      <c r="BZ37">
        <v>300</v>
      </c>
      <c r="CA37">
        <v>300</v>
      </c>
      <c r="CB37">
        <v>300</v>
      </c>
      <c r="CC37">
        <v>353.53445399999998</v>
      </c>
      <c r="CD37">
        <v>25</v>
      </c>
      <c r="CE37">
        <v>-11.633701</v>
      </c>
      <c r="CF37">
        <v>356.50204500000001</v>
      </c>
      <c r="CG37">
        <v>354.100281</v>
      </c>
      <c r="CH37">
        <v>2.401764</v>
      </c>
      <c r="CI37">
        <v>2.5393330000000001</v>
      </c>
      <c r="CJ37">
        <v>2.5502120000000001</v>
      </c>
      <c r="CK37">
        <v>1.665754</v>
      </c>
      <c r="CL37">
        <v>0.88867499999999999</v>
      </c>
      <c r="CM37">
        <v>0.25778200000000001</v>
      </c>
      <c r="CN37">
        <v>5.764E-3</v>
      </c>
      <c r="CO37">
        <v>0.16998199999999999</v>
      </c>
      <c r="CP37">
        <v>0.77773099999999995</v>
      </c>
      <c r="CQ37">
        <v>109.09831200000001</v>
      </c>
      <c r="CR37">
        <v>3.5500000000000001E-4</v>
      </c>
      <c r="CS37">
        <v>2.4333689999999999</v>
      </c>
      <c r="CT37">
        <v>-3.6000000000000001E-5</v>
      </c>
      <c r="CU37">
        <v>1</v>
      </c>
      <c r="CV37">
        <v>2.4396819999999999</v>
      </c>
      <c r="CW37">
        <v>1.1E-5</v>
      </c>
      <c r="CX37">
        <v>1</v>
      </c>
      <c r="CY37">
        <v>0.60025499999999998</v>
      </c>
      <c r="CZ37">
        <v>0.60245199999999999</v>
      </c>
      <c r="DA37">
        <v>0.106742</v>
      </c>
      <c r="DB37">
        <v>0</v>
      </c>
      <c r="DC37" t="s">
        <v>552</v>
      </c>
      <c r="DD37" t="s">
        <v>515</v>
      </c>
      <c r="DE37" t="s">
        <v>516</v>
      </c>
      <c r="DF37" t="s">
        <v>517</v>
      </c>
      <c r="DG37" t="s">
        <v>518</v>
      </c>
      <c r="DH37" t="s">
        <v>205</v>
      </c>
      <c r="DI37" t="s">
        <v>519</v>
      </c>
    </row>
    <row r="38" spans="1:113">
      <c r="A38">
        <v>2</v>
      </c>
      <c r="B38" s="3">
        <v>7.7013888888888882E-2</v>
      </c>
      <c r="C38" s="1">
        <v>45149</v>
      </c>
      <c r="D38" t="s">
        <v>196</v>
      </c>
      <c r="E38" t="s">
        <v>197</v>
      </c>
      <c r="G38">
        <v>2</v>
      </c>
      <c r="J38">
        <v>0.106583</v>
      </c>
      <c r="K38">
        <v>2.9215949999999999</v>
      </c>
      <c r="L38">
        <v>0.10283200000000001</v>
      </c>
      <c r="M38">
        <v>1.1297010000000001</v>
      </c>
      <c r="N38">
        <v>2.3319179999999999</v>
      </c>
      <c r="O38">
        <v>2.302203</v>
      </c>
      <c r="P38">
        <v>3.3511860000000002</v>
      </c>
      <c r="Q38">
        <v>1.019269</v>
      </c>
      <c r="R38">
        <v>24.076332000000001</v>
      </c>
      <c r="S38">
        <v>24.387084999999999</v>
      </c>
      <c r="T38">
        <v>35.046551000000001</v>
      </c>
      <c r="U38">
        <v>0.44178600000000001</v>
      </c>
      <c r="V38" t="s">
        <v>553</v>
      </c>
      <c r="W38">
        <v>0</v>
      </c>
      <c r="X38">
        <v>0</v>
      </c>
      <c r="Y38">
        <v>0</v>
      </c>
      <c r="Z38">
        <v>86.559173999999999</v>
      </c>
      <c r="AA38">
        <v>445.989105</v>
      </c>
      <c r="AB38">
        <v>0.80591599999999997</v>
      </c>
      <c r="AC38">
        <v>0.5</v>
      </c>
      <c r="AD38">
        <v>0.8</v>
      </c>
      <c r="AE38">
        <v>204.64712499999999</v>
      </c>
      <c r="AF38">
        <v>67.34</v>
      </c>
      <c r="AG38">
        <v>66.48</v>
      </c>
      <c r="AH38">
        <v>26.44</v>
      </c>
      <c r="AI38">
        <v>25.88</v>
      </c>
      <c r="AJ38">
        <v>95.62</v>
      </c>
      <c r="AK38">
        <v>156.69999999999999</v>
      </c>
      <c r="AL38">
        <v>156.69999999999999</v>
      </c>
      <c r="AM38">
        <v>0</v>
      </c>
      <c r="AN38">
        <v>635</v>
      </c>
      <c r="AO38">
        <v>4.085</v>
      </c>
      <c r="AP38">
        <v>15</v>
      </c>
      <c r="AQ38">
        <v>-20</v>
      </c>
      <c r="AR38">
        <v>254</v>
      </c>
      <c r="AZ38" s="3">
        <v>0</v>
      </c>
      <c r="BA38" t="s">
        <v>513</v>
      </c>
      <c r="BB38" t="s">
        <v>514</v>
      </c>
      <c r="BC38" t="s">
        <v>514</v>
      </c>
      <c r="BD38" t="s">
        <v>514</v>
      </c>
      <c r="BE38">
        <v>0</v>
      </c>
      <c r="BF38" t="s">
        <v>514</v>
      </c>
      <c r="BG38" s="3">
        <v>7.6724537037037036E-2</v>
      </c>
      <c r="BH38" s="1">
        <v>45149</v>
      </c>
      <c r="BI38">
        <v>-0.48</v>
      </c>
      <c r="BJ38">
        <v>-4.0000000000000001E-3</v>
      </c>
      <c r="BK38">
        <v>-4.0000000000000001E-3</v>
      </c>
      <c r="BL38">
        <v>-9999</v>
      </c>
      <c r="BM38">
        <v>0.35099999999999998</v>
      </c>
      <c r="BN38">
        <v>0.379</v>
      </c>
      <c r="BO38">
        <v>-9999</v>
      </c>
      <c r="BP38">
        <v>1</v>
      </c>
      <c r="BQ38">
        <v>150</v>
      </c>
      <c r="BR38">
        <v>5.0000000000000001E-3</v>
      </c>
      <c r="BS38">
        <v>2</v>
      </c>
      <c r="BT38">
        <v>0</v>
      </c>
      <c r="BU38" t="s">
        <v>200</v>
      </c>
      <c r="BV38">
        <v>7000</v>
      </c>
      <c r="BW38">
        <v>500</v>
      </c>
      <c r="BX38">
        <v>5</v>
      </c>
      <c r="BY38">
        <v>2</v>
      </c>
      <c r="BZ38">
        <v>300</v>
      </c>
      <c r="CA38">
        <v>300</v>
      </c>
      <c r="CB38">
        <v>300</v>
      </c>
      <c r="CC38">
        <v>440.109375</v>
      </c>
      <c r="CD38">
        <v>25</v>
      </c>
      <c r="CE38">
        <v>-3.9675739999999999</v>
      </c>
      <c r="CF38">
        <v>449.94915800000001</v>
      </c>
      <c r="CG38">
        <v>440.32919299999998</v>
      </c>
      <c r="CH38">
        <v>9.6199650000000005</v>
      </c>
      <c r="CI38">
        <v>2.5415930000000002</v>
      </c>
      <c r="CJ38">
        <v>2.551733</v>
      </c>
      <c r="CK38">
        <v>1.6662699999999999</v>
      </c>
      <c r="CL38">
        <v>0.94416999999999995</v>
      </c>
      <c r="CM38">
        <v>0.25753100000000001</v>
      </c>
      <c r="CN38">
        <v>-5.6709999999999998E-3</v>
      </c>
      <c r="CO38">
        <v>0.171708</v>
      </c>
      <c r="CP38">
        <v>0.66828699999999996</v>
      </c>
      <c r="CQ38">
        <v>86.559173999999999</v>
      </c>
      <c r="CR38">
        <v>3.59E-4</v>
      </c>
      <c r="CS38">
        <v>2.4333689999999999</v>
      </c>
      <c r="CT38">
        <v>-3.6000000000000001E-5</v>
      </c>
      <c r="CU38">
        <v>1</v>
      </c>
      <c r="CV38">
        <v>2.4396819999999999</v>
      </c>
      <c r="CW38">
        <v>1.1E-5</v>
      </c>
      <c r="CX38">
        <v>1</v>
      </c>
      <c r="CY38">
        <v>0.60025499999999998</v>
      </c>
      <c r="CZ38">
        <v>0.60245199999999999</v>
      </c>
      <c r="DA38">
        <v>0.106742</v>
      </c>
      <c r="DB38">
        <v>0</v>
      </c>
      <c r="DC38" t="s">
        <v>553</v>
      </c>
      <c r="DD38" t="s">
        <v>515</v>
      </c>
      <c r="DE38" t="s">
        <v>516</v>
      </c>
      <c r="DF38" t="s">
        <v>517</v>
      </c>
      <c r="DG38" t="s">
        <v>518</v>
      </c>
      <c r="DH38" t="s">
        <v>205</v>
      </c>
      <c r="DI38" t="s">
        <v>519</v>
      </c>
    </row>
    <row r="39" spans="1:113">
      <c r="A39">
        <v>3</v>
      </c>
      <c r="B39" s="3">
        <v>7.7129629629629631E-2</v>
      </c>
      <c r="C39" s="1">
        <v>45149</v>
      </c>
      <c r="D39" t="s">
        <v>196</v>
      </c>
      <c r="E39" t="s">
        <v>197</v>
      </c>
      <c r="G39">
        <v>3</v>
      </c>
      <c r="J39">
        <v>0.18943199999999999</v>
      </c>
      <c r="K39">
        <v>2.9203220000000001</v>
      </c>
      <c r="L39">
        <v>0.177893</v>
      </c>
      <c r="M39">
        <v>2.2571780000000001</v>
      </c>
      <c r="N39">
        <v>2.3400280000000002</v>
      </c>
      <c r="O39">
        <v>2.2806030000000002</v>
      </c>
      <c r="P39">
        <v>3.5161449999999999</v>
      </c>
      <c r="Q39">
        <v>1.1761170000000001</v>
      </c>
      <c r="R39">
        <v>23.850628</v>
      </c>
      <c r="S39">
        <v>24.472094999999999</v>
      </c>
      <c r="T39">
        <v>36.771968999999999</v>
      </c>
      <c r="U39">
        <v>0.44178600000000001</v>
      </c>
      <c r="V39" t="s">
        <v>554</v>
      </c>
      <c r="W39">
        <v>0</v>
      </c>
      <c r="X39">
        <v>0</v>
      </c>
      <c r="Y39">
        <v>0</v>
      </c>
      <c r="Z39">
        <v>92.962860000000006</v>
      </c>
      <c r="AA39">
        <v>417.86428799999999</v>
      </c>
      <c r="AB39">
        <v>0.77752900000000003</v>
      </c>
      <c r="AC39">
        <v>0.5</v>
      </c>
      <c r="AD39">
        <v>0.8</v>
      </c>
      <c r="AE39">
        <v>272.24343900000002</v>
      </c>
      <c r="AF39">
        <v>67.510000000000005</v>
      </c>
      <c r="AG39">
        <v>65.8</v>
      </c>
      <c r="AH39">
        <v>26.45</v>
      </c>
      <c r="AI39">
        <v>26.7</v>
      </c>
      <c r="AJ39">
        <v>95.62</v>
      </c>
      <c r="AK39">
        <v>156.5</v>
      </c>
      <c r="AL39">
        <v>156.6</v>
      </c>
      <c r="AM39">
        <v>0</v>
      </c>
      <c r="AN39">
        <v>875</v>
      </c>
      <c r="AO39">
        <v>4.085</v>
      </c>
      <c r="AP39">
        <v>36</v>
      </c>
      <c r="AQ39">
        <v>-37</v>
      </c>
      <c r="AR39">
        <v>245</v>
      </c>
      <c r="AZ39" s="3">
        <v>0</v>
      </c>
      <c r="BA39" t="s">
        <v>513</v>
      </c>
      <c r="BB39" t="s">
        <v>514</v>
      </c>
      <c r="BC39" t="s">
        <v>514</v>
      </c>
      <c r="BD39" t="s">
        <v>514</v>
      </c>
      <c r="BE39">
        <v>0</v>
      </c>
      <c r="BF39" t="s">
        <v>514</v>
      </c>
      <c r="BG39" s="3">
        <v>7.6724537037037036E-2</v>
      </c>
      <c r="BH39" s="1">
        <v>45149</v>
      </c>
      <c r="BI39">
        <v>-0.48</v>
      </c>
      <c r="BJ39">
        <v>4.0000000000000001E-3</v>
      </c>
      <c r="BK39">
        <v>5.0000000000000001E-3</v>
      </c>
      <c r="BL39">
        <v>-9999</v>
      </c>
      <c r="BM39">
        <v>-0.30499999999999999</v>
      </c>
      <c r="BN39">
        <v>-1.1080000000000001</v>
      </c>
      <c r="BO39">
        <v>-9999</v>
      </c>
      <c r="BP39">
        <v>1</v>
      </c>
      <c r="BQ39">
        <v>150</v>
      </c>
      <c r="BR39">
        <v>5.0000000000000001E-3</v>
      </c>
      <c r="BS39">
        <v>2</v>
      </c>
      <c r="BT39">
        <v>0</v>
      </c>
      <c r="BU39" t="s">
        <v>200</v>
      </c>
      <c r="BV39">
        <v>7000</v>
      </c>
      <c r="BW39">
        <v>500</v>
      </c>
      <c r="BX39">
        <v>5</v>
      </c>
      <c r="BY39">
        <v>2</v>
      </c>
      <c r="BZ39">
        <v>300</v>
      </c>
      <c r="CA39">
        <v>300</v>
      </c>
      <c r="CB39">
        <v>300</v>
      </c>
      <c r="CC39">
        <v>391.72088600000001</v>
      </c>
      <c r="CD39">
        <v>25</v>
      </c>
      <c r="CE39">
        <v>-18.556826000000001</v>
      </c>
      <c r="CF39">
        <v>390.46740699999998</v>
      </c>
      <c r="CG39">
        <v>391.39221199999997</v>
      </c>
      <c r="CH39">
        <v>-0.92480499999999999</v>
      </c>
      <c r="CI39">
        <v>2.5406049999999998</v>
      </c>
      <c r="CJ39">
        <v>2.5519859999999999</v>
      </c>
      <c r="CK39">
        <v>1.66493</v>
      </c>
      <c r="CL39">
        <v>0.94385600000000003</v>
      </c>
      <c r="CM39">
        <v>0.25738</v>
      </c>
      <c r="CN39">
        <v>3.6089999999999998E-3</v>
      </c>
      <c r="CO39">
        <v>0.17327600000000001</v>
      </c>
      <c r="CP39">
        <v>0.88104300000000002</v>
      </c>
      <c r="CQ39">
        <v>92.962860000000006</v>
      </c>
      <c r="CR39">
        <v>3.6499999999999998E-4</v>
      </c>
      <c r="CS39">
        <v>2.4333689999999999</v>
      </c>
      <c r="CT39">
        <v>-3.6000000000000001E-5</v>
      </c>
      <c r="CU39">
        <v>1</v>
      </c>
      <c r="CV39">
        <v>2.4396819999999999</v>
      </c>
      <c r="CW39">
        <v>1.1E-5</v>
      </c>
      <c r="CX39">
        <v>1</v>
      </c>
      <c r="CY39">
        <v>0.60025499999999998</v>
      </c>
      <c r="CZ39">
        <v>0.60245199999999999</v>
      </c>
      <c r="DA39">
        <v>0.106742</v>
      </c>
      <c r="DB39">
        <v>0</v>
      </c>
      <c r="DC39" t="s">
        <v>554</v>
      </c>
      <c r="DD39" t="s">
        <v>515</v>
      </c>
      <c r="DE39" t="s">
        <v>516</v>
      </c>
      <c r="DF39" t="s">
        <v>517</v>
      </c>
      <c r="DG39" t="s">
        <v>518</v>
      </c>
      <c r="DH39" t="s">
        <v>205</v>
      </c>
      <c r="DI39" t="s">
        <v>519</v>
      </c>
    </row>
    <row r="40" spans="1:113">
      <c r="A40">
        <v>4</v>
      </c>
      <c r="B40" s="3">
        <v>7.7314814814814822E-2</v>
      </c>
      <c r="C40" s="1">
        <v>45149</v>
      </c>
      <c r="D40" t="s">
        <v>196</v>
      </c>
      <c r="E40" t="s">
        <v>197</v>
      </c>
      <c r="G40">
        <v>4</v>
      </c>
      <c r="J40">
        <v>0.174342</v>
      </c>
      <c r="K40">
        <v>2.9197820000000001</v>
      </c>
      <c r="L40">
        <v>0.164519</v>
      </c>
      <c r="M40">
        <v>2.1797399999999998</v>
      </c>
      <c r="N40">
        <v>2.3174269999999999</v>
      </c>
      <c r="O40">
        <v>2.2599960000000001</v>
      </c>
      <c r="P40">
        <v>3.545617</v>
      </c>
      <c r="Q40">
        <v>1.2281899999999999</v>
      </c>
      <c r="R40">
        <v>23.632524</v>
      </c>
      <c r="S40">
        <v>24.233073999999998</v>
      </c>
      <c r="T40">
        <v>37.076118000000001</v>
      </c>
      <c r="U40">
        <v>0.44178600000000001</v>
      </c>
      <c r="V40" t="s">
        <v>555</v>
      </c>
      <c r="W40">
        <v>0</v>
      </c>
      <c r="X40">
        <v>0</v>
      </c>
      <c r="Y40">
        <v>0</v>
      </c>
      <c r="Z40">
        <v>112.421753</v>
      </c>
      <c r="AA40">
        <v>358.84536700000001</v>
      </c>
      <c r="AB40">
        <v>0.68671300000000002</v>
      </c>
      <c r="AC40">
        <v>0.5</v>
      </c>
      <c r="AD40">
        <v>0.8</v>
      </c>
      <c r="AE40">
        <v>158.33959999999999</v>
      </c>
      <c r="AF40">
        <v>66.73</v>
      </c>
      <c r="AG40">
        <v>65.08</v>
      </c>
      <c r="AH40">
        <v>26.49</v>
      </c>
      <c r="AI40">
        <v>26.84</v>
      </c>
      <c r="AJ40">
        <v>95.63</v>
      </c>
      <c r="AK40">
        <v>156.5</v>
      </c>
      <c r="AL40">
        <v>156.5</v>
      </c>
      <c r="AM40">
        <v>0</v>
      </c>
      <c r="AN40">
        <v>576</v>
      </c>
      <c r="AO40">
        <v>4.0839999999999996</v>
      </c>
      <c r="AP40">
        <v>20</v>
      </c>
      <c r="AQ40">
        <v>-1</v>
      </c>
      <c r="AR40">
        <v>320</v>
      </c>
      <c r="AZ40" s="3">
        <v>0</v>
      </c>
      <c r="BA40" t="s">
        <v>513</v>
      </c>
      <c r="BB40" t="s">
        <v>514</v>
      </c>
      <c r="BC40" t="s">
        <v>514</v>
      </c>
      <c r="BD40" t="s">
        <v>514</v>
      </c>
      <c r="BE40">
        <v>0</v>
      </c>
      <c r="BF40" t="s">
        <v>514</v>
      </c>
      <c r="BG40" s="3">
        <v>7.6724537037037036E-2</v>
      </c>
      <c r="BH40" s="1">
        <v>45149</v>
      </c>
      <c r="BI40">
        <v>-0.48</v>
      </c>
      <c r="BJ40">
        <v>-1E-3</v>
      </c>
      <c r="BK40">
        <v>-2E-3</v>
      </c>
      <c r="BL40">
        <v>-2E-3</v>
      </c>
      <c r="BM40">
        <v>0.26800000000000002</v>
      </c>
      <c r="BN40">
        <v>-2.6549999999999998</v>
      </c>
      <c r="BO40">
        <v>8.5649999999999995</v>
      </c>
      <c r="BP40">
        <v>1</v>
      </c>
      <c r="BQ40">
        <v>150</v>
      </c>
      <c r="BR40">
        <v>5.0000000000000001E-3</v>
      </c>
      <c r="BS40">
        <v>2</v>
      </c>
      <c r="BT40">
        <v>0</v>
      </c>
      <c r="BU40" t="s">
        <v>200</v>
      </c>
      <c r="BV40">
        <v>7000</v>
      </c>
      <c r="BW40">
        <v>500</v>
      </c>
      <c r="BX40">
        <v>5</v>
      </c>
      <c r="BY40">
        <v>2</v>
      </c>
      <c r="BZ40">
        <v>300</v>
      </c>
      <c r="CA40">
        <v>300</v>
      </c>
      <c r="CB40">
        <v>300</v>
      </c>
      <c r="CC40">
        <v>334.88415500000002</v>
      </c>
      <c r="CD40">
        <v>25</v>
      </c>
      <c r="CE40">
        <v>-16.759705</v>
      </c>
      <c r="CF40">
        <v>334.80654900000002</v>
      </c>
      <c r="CG40">
        <v>334.93695100000002</v>
      </c>
      <c r="CH40">
        <v>-0.13040199999999999</v>
      </c>
      <c r="CI40">
        <v>2.5395530000000002</v>
      </c>
      <c r="CJ40">
        <v>2.5508440000000001</v>
      </c>
      <c r="CK40">
        <v>1.6643619999999999</v>
      </c>
      <c r="CL40">
        <v>0.94378499999999999</v>
      </c>
      <c r="CM40">
        <v>0.25703999999999999</v>
      </c>
      <c r="CN40">
        <v>4.8770000000000003E-3</v>
      </c>
      <c r="CO40">
        <v>0.17599300000000001</v>
      </c>
      <c r="CP40">
        <v>0.61663999999999997</v>
      </c>
      <c r="CQ40">
        <v>112.421753</v>
      </c>
      <c r="CR40">
        <v>3.59E-4</v>
      </c>
      <c r="CS40">
        <v>2.4333689999999999</v>
      </c>
      <c r="CT40">
        <v>-3.6000000000000001E-5</v>
      </c>
      <c r="CU40">
        <v>1</v>
      </c>
      <c r="CV40">
        <v>2.4396819999999999</v>
      </c>
      <c r="CW40">
        <v>1.1E-5</v>
      </c>
      <c r="CX40">
        <v>1</v>
      </c>
      <c r="CY40">
        <v>0.60025499999999998</v>
      </c>
      <c r="CZ40">
        <v>0.60245199999999999</v>
      </c>
      <c r="DA40">
        <v>0.106742</v>
      </c>
      <c r="DB40">
        <v>0</v>
      </c>
      <c r="DC40" t="s">
        <v>555</v>
      </c>
      <c r="DD40" t="s">
        <v>515</v>
      </c>
      <c r="DE40" t="s">
        <v>516</v>
      </c>
      <c r="DF40" t="s">
        <v>517</v>
      </c>
      <c r="DG40" t="s">
        <v>518</v>
      </c>
      <c r="DH40" t="s">
        <v>205</v>
      </c>
      <c r="DI40" t="s">
        <v>519</v>
      </c>
    </row>
    <row r="41" spans="1:113">
      <c r="A41">
        <v>1</v>
      </c>
      <c r="B41" s="3">
        <v>8.3379629629629637E-2</v>
      </c>
      <c r="C41" s="1">
        <v>45149</v>
      </c>
      <c r="D41" t="s">
        <v>196</v>
      </c>
      <c r="E41" t="s">
        <v>197</v>
      </c>
      <c r="G41">
        <v>1</v>
      </c>
      <c r="J41">
        <v>0.11230900000000001</v>
      </c>
      <c r="K41">
        <v>2.9217140000000001</v>
      </c>
      <c r="L41">
        <v>0.108152</v>
      </c>
      <c r="M41">
        <v>1.538375</v>
      </c>
      <c r="N41">
        <v>2.284449</v>
      </c>
      <c r="O41">
        <v>2.2440150000000001</v>
      </c>
      <c r="P41">
        <v>3.6011799999999998</v>
      </c>
      <c r="Q41">
        <v>1.3167310000000001</v>
      </c>
      <c r="R41">
        <v>23.494399999999999</v>
      </c>
      <c r="S41">
        <v>23.917733999999999</v>
      </c>
      <c r="T41">
        <v>37.703654999999998</v>
      </c>
      <c r="U41">
        <v>0.44178600000000001</v>
      </c>
      <c r="V41" t="s">
        <v>556</v>
      </c>
      <c r="W41">
        <v>0</v>
      </c>
      <c r="X41">
        <v>0</v>
      </c>
      <c r="Y41">
        <v>0</v>
      </c>
      <c r="Z41">
        <v>183.519958</v>
      </c>
      <c r="AA41">
        <v>481.07559199999997</v>
      </c>
      <c r="AB41">
        <v>0.61852200000000002</v>
      </c>
      <c r="AC41">
        <v>0.5</v>
      </c>
      <c r="AD41">
        <v>0.8</v>
      </c>
      <c r="AE41">
        <v>65.905724000000006</v>
      </c>
      <c r="AF41">
        <v>64.41</v>
      </c>
      <c r="AG41">
        <v>63.27</v>
      </c>
      <c r="AH41">
        <v>26.85</v>
      </c>
      <c r="AI41">
        <v>27.1</v>
      </c>
      <c r="AJ41">
        <v>95.51</v>
      </c>
      <c r="AK41">
        <v>156.69999999999999</v>
      </c>
      <c r="AL41">
        <v>156.80000000000001</v>
      </c>
      <c r="AM41">
        <v>-0.1</v>
      </c>
      <c r="AN41">
        <v>266</v>
      </c>
      <c r="AO41">
        <v>4.0830000000000002</v>
      </c>
      <c r="AP41">
        <v>26</v>
      </c>
      <c r="AQ41">
        <v>-17</v>
      </c>
      <c r="AR41">
        <v>177</v>
      </c>
      <c r="AZ41" s="3">
        <v>0</v>
      </c>
      <c r="BA41" t="s">
        <v>513</v>
      </c>
      <c r="BB41" t="s">
        <v>514</v>
      </c>
      <c r="BC41" t="s">
        <v>514</v>
      </c>
      <c r="BD41" t="s">
        <v>514</v>
      </c>
      <c r="BE41">
        <v>0</v>
      </c>
      <c r="BF41" t="s">
        <v>514</v>
      </c>
      <c r="BG41" s="3">
        <v>8.3229166666666674E-2</v>
      </c>
      <c r="BH41" s="1">
        <v>45149</v>
      </c>
      <c r="BI41">
        <v>-0.46</v>
      </c>
      <c r="BJ41">
        <v>-1E-3</v>
      </c>
      <c r="BK41">
        <v>1E-3</v>
      </c>
      <c r="BL41">
        <v>3.0000000000000001E-3</v>
      </c>
      <c r="BM41">
        <v>-0.43</v>
      </c>
      <c r="BN41">
        <v>8.9999999999999993E-3</v>
      </c>
      <c r="BO41">
        <v>5.8609999999999998</v>
      </c>
      <c r="BP41">
        <v>1</v>
      </c>
      <c r="BQ41">
        <v>150</v>
      </c>
      <c r="BR41">
        <v>5.0000000000000001E-3</v>
      </c>
      <c r="BS41">
        <v>2</v>
      </c>
      <c r="BT41">
        <v>0</v>
      </c>
      <c r="BU41" t="s">
        <v>200</v>
      </c>
      <c r="BV41">
        <v>7000</v>
      </c>
      <c r="BW41">
        <v>500</v>
      </c>
      <c r="BX41">
        <v>5</v>
      </c>
      <c r="BY41">
        <v>2</v>
      </c>
      <c r="BZ41">
        <v>300</v>
      </c>
      <c r="CA41">
        <v>300</v>
      </c>
      <c r="CB41">
        <v>300</v>
      </c>
      <c r="CC41">
        <v>471.41861</v>
      </c>
      <c r="CD41">
        <v>25</v>
      </c>
      <c r="CE41">
        <v>-7.1958019999999996</v>
      </c>
      <c r="CF41">
        <v>469.54177900000002</v>
      </c>
      <c r="CG41">
        <v>470.81048600000003</v>
      </c>
      <c r="CH41">
        <v>-1.268707</v>
      </c>
      <c r="CI41">
        <v>2.5368629999999999</v>
      </c>
      <c r="CJ41">
        <v>2.5473870000000001</v>
      </c>
      <c r="CK41">
        <v>1.6663969999999999</v>
      </c>
      <c r="CL41">
        <v>0.94448299999999996</v>
      </c>
      <c r="CM41">
        <v>0.253411</v>
      </c>
      <c r="CN41">
        <v>3.777E-3</v>
      </c>
      <c r="CO41">
        <v>0.13888200000000001</v>
      </c>
      <c r="CP41">
        <v>0.34237499999999998</v>
      </c>
      <c r="CQ41">
        <v>183.519958</v>
      </c>
      <c r="CR41">
        <v>3.6200000000000002E-4</v>
      </c>
      <c r="CS41">
        <v>2.4333689999999999</v>
      </c>
      <c r="CT41">
        <v>-3.6000000000000001E-5</v>
      </c>
      <c r="CU41">
        <v>1</v>
      </c>
      <c r="CV41">
        <v>2.4396819999999999</v>
      </c>
      <c r="CW41">
        <v>1.1E-5</v>
      </c>
      <c r="CX41">
        <v>1</v>
      </c>
      <c r="CY41">
        <v>0.60025499999999998</v>
      </c>
      <c r="CZ41">
        <v>0.60245199999999999</v>
      </c>
      <c r="DA41">
        <v>0.106742</v>
      </c>
      <c r="DB41">
        <v>0</v>
      </c>
      <c r="DC41" t="s">
        <v>556</v>
      </c>
      <c r="DD41" t="s">
        <v>515</v>
      </c>
      <c r="DE41" t="s">
        <v>516</v>
      </c>
      <c r="DF41" t="s">
        <v>517</v>
      </c>
      <c r="DG41" t="s">
        <v>518</v>
      </c>
      <c r="DH41" t="s">
        <v>205</v>
      </c>
      <c r="DI41" t="s">
        <v>519</v>
      </c>
    </row>
    <row r="42" spans="1:113">
      <c r="A42">
        <v>2</v>
      </c>
      <c r="B42" s="3">
        <v>8.3622685185185189E-2</v>
      </c>
      <c r="C42" s="1">
        <v>45149</v>
      </c>
      <c r="D42" t="s">
        <v>196</v>
      </c>
      <c r="E42" t="s">
        <v>197</v>
      </c>
      <c r="G42">
        <v>2</v>
      </c>
      <c r="J42">
        <v>2.8962000000000002E-2</v>
      </c>
      <c r="K42">
        <v>2.9218829999999998</v>
      </c>
      <c r="L42">
        <v>2.8677999999999999E-2</v>
      </c>
      <c r="M42">
        <v>0.384183</v>
      </c>
      <c r="N42">
        <v>2.3480089999999998</v>
      </c>
      <c r="O42">
        <v>2.33792</v>
      </c>
      <c r="P42">
        <v>3.587761</v>
      </c>
      <c r="Q42">
        <v>1.239752</v>
      </c>
      <c r="R42">
        <v>24.477955000000001</v>
      </c>
      <c r="S42">
        <v>24.583590000000001</v>
      </c>
      <c r="T42">
        <v>37.563755</v>
      </c>
      <c r="U42">
        <v>0.44178600000000001</v>
      </c>
      <c r="V42" t="s">
        <v>557</v>
      </c>
      <c r="W42">
        <v>0</v>
      </c>
      <c r="X42">
        <v>0</v>
      </c>
      <c r="Y42">
        <v>0</v>
      </c>
      <c r="Z42">
        <v>102.94461099999999</v>
      </c>
      <c r="AA42">
        <v>393.634186</v>
      </c>
      <c r="AB42">
        <v>0.73847600000000002</v>
      </c>
      <c r="AC42">
        <v>0.5</v>
      </c>
      <c r="AD42">
        <v>0.8</v>
      </c>
      <c r="AE42">
        <v>117.064835</v>
      </c>
      <c r="AF42">
        <v>66.09</v>
      </c>
      <c r="AG42">
        <v>65.81</v>
      </c>
      <c r="AH42">
        <v>26.87</v>
      </c>
      <c r="AI42">
        <v>27.04</v>
      </c>
      <c r="AJ42">
        <v>95.51</v>
      </c>
      <c r="AK42">
        <v>156.69999999999999</v>
      </c>
      <c r="AL42">
        <v>156.4</v>
      </c>
      <c r="AM42">
        <v>0.2</v>
      </c>
      <c r="AN42">
        <v>396</v>
      </c>
      <c r="AO42">
        <v>4.0830000000000002</v>
      </c>
      <c r="AP42">
        <v>39</v>
      </c>
      <c r="AQ42">
        <v>-12</v>
      </c>
      <c r="AR42">
        <v>271</v>
      </c>
      <c r="AZ42" s="3">
        <v>0</v>
      </c>
      <c r="BA42" t="s">
        <v>513</v>
      </c>
      <c r="BB42" t="s">
        <v>514</v>
      </c>
      <c r="BC42" t="s">
        <v>514</v>
      </c>
      <c r="BD42" t="s">
        <v>514</v>
      </c>
      <c r="BE42">
        <v>0</v>
      </c>
      <c r="BF42" t="s">
        <v>514</v>
      </c>
      <c r="BG42" s="3">
        <v>8.3229166666666674E-2</v>
      </c>
      <c r="BH42" s="1">
        <v>45149</v>
      </c>
      <c r="BI42">
        <v>-0.46</v>
      </c>
      <c r="BJ42">
        <v>1E-3</v>
      </c>
      <c r="BK42">
        <v>-2E-3</v>
      </c>
      <c r="BL42">
        <v>-1.2999999999999999E-2</v>
      </c>
      <c r="BM42">
        <v>-2.573</v>
      </c>
      <c r="BN42">
        <v>0.93100000000000005</v>
      </c>
      <c r="BO42">
        <v>-0.13300000000000001</v>
      </c>
      <c r="BP42">
        <v>1</v>
      </c>
      <c r="BQ42">
        <v>150</v>
      </c>
      <c r="BR42">
        <v>5.0000000000000001E-3</v>
      </c>
      <c r="BS42">
        <v>2</v>
      </c>
      <c r="BT42">
        <v>0</v>
      </c>
      <c r="BU42" t="s">
        <v>200</v>
      </c>
      <c r="BV42">
        <v>7000</v>
      </c>
      <c r="BW42">
        <v>500</v>
      </c>
      <c r="BX42">
        <v>5</v>
      </c>
      <c r="BY42">
        <v>2</v>
      </c>
      <c r="BZ42">
        <v>300</v>
      </c>
      <c r="CA42">
        <v>300</v>
      </c>
      <c r="CB42">
        <v>300</v>
      </c>
      <c r="CC42">
        <v>376.15335099999999</v>
      </c>
      <c r="CD42">
        <v>25</v>
      </c>
      <c r="CE42">
        <v>-12.550563</v>
      </c>
      <c r="CF42">
        <v>375.44061299999998</v>
      </c>
      <c r="CG42">
        <v>375.73028599999998</v>
      </c>
      <c r="CH42">
        <v>-0.28967300000000001</v>
      </c>
      <c r="CI42">
        <v>2.54053</v>
      </c>
      <c r="CJ42">
        <v>2.5498259999999999</v>
      </c>
      <c r="CK42">
        <v>1.6665749999999999</v>
      </c>
      <c r="CL42">
        <v>0.94334799999999996</v>
      </c>
      <c r="CM42">
        <v>0.25312400000000002</v>
      </c>
      <c r="CN42">
        <v>2.699E-3</v>
      </c>
      <c r="CO42">
        <v>0.142843</v>
      </c>
      <c r="CP42">
        <v>0.45729900000000001</v>
      </c>
      <c r="CQ42">
        <v>102.94461099999999</v>
      </c>
      <c r="CR42">
        <v>3.59E-4</v>
      </c>
      <c r="CS42">
        <v>2.4333689999999999</v>
      </c>
      <c r="CT42">
        <v>-3.6000000000000001E-5</v>
      </c>
      <c r="CU42">
        <v>1</v>
      </c>
      <c r="CV42">
        <v>2.4396819999999999</v>
      </c>
      <c r="CW42">
        <v>1.1E-5</v>
      </c>
      <c r="CX42">
        <v>1</v>
      </c>
      <c r="CY42">
        <v>0.60025499999999998</v>
      </c>
      <c r="CZ42">
        <v>0.60245199999999999</v>
      </c>
      <c r="DA42">
        <v>0.106742</v>
      </c>
      <c r="DB42">
        <v>0</v>
      </c>
      <c r="DC42" t="s">
        <v>557</v>
      </c>
      <c r="DD42" t="s">
        <v>515</v>
      </c>
      <c r="DE42" t="s">
        <v>516</v>
      </c>
      <c r="DF42" t="s">
        <v>517</v>
      </c>
      <c r="DG42" t="s">
        <v>518</v>
      </c>
      <c r="DH42" t="s">
        <v>205</v>
      </c>
      <c r="DI42" t="s">
        <v>519</v>
      </c>
    </row>
    <row r="43" spans="1:113">
      <c r="A43">
        <v>3</v>
      </c>
      <c r="B43" s="3">
        <v>8.3842592592592594E-2</v>
      </c>
      <c r="C43" s="1">
        <v>45149</v>
      </c>
      <c r="D43" t="s">
        <v>196</v>
      </c>
      <c r="E43" t="s">
        <v>197</v>
      </c>
      <c r="G43">
        <v>3</v>
      </c>
      <c r="J43">
        <v>8.9838000000000001E-2</v>
      </c>
      <c r="K43">
        <v>2.9214030000000002</v>
      </c>
      <c r="L43">
        <v>8.7157999999999999E-2</v>
      </c>
      <c r="M43">
        <v>1.412328</v>
      </c>
      <c r="N43">
        <v>2.355461</v>
      </c>
      <c r="O43">
        <v>2.318362</v>
      </c>
      <c r="P43">
        <v>3.8527429999999998</v>
      </c>
      <c r="Q43">
        <v>1.4972829999999999</v>
      </c>
      <c r="R43">
        <v>24.274899999999999</v>
      </c>
      <c r="S43">
        <v>24.663347000000002</v>
      </c>
      <c r="T43">
        <v>40.340961</v>
      </c>
      <c r="U43">
        <v>0.44178600000000001</v>
      </c>
      <c r="V43" t="s">
        <v>558</v>
      </c>
      <c r="W43">
        <v>0</v>
      </c>
      <c r="X43">
        <v>0</v>
      </c>
      <c r="Y43">
        <v>0</v>
      </c>
      <c r="Z43">
        <v>199.08535800000001</v>
      </c>
      <c r="AA43">
        <v>376.888733</v>
      </c>
      <c r="AB43">
        <v>0.47176600000000002</v>
      </c>
      <c r="AC43">
        <v>0.5</v>
      </c>
      <c r="AD43">
        <v>0.8</v>
      </c>
      <c r="AE43">
        <v>155.606583</v>
      </c>
      <c r="AF43">
        <v>66.209999999999994</v>
      </c>
      <c r="AG43">
        <v>65.16</v>
      </c>
      <c r="AH43">
        <v>26.9</v>
      </c>
      <c r="AI43">
        <v>28.26</v>
      </c>
      <c r="AJ43">
        <v>95.5</v>
      </c>
      <c r="AK43">
        <v>156.69999999999999</v>
      </c>
      <c r="AL43">
        <v>156.6</v>
      </c>
      <c r="AM43">
        <v>0</v>
      </c>
      <c r="AN43">
        <v>825</v>
      </c>
      <c r="AO43">
        <v>4.0819999999999999</v>
      </c>
      <c r="AP43">
        <v>0</v>
      </c>
      <c r="AQ43">
        <v>-20</v>
      </c>
      <c r="AR43">
        <v>175</v>
      </c>
      <c r="AZ43" s="3">
        <v>0</v>
      </c>
      <c r="BA43" t="s">
        <v>513</v>
      </c>
      <c r="BB43" t="s">
        <v>514</v>
      </c>
      <c r="BC43" t="s">
        <v>514</v>
      </c>
      <c r="BD43" t="s">
        <v>514</v>
      </c>
      <c r="BE43">
        <v>0</v>
      </c>
      <c r="BF43" t="s">
        <v>514</v>
      </c>
      <c r="BG43" s="3">
        <v>8.3229166666666674E-2</v>
      </c>
      <c r="BH43" s="1">
        <v>45149</v>
      </c>
      <c r="BI43">
        <v>-0.46</v>
      </c>
      <c r="BJ43">
        <v>-1E-3</v>
      </c>
      <c r="BK43">
        <v>0</v>
      </c>
      <c r="BL43">
        <v>8.9999999999999993E-3</v>
      </c>
      <c r="BM43">
        <v>-0.17499999999999999</v>
      </c>
      <c r="BN43">
        <v>-0.44900000000000001</v>
      </c>
      <c r="BO43">
        <v>6.81</v>
      </c>
      <c r="BP43">
        <v>1</v>
      </c>
      <c r="BQ43">
        <v>150</v>
      </c>
      <c r="BR43">
        <v>5.0000000000000001E-3</v>
      </c>
      <c r="BS43">
        <v>2</v>
      </c>
      <c r="BT43">
        <v>0</v>
      </c>
      <c r="BU43" t="s">
        <v>200</v>
      </c>
      <c r="BV43">
        <v>7000</v>
      </c>
      <c r="BW43">
        <v>500</v>
      </c>
      <c r="BX43">
        <v>5</v>
      </c>
      <c r="BY43">
        <v>2</v>
      </c>
      <c r="BZ43">
        <v>300</v>
      </c>
      <c r="CA43">
        <v>300</v>
      </c>
      <c r="CB43">
        <v>300</v>
      </c>
      <c r="CC43">
        <v>363.24761999999998</v>
      </c>
      <c r="CD43">
        <v>25</v>
      </c>
      <c r="CE43">
        <v>-10.244685</v>
      </c>
      <c r="CF43">
        <v>360.01611300000002</v>
      </c>
      <c r="CG43">
        <v>362.27426100000002</v>
      </c>
      <c r="CH43">
        <v>-2.2581479999999998</v>
      </c>
      <c r="CI43">
        <v>2.539593</v>
      </c>
      <c r="CJ43">
        <v>2.5499890000000001</v>
      </c>
      <c r="CK43">
        <v>1.6660680000000001</v>
      </c>
      <c r="CL43">
        <v>0.94394199999999995</v>
      </c>
      <c r="CM43">
        <v>0.25287999999999999</v>
      </c>
      <c r="CN43">
        <v>1.6792000000000001E-2</v>
      </c>
      <c r="CO43">
        <v>0.14608599999999999</v>
      </c>
      <c r="CP43">
        <v>0.83614900000000003</v>
      </c>
      <c r="CQ43">
        <v>199.08535800000001</v>
      </c>
      <c r="CR43">
        <v>3.68E-4</v>
      </c>
      <c r="CS43">
        <v>2.4333689999999999</v>
      </c>
      <c r="CT43">
        <v>-3.6000000000000001E-5</v>
      </c>
      <c r="CU43">
        <v>1</v>
      </c>
      <c r="CV43">
        <v>2.4396819999999999</v>
      </c>
      <c r="CW43">
        <v>1.1E-5</v>
      </c>
      <c r="CX43">
        <v>1</v>
      </c>
      <c r="CY43">
        <v>0.60025499999999998</v>
      </c>
      <c r="CZ43">
        <v>0.60245199999999999</v>
      </c>
      <c r="DA43">
        <v>0.106742</v>
      </c>
      <c r="DB43">
        <v>0</v>
      </c>
      <c r="DC43" t="s">
        <v>558</v>
      </c>
      <c r="DD43" t="s">
        <v>515</v>
      </c>
      <c r="DE43" t="s">
        <v>516</v>
      </c>
      <c r="DF43" t="s">
        <v>517</v>
      </c>
      <c r="DG43" t="s">
        <v>518</v>
      </c>
      <c r="DH43" t="s">
        <v>205</v>
      </c>
      <c r="DI43" t="s">
        <v>519</v>
      </c>
    </row>
    <row r="44" spans="1:113">
      <c r="A44">
        <v>4</v>
      </c>
      <c r="B44" s="3">
        <v>8.4189814814814815E-2</v>
      </c>
      <c r="C44" s="1">
        <v>45149</v>
      </c>
      <c r="D44" t="s">
        <v>196</v>
      </c>
      <c r="E44" t="s">
        <v>197</v>
      </c>
      <c r="G44">
        <v>4</v>
      </c>
      <c r="J44">
        <v>2.3341000000000001E-2</v>
      </c>
      <c r="K44">
        <v>2.9231199999999999</v>
      </c>
      <c r="L44">
        <v>2.3156E-2</v>
      </c>
      <c r="M44">
        <v>0.50041500000000005</v>
      </c>
      <c r="N44">
        <v>2.3277410000000001</v>
      </c>
      <c r="O44">
        <v>2.3146119999999999</v>
      </c>
      <c r="P44">
        <v>4.3194660000000002</v>
      </c>
      <c r="Q44">
        <v>1.991725</v>
      </c>
      <c r="R44">
        <v>24.239635</v>
      </c>
      <c r="S44">
        <v>24.377123000000001</v>
      </c>
      <c r="T44">
        <v>45.235335999999997</v>
      </c>
      <c r="U44">
        <v>0.44178600000000001</v>
      </c>
      <c r="V44" t="s">
        <v>559</v>
      </c>
      <c r="W44">
        <v>0</v>
      </c>
      <c r="X44">
        <v>0</v>
      </c>
      <c r="Y44">
        <v>0</v>
      </c>
      <c r="Z44">
        <v>190.97685200000001</v>
      </c>
      <c r="AA44">
        <v>214.62356600000001</v>
      </c>
      <c r="AB44">
        <v>0.110178</v>
      </c>
      <c r="AC44">
        <v>0.5</v>
      </c>
      <c r="AD44">
        <v>0.8</v>
      </c>
      <c r="AE44">
        <v>58.774341999999997</v>
      </c>
      <c r="AF44">
        <v>65.239999999999995</v>
      </c>
      <c r="AG44">
        <v>64.88</v>
      </c>
      <c r="AH44">
        <v>26.95</v>
      </c>
      <c r="AI44">
        <v>30.24</v>
      </c>
      <c r="AJ44">
        <v>95.49</v>
      </c>
      <c r="AK44">
        <v>156.9</v>
      </c>
      <c r="AL44">
        <v>156.4</v>
      </c>
      <c r="AM44">
        <v>0.3</v>
      </c>
      <c r="AN44">
        <v>1334</v>
      </c>
      <c r="AO44">
        <v>4.0789999999999997</v>
      </c>
      <c r="AP44">
        <v>62</v>
      </c>
      <c r="AQ44">
        <v>-29</v>
      </c>
      <c r="AR44">
        <v>217</v>
      </c>
      <c r="AZ44" s="3">
        <v>0</v>
      </c>
      <c r="BA44" t="s">
        <v>513</v>
      </c>
      <c r="BB44" t="s">
        <v>514</v>
      </c>
      <c r="BC44" t="s">
        <v>514</v>
      </c>
      <c r="BD44" t="s">
        <v>514</v>
      </c>
      <c r="BE44">
        <v>0</v>
      </c>
      <c r="BF44" t="s">
        <v>514</v>
      </c>
      <c r="BG44" s="3">
        <v>8.3229166666666674E-2</v>
      </c>
      <c r="BH44" s="1">
        <v>45149</v>
      </c>
      <c r="BI44">
        <v>-0.46</v>
      </c>
      <c r="BJ44">
        <v>4.0000000000000001E-3</v>
      </c>
      <c r="BK44">
        <v>3.0000000000000001E-3</v>
      </c>
      <c r="BL44">
        <v>-1E-3</v>
      </c>
      <c r="BM44">
        <v>-1.613</v>
      </c>
      <c r="BN44">
        <v>-3.7639999999999998</v>
      </c>
      <c r="BO44">
        <v>-11.747</v>
      </c>
      <c r="BP44">
        <v>1</v>
      </c>
      <c r="BQ44">
        <v>150</v>
      </c>
      <c r="BR44">
        <v>5.0000000000000001E-3</v>
      </c>
      <c r="BS44">
        <v>2</v>
      </c>
      <c r="BT44">
        <v>0</v>
      </c>
      <c r="BU44" t="s">
        <v>200</v>
      </c>
      <c r="BV44">
        <v>7000</v>
      </c>
      <c r="BW44">
        <v>500</v>
      </c>
      <c r="BX44">
        <v>5</v>
      </c>
      <c r="BY44">
        <v>2</v>
      </c>
      <c r="BZ44">
        <v>300</v>
      </c>
      <c r="CA44">
        <v>300</v>
      </c>
      <c r="CB44">
        <v>300</v>
      </c>
      <c r="CC44">
        <v>214.62356600000001</v>
      </c>
      <c r="CD44">
        <v>25</v>
      </c>
      <c r="CE44">
        <v>0.109804</v>
      </c>
      <c r="CF44">
        <v>214.74194299999999</v>
      </c>
      <c r="CG44">
        <v>214.78021200000001</v>
      </c>
      <c r="CH44">
        <v>-3.8268999999999997E-2</v>
      </c>
      <c r="CI44">
        <v>2.5391680000000001</v>
      </c>
      <c r="CJ44">
        <v>2.548584</v>
      </c>
      <c r="CK44">
        <v>1.667883</v>
      </c>
      <c r="CL44">
        <v>0.94345400000000001</v>
      </c>
      <c r="CM44">
        <v>0.25240200000000002</v>
      </c>
      <c r="CN44">
        <v>4.0058000000000003E-2</v>
      </c>
      <c r="CO44">
        <v>0.15095700000000001</v>
      </c>
      <c r="CP44">
        <v>1.286419</v>
      </c>
      <c r="CQ44">
        <v>190.97685200000001</v>
      </c>
      <c r="CR44">
        <v>3.6999999999999999E-4</v>
      </c>
      <c r="CS44">
        <v>2.4333689999999999</v>
      </c>
      <c r="CT44">
        <v>-3.6000000000000001E-5</v>
      </c>
      <c r="CU44">
        <v>1</v>
      </c>
      <c r="CV44">
        <v>2.4396819999999999</v>
      </c>
      <c r="CW44">
        <v>1.1E-5</v>
      </c>
      <c r="CX44">
        <v>1</v>
      </c>
      <c r="CY44">
        <v>0.60025499999999998</v>
      </c>
      <c r="CZ44">
        <v>0.60245199999999999</v>
      </c>
      <c r="DA44">
        <v>0.106742</v>
      </c>
      <c r="DB44">
        <v>0</v>
      </c>
      <c r="DC44" t="s">
        <v>559</v>
      </c>
      <c r="DD44" t="s">
        <v>515</v>
      </c>
      <c r="DE44" t="s">
        <v>516</v>
      </c>
      <c r="DF44" t="s">
        <v>517</v>
      </c>
      <c r="DG44" t="s">
        <v>518</v>
      </c>
      <c r="DH44" t="s">
        <v>205</v>
      </c>
      <c r="DI44" t="s">
        <v>519</v>
      </c>
    </row>
    <row r="45" spans="1:113">
      <c r="A45">
        <v>5</v>
      </c>
      <c r="B45" s="3">
        <v>8.446759259259258E-2</v>
      </c>
      <c r="C45" s="1">
        <v>45149</v>
      </c>
      <c r="D45" t="s">
        <v>196</v>
      </c>
      <c r="E45" t="s">
        <v>197</v>
      </c>
      <c r="G45">
        <v>5</v>
      </c>
      <c r="J45">
        <v>9.3630000000000005E-2</v>
      </c>
      <c r="K45">
        <v>2.9195340000000001</v>
      </c>
      <c r="L45">
        <v>9.0720999999999996E-2</v>
      </c>
      <c r="M45">
        <v>1.1596409999999999</v>
      </c>
      <c r="N45">
        <v>2.3945829999999999</v>
      </c>
      <c r="O45">
        <v>2.3640910000000002</v>
      </c>
      <c r="P45">
        <v>3.5771660000000001</v>
      </c>
      <c r="Q45">
        <v>1.1825829999999999</v>
      </c>
      <c r="R45">
        <v>24.754555</v>
      </c>
      <c r="S45">
        <v>25.073839</v>
      </c>
      <c r="T45">
        <v>37.456744999999998</v>
      </c>
      <c r="U45">
        <v>0.44178600000000001</v>
      </c>
      <c r="V45" t="s">
        <v>560</v>
      </c>
      <c r="W45">
        <v>0</v>
      </c>
      <c r="X45">
        <v>0</v>
      </c>
      <c r="Y45">
        <v>0</v>
      </c>
      <c r="Z45">
        <v>92.227219000000005</v>
      </c>
      <c r="AA45">
        <v>330.82257099999998</v>
      </c>
      <c r="AB45">
        <v>0.72121800000000003</v>
      </c>
      <c r="AC45">
        <v>0.5</v>
      </c>
      <c r="AD45">
        <v>0.8</v>
      </c>
      <c r="AE45">
        <v>238.673462</v>
      </c>
      <c r="AF45">
        <v>66.95</v>
      </c>
      <c r="AG45">
        <v>66.099999999999994</v>
      </c>
      <c r="AH45">
        <v>26.99</v>
      </c>
      <c r="AI45">
        <v>26.99</v>
      </c>
      <c r="AJ45">
        <v>95.5</v>
      </c>
      <c r="AK45">
        <v>156.4</v>
      </c>
      <c r="AL45">
        <v>151.5</v>
      </c>
      <c r="AM45">
        <v>3.1</v>
      </c>
      <c r="AN45">
        <v>827</v>
      </c>
      <c r="AO45">
        <v>4.0789999999999997</v>
      </c>
      <c r="AP45">
        <v>16</v>
      </c>
      <c r="AQ45">
        <v>-8</v>
      </c>
      <c r="AR45">
        <v>234</v>
      </c>
      <c r="AZ45" s="3">
        <v>0</v>
      </c>
      <c r="BA45" t="s">
        <v>513</v>
      </c>
      <c r="BB45" t="s">
        <v>514</v>
      </c>
      <c r="BC45" t="s">
        <v>514</v>
      </c>
      <c r="BD45" t="s">
        <v>514</v>
      </c>
      <c r="BE45">
        <v>0</v>
      </c>
      <c r="BF45" t="s">
        <v>514</v>
      </c>
      <c r="BG45" s="3">
        <v>8.3229166666666674E-2</v>
      </c>
      <c r="BH45" s="1">
        <v>45149</v>
      </c>
      <c r="BI45">
        <v>-0.46</v>
      </c>
      <c r="BJ45">
        <v>4.0000000000000001E-3</v>
      </c>
      <c r="BK45">
        <v>-2E-3</v>
      </c>
      <c r="BL45">
        <v>4.0000000000000001E-3</v>
      </c>
      <c r="BM45">
        <v>0.13400000000000001</v>
      </c>
      <c r="BN45">
        <v>0.26700000000000002</v>
      </c>
      <c r="BO45">
        <v>0.35899999999999999</v>
      </c>
      <c r="BP45">
        <v>1</v>
      </c>
      <c r="BQ45">
        <v>150</v>
      </c>
      <c r="BR45">
        <v>5.0000000000000001E-3</v>
      </c>
      <c r="BS45">
        <v>2</v>
      </c>
      <c r="BT45">
        <v>0</v>
      </c>
      <c r="BU45" t="s">
        <v>200</v>
      </c>
      <c r="BV45">
        <v>7000</v>
      </c>
      <c r="BW45">
        <v>500</v>
      </c>
      <c r="BX45">
        <v>5</v>
      </c>
      <c r="BY45">
        <v>2</v>
      </c>
      <c r="BZ45">
        <v>300</v>
      </c>
      <c r="CA45">
        <v>300</v>
      </c>
      <c r="CB45">
        <v>300</v>
      </c>
      <c r="CC45">
        <v>317.69693000000001</v>
      </c>
      <c r="CD45">
        <v>25</v>
      </c>
      <c r="CE45">
        <v>-9.2198510000000002</v>
      </c>
      <c r="CF45">
        <v>317.74414100000001</v>
      </c>
      <c r="CG45">
        <v>317.670074</v>
      </c>
      <c r="CH45">
        <v>7.4066000000000007E-2</v>
      </c>
      <c r="CI45">
        <v>2.5409329999999999</v>
      </c>
      <c r="CJ45">
        <v>2.5510619999999999</v>
      </c>
      <c r="CK45">
        <v>1.664102</v>
      </c>
      <c r="CL45">
        <v>0.93101100000000003</v>
      </c>
      <c r="CM45">
        <v>0.25198599999999999</v>
      </c>
      <c r="CN45">
        <v>7.76E-4</v>
      </c>
      <c r="CO45">
        <v>0.15496699999999999</v>
      </c>
      <c r="CP45">
        <v>0.838565</v>
      </c>
      <c r="CQ45">
        <v>92.227219000000005</v>
      </c>
      <c r="CR45">
        <v>3.57E-4</v>
      </c>
      <c r="CS45">
        <v>2.4333689999999999</v>
      </c>
      <c r="CT45">
        <v>-3.6000000000000001E-5</v>
      </c>
      <c r="CU45">
        <v>1</v>
      </c>
      <c r="CV45">
        <v>2.4396819999999999</v>
      </c>
      <c r="CW45">
        <v>1.1E-5</v>
      </c>
      <c r="CX45">
        <v>1</v>
      </c>
      <c r="CY45">
        <v>0.60025499999999998</v>
      </c>
      <c r="CZ45">
        <v>0.60245199999999999</v>
      </c>
      <c r="DA45">
        <v>0.106742</v>
      </c>
      <c r="DB45">
        <v>0</v>
      </c>
      <c r="DC45" t="s">
        <v>560</v>
      </c>
      <c r="DD45" t="s">
        <v>515</v>
      </c>
      <c r="DE45" t="s">
        <v>516</v>
      </c>
      <c r="DF45" t="s">
        <v>517</v>
      </c>
      <c r="DG45" t="s">
        <v>518</v>
      </c>
      <c r="DH45" t="s">
        <v>205</v>
      </c>
      <c r="DI45" t="s">
        <v>519</v>
      </c>
    </row>
    <row r="46" spans="1:113">
      <c r="A46">
        <v>6</v>
      </c>
      <c r="B46" s="3">
        <v>8.4606481481481477E-2</v>
      </c>
      <c r="C46" s="1">
        <v>45149</v>
      </c>
      <c r="D46" t="s">
        <v>196</v>
      </c>
      <c r="E46" t="s">
        <v>197</v>
      </c>
      <c r="G46">
        <v>6</v>
      </c>
      <c r="J46">
        <v>3.9618E-2</v>
      </c>
      <c r="K46">
        <v>2.9206159999999999</v>
      </c>
      <c r="L46">
        <v>3.9086999999999997E-2</v>
      </c>
      <c r="M46">
        <v>0.67862299999999998</v>
      </c>
      <c r="N46">
        <v>2.3848250000000002</v>
      </c>
      <c r="O46">
        <v>2.3669950000000002</v>
      </c>
      <c r="P46">
        <v>3.9875750000000001</v>
      </c>
      <c r="Q46">
        <v>1.602749</v>
      </c>
      <c r="R46">
        <v>24.784894999999999</v>
      </c>
      <c r="S46">
        <v>24.971601</v>
      </c>
      <c r="T46">
        <v>41.754050999999997</v>
      </c>
      <c r="U46">
        <v>0.44178600000000001</v>
      </c>
      <c r="V46" t="s">
        <v>561</v>
      </c>
      <c r="W46">
        <v>0</v>
      </c>
      <c r="X46">
        <v>0</v>
      </c>
      <c r="Y46">
        <v>0</v>
      </c>
      <c r="Z46">
        <v>80.987335000000002</v>
      </c>
      <c r="AA46">
        <v>191.68336500000001</v>
      </c>
      <c r="AB46">
        <v>0.57749399999999995</v>
      </c>
      <c r="AC46">
        <v>0.5</v>
      </c>
      <c r="AD46">
        <v>0.8</v>
      </c>
      <c r="AE46">
        <v>207.48091099999999</v>
      </c>
      <c r="AF46">
        <v>66.59</v>
      </c>
      <c r="AG46">
        <v>66.09</v>
      </c>
      <c r="AH46">
        <v>27.01</v>
      </c>
      <c r="AI46">
        <v>28.85</v>
      </c>
      <c r="AJ46">
        <v>95.5</v>
      </c>
      <c r="AK46">
        <v>156.6</v>
      </c>
      <c r="AL46">
        <v>156.4</v>
      </c>
      <c r="AM46">
        <v>0.1</v>
      </c>
      <c r="AN46">
        <v>898</v>
      </c>
      <c r="AO46">
        <v>4.0789999999999997</v>
      </c>
      <c r="AP46">
        <v>13</v>
      </c>
      <c r="AQ46">
        <v>-22</v>
      </c>
      <c r="AR46">
        <v>217</v>
      </c>
      <c r="AZ46" s="3">
        <v>0</v>
      </c>
      <c r="BA46" t="s">
        <v>513</v>
      </c>
      <c r="BB46" t="s">
        <v>514</v>
      </c>
      <c r="BC46" t="s">
        <v>514</v>
      </c>
      <c r="BD46" t="s">
        <v>514</v>
      </c>
      <c r="BE46">
        <v>0</v>
      </c>
      <c r="BF46" t="s">
        <v>514</v>
      </c>
      <c r="BG46" s="3">
        <v>8.3229166666666674E-2</v>
      </c>
      <c r="BH46" s="1">
        <v>45149</v>
      </c>
      <c r="BI46">
        <v>-0.46</v>
      </c>
      <c r="BJ46">
        <v>2E-3</v>
      </c>
      <c r="BK46">
        <v>2E-3</v>
      </c>
      <c r="BL46">
        <v>-9999</v>
      </c>
      <c r="BM46">
        <v>0.39200000000000002</v>
      </c>
      <c r="BN46">
        <v>0.44400000000000001</v>
      </c>
      <c r="BO46">
        <v>-9999</v>
      </c>
      <c r="BP46">
        <v>1</v>
      </c>
      <c r="BQ46">
        <v>150</v>
      </c>
      <c r="BR46">
        <v>5.0000000000000001E-3</v>
      </c>
      <c r="BS46">
        <v>2</v>
      </c>
      <c r="BT46">
        <v>0</v>
      </c>
      <c r="BU46" t="s">
        <v>200</v>
      </c>
      <c r="BV46">
        <v>7000</v>
      </c>
      <c r="BW46">
        <v>500</v>
      </c>
      <c r="BX46">
        <v>5</v>
      </c>
      <c r="BY46">
        <v>2</v>
      </c>
      <c r="BZ46">
        <v>300</v>
      </c>
      <c r="CA46">
        <v>300</v>
      </c>
      <c r="CB46">
        <v>300</v>
      </c>
      <c r="CC46">
        <v>187.40022300000001</v>
      </c>
      <c r="CD46">
        <v>25</v>
      </c>
      <c r="CE46">
        <v>-2.9592100000000001</v>
      </c>
      <c r="CF46">
        <v>191.571945</v>
      </c>
      <c r="CG46">
        <v>187.461929</v>
      </c>
      <c r="CH46">
        <v>4.1100159999999999</v>
      </c>
      <c r="CI46">
        <v>2.5409139999999999</v>
      </c>
      <c r="CJ46">
        <v>2.5505279999999999</v>
      </c>
      <c r="CK46">
        <v>1.6652389999999999</v>
      </c>
      <c r="CL46">
        <v>0.94333599999999995</v>
      </c>
      <c r="CM46">
        <v>0.251751</v>
      </c>
      <c r="CN46">
        <v>2.2527999999999999E-2</v>
      </c>
      <c r="CO46">
        <v>0.156753</v>
      </c>
      <c r="CP46">
        <v>0.90125200000000005</v>
      </c>
      <c r="CQ46">
        <v>80.987335000000002</v>
      </c>
      <c r="CR46">
        <v>3.6499999999999998E-4</v>
      </c>
      <c r="CS46">
        <v>2.4333689999999999</v>
      </c>
      <c r="CT46">
        <v>-3.6000000000000001E-5</v>
      </c>
      <c r="CU46">
        <v>1</v>
      </c>
      <c r="CV46">
        <v>2.4396819999999999</v>
      </c>
      <c r="CW46">
        <v>1.1E-5</v>
      </c>
      <c r="CX46">
        <v>1</v>
      </c>
      <c r="CY46">
        <v>0.60025499999999998</v>
      </c>
      <c r="CZ46">
        <v>0.60245199999999999</v>
      </c>
      <c r="DA46">
        <v>0.106742</v>
      </c>
      <c r="DB46">
        <v>0</v>
      </c>
      <c r="DC46" t="s">
        <v>561</v>
      </c>
      <c r="DD46" t="s">
        <v>515</v>
      </c>
      <c r="DE46" t="s">
        <v>516</v>
      </c>
      <c r="DF46" t="s">
        <v>517</v>
      </c>
      <c r="DG46" t="s">
        <v>518</v>
      </c>
      <c r="DH46" t="s">
        <v>205</v>
      </c>
      <c r="DI46" t="s">
        <v>519</v>
      </c>
    </row>
    <row r="47" spans="1:113">
      <c r="A47">
        <v>7</v>
      </c>
      <c r="B47" s="3">
        <v>8.4803240740740748E-2</v>
      </c>
      <c r="C47" s="1">
        <v>45149</v>
      </c>
      <c r="D47" t="s">
        <v>196</v>
      </c>
      <c r="E47" t="s">
        <v>197</v>
      </c>
      <c r="G47">
        <v>7</v>
      </c>
      <c r="J47">
        <v>3.4844E-2</v>
      </c>
      <c r="K47">
        <v>2.921033</v>
      </c>
      <c r="L47">
        <v>3.4432999999999998E-2</v>
      </c>
      <c r="M47">
        <v>0.72615499999999999</v>
      </c>
      <c r="N47">
        <v>2.333828</v>
      </c>
      <c r="O47">
        <v>2.314746</v>
      </c>
      <c r="P47">
        <v>4.2780440000000004</v>
      </c>
      <c r="Q47">
        <v>1.9442159999999999</v>
      </c>
      <c r="R47">
        <v>24.238935000000001</v>
      </c>
      <c r="S47">
        <v>24.438761</v>
      </c>
      <c r="T47">
        <v>44.79768</v>
      </c>
      <c r="U47">
        <v>0.44178600000000001</v>
      </c>
      <c r="V47" t="s">
        <v>562</v>
      </c>
      <c r="W47">
        <v>0</v>
      </c>
      <c r="X47">
        <v>0</v>
      </c>
      <c r="Y47">
        <v>0</v>
      </c>
      <c r="Z47">
        <v>110.664368</v>
      </c>
      <c r="AA47">
        <v>160.97583</v>
      </c>
      <c r="AB47">
        <v>0.31253999999999998</v>
      </c>
      <c r="AC47">
        <v>0.5</v>
      </c>
      <c r="AD47">
        <v>0.8</v>
      </c>
      <c r="AE47">
        <v>150.46163899999999</v>
      </c>
      <c r="AF47">
        <v>65.010000000000005</v>
      </c>
      <c r="AG47">
        <v>64.48</v>
      </c>
      <c r="AH47">
        <v>27.05</v>
      </c>
      <c r="AI47">
        <v>30.07</v>
      </c>
      <c r="AJ47">
        <v>95.5</v>
      </c>
      <c r="AK47">
        <v>156.6</v>
      </c>
      <c r="AL47">
        <v>156.1</v>
      </c>
      <c r="AM47">
        <v>0.3</v>
      </c>
      <c r="AN47">
        <v>1204</v>
      </c>
      <c r="AO47">
        <v>4.0789999999999997</v>
      </c>
      <c r="AP47">
        <v>33</v>
      </c>
      <c r="AQ47">
        <v>-29</v>
      </c>
      <c r="AR47">
        <v>197</v>
      </c>
      <c r="AZ47" s="3">
        <v>0</v>
      </c>
      <c r="BA47" t="s">
        <v>513</v>
      </c>
      <c r="BB47">
        <v>38.492916000000001</v>
      </c>
      <c r="BC47">
        <v>-1.365245</v>
      </c>
      <c r="BD47">
        <v>578.5</v>
      </c>
      <c r="BE47">
        <v>4</v>
      </c>
      <c r="BF47">
        <v>1.94</v>
      </c>
      <c r="BG47" s="3">
        <v>8.3229166666666674E-2</v>
      </c>
      <c r="BH47" s="1">
        <v>45149</v>
      </c>
      <c r="BI47">
        <v>-0.46</v>
      </c>
      <c r="BJ47">
        <v>-1E-3</v>
      </c>
      <c r="BK47">
        <v>-1E-3</v>
      </c>
      <c r="BL47">
        <v>-9999</v>
      </c>
      <c r="BM47">
        <v>-0.96</v>
      </c>
      <c r="BN47">
        <v>-2.6819999999999999</v>
      </c>
      <c r="BO47">
        <v>-9999</v>
      </c>
      <c r="BP47">
        <v>1</v>
      </c>
      <c r="BQ47">
        <v>150</v>
      </c>
      <c r="BR47">
        <v>5.0000000000000001E-3</v>
      </c>
      <c r="BS47">
        <v>2</v>
      </c>
      <c r="BT47">
        <v>0</v>
      </c>
      <c r="BU47" t="s">
        <v>200</v>
      </c>
      <c r="BV47">
        <v>7000</v>
      </c>
      <c r="BW47">
        <v>500</v>
      </c>
      <c r="BX47">
        <v>5</v>
      </c>
      <c r="BY47">
        <v>2</v>
      </c>
      <c r="BZ47">
        <v>300</v>
      </c>
      <c r="CA47">
        <v>300</v>
      </c>
      <c r="CB47">
        <v>300</v>
      </c>
      <c r="CC47">
        <v>154.745575</v>
      </c>
      <c r="CD47">
        <v>25</v>
      </c>
      <c r="CE47">
        <v>-4.3537160000000004</v>
      </c>
      <c r="CF47">
        <v>153.99670399999999</v>
      </c>
      <c r="CG47">
        <v>154.76507599999999</v>
      </c>
      <c r="CH47">
        <v>-0.76837200000000005</v>
      </c>
      <c r="CI47">
        <v>2.5385740000000001</v>
      </c>
      <c r="CJ47">
        <v>2.5482309999999999</v>
      </c>
      <c r="CK47">
        <v>1.665678</v>
      </c>
      <c r="CL47">
        <v>0.94278799999999996</v>
      </c>
      <c r="CM47">
        <v>0.25135099999999999</v>
      </c>
      <c r="CN47">
        <v>3.6762999999999997E-2</v>
      </c>
      <c r="CO47">
        <v>0.159271</v>
      </c>
      <c r="CP47">
        <v>1.171346</v>
      </c>
      <c r="CQ47">
        <v>110.664368</v>
      </c>
      <c r="CR47">
        <v>3.68E-4</v>
      </c>
      <c r="CS47">
        <v>2.4333689999999999</v>
      </c>
      <c r="CT47">
        <v>-3.6000000000000001E-5</v>
      </c>
      <c r="CU47">
        <v>1</v>
      </c>
      <c r="CV47">
        <v>2.4396819999999999</v>
      </c>
      <c r="CW47">
        <v>1.1E-5</v>
      </c>
      <c r="CX47">
        <v>1</v>
      </c>
      <c r="CY47">
        <v>0.60025499999999998</v>
      </c>
      <c r="CZ47">
        <v>0.60245199999999999</v>
      </c>
      <c r="DA47">
        <v>0.106742</v>
      </c>
      <c r="DB47">
        <v>0</v>
      </c>
      <c r="DC47" t="s">
        <v>562</v>
      </c>
      <c r="DD47" t="s">
        <v>515</v>
      </c>
      <c r="DE47" t="s">
        <v>516</v>
      </c>
      <c r="DF47" t="s">
        <v>517</v>
      </c>
      <c r="DG47" t="s">
        <v>518</v>
      </c>
      <c r="DH47" t="s">
        <v>205</v>
      </c>
      <c r="DI47" t="s">
        <v>519</v>
      </c>
    </row>
    <row r="48" spans="1:113">
      <c r="A48">
        <v>8</v>
      </c>
      <c r="B48" s="3">
        <v>8.4930555555555551E-2</v>
      </c>
      <c r="C48" s="1">
        <v>45149</v>
      </c>
      <c r="D48" t="s">
        <v>196</v>
      </c>
      <c r="E48" t="s">
        <v>197</v>
      </c>
      <c r="G48">
        <v>8</v>
      </c>
      <c r="J48">
        <v>1.9831000000000001E-2</v>
      </c>
      <c r="K48">
        <v>2.9203779999999999</v>
      </c>
      <c r="L48">
        <v>1.9696999999999999E-2</v>
      </c>
      <c r="M48">
        <v>0.42461599999999999</v>
      </c>
      <c r="N48">
        <v>2.325793</v>
      </c>
      <c r="O48">
        <v>2.3146279999999999</v>
      </c>
      <c r="P48">
        <v>4.3127719999999998</v>
      </c>
      <c r="Q48">
        <v>1.9869790000000001</v>
      </c>
      <c r="R48">
        <v>24.238716</v>
      </c>
      <c r="S48">
        <v>24.355634999999999</v>
      </c>
      <c r="T48">
        <v>45.163226999999999</v>
      </c>
      <c r="U48">
        <v>0.44178600000000001</v>
      </c>
      <c r="V48" t="s">
        <v>563</v>
      </c>
      <c r="W48">
        <v>0</v>
      </c>
      <c r="X48">
        <v>0</v>
      </c>
      <c r="Y48">
        <v>0</v>
      </c>
      <c r="Z48">
        <v>98.227501000000004</v>
      </c>
      <c r="AA48">
        <v>124.75949900000001</v>
      </c>
      <c r="AB48">
        <v>0.21266499999999999</v>
      </c>
      <c r="AC48">
        <v>0.5</v>
      </c>
      <c r="AD48">
        <v>0.8</v>
      </c>
      <c r="AE48">
        <v>113.77153</v>
      </c>
      <c r="AF48">
        <v>64.7</v>
      </c>
      <c r="AG48">
        <v>64.39</v>
      </c>
      <c r="AH48">
        <v>27.08</v>
      </c>
      <c r="AI48">
        <v>30.21</v>
      </c>
      <c r="AJ48">
        <v>95.49</v>
      </c>
      <c r="AK48">
        <v>156.5</v>
      </c>
      <c r="AL48">
        <v>156.4</v>
      </c>
      <c r="AM48">
        <v>0.1</v>
      </c>
      <c r="AN48">
        <v>1337</v>
      </c>
      <c r="AO48">
        <v>4.077</v>
      </c>
      <c r="AP48">
        <v>50</v>
      </c>
      <c r="AQ48">
        <v>-30</v>
      </c>
      <c r="AR48">
        <v>220</v>
      </c>
      <c r="AS48">
        <v>16.510000000000002</v>
      </c>
      <c r="AT48">
        <v>95.88</v>
      </c>
      <c r="AU48">
        <v>56.17</v>
      </c>
      <c r="AV48">
        <v>-103</v>
      </c>
      <c r="AW48">
        <v>15.31</v>
      </c>
      <c r="AX48">
        <v>85.23</v>
      </c>
      <c r="AY48">
        <v>70.97</v>
      </c>
      <c r="AZ48" s="3">
        <v>0.29177083333333337</v>
      </c>
      <c r="BA48" s="1">
        <v>45149</v>
      </c>
      <c r="BB48">
        <v>38.492961999999999</v>
      </c>
      <c r="BC48">
        <v>-1.3651930000000001</v>
      </c>
      <c r="BD48">
        <v>580.90002400000003</v>
      </c>
      <c r="BE48">
        <v>6</v>
      </c>
      <c r="BF48">
        <v>1.52</v>
      </c>
      <c r="BG48" s="3">
        <v>8.3229166666666674E-2</v>
      </c>
      <c r="BH48" s="1">
        <v>45149</v>
      </c>
      <c r="BI48">
        <v>-0.46</v>
      </c>
      <c r="BJ48">
        <v>0</v>
      </c>
      <c r="BK48">
        <v>-1E-3</v>
      </c>
      <c r="BL48">
        <v>-9999</v>
      </c>
      <c r="BM48">
        <v>0.17699999999999999</v>
      </c>
      <c r="BN48">
        <v>5.3999999999999999E-2</v>
      </c>
      <c r="BO48">
        <v>-9999</v>
      </c>
      <c r="BP48">
        <v>1</v>
      </c>
      <c r="BQ48">
        <v>150</v>
      </c>
      <c r="BR48">
        <v>5.0000000000000001E-3</v>
      </c>
      <c r="BS48">
        <v>2</v>
      </c>
      <c r="BT48">
        <v>0</v>
      </c>
      <c r="BU48" t="s">
        <v>200</v>
      </c>
      <c r="BV48">
        <v>7000</v>
      </c>
      <c r="BW48">
        <v>500</v>
      </c>
      <c r="BX48">
        <v>5</v>
      </c>
      <c r="BY48">
        <v>2</v>
      </c>
      <c r="BZ48">
        <v>300</v>
      </c>
      <c r="CA48">
        <v>300</v>
      </c>
      <c r="CB48">
        <v>300</v>
      </c>
      <c r="CC48">
        <v>122.621658</v>
      </c>
      <c r="CD48">
        <v>25</v>
      </c>
      <c r="CE48">
        <v>-1.4567289999999999</v>
      </c>
      <c r="CF48">
        <v>122.748611</v>
      </c>
      <c r="CG48">
        <v>122.68141199999999</v>
      </c>
      <c r="CH48">
        <v>6.7199999999999996E-2</v>
      </c>
      <c r="CI48">
        <v>2.5384289999999998</v>
      </c>
      <c r="CJ48">
        <v>2.5477660000000002</v>
      </c>
      <c r="CK48">
        <v>1.6649890000000001</v>
      </c>
      <c r="CL48">
        <v>0.94355500000000003</v>
      </c>
      <c r="CM48">
        <v>0.251106</v>
      </c>
      <c r="CN48">
        <v>3.8185999999999998E-2</v>
      </c>
      <c r="CO48">
        <v>0.16083700000000001</v>
      </c>
      <c r="CP48">
        <v>1.2898000000000001</v>
      </c>
      <c r="CQ48">
        <v>98.227501000000004</v>
      </c>
      <c r="CR48">
        <v>3.6499999999999998E-4</v>
      </c>
      <c r="CS48">
        <v>2.4333689999999999</v>
      </c>
      <c r="CT48">
        <v>-3.6000000000000001E-5</v>
      </c>
      <c r="CU48">
        <v>1</v>
      </c>
      <c r="CV48">
        <v>2.4396819999999999</v>
      </c>
      <c r="CW48">
        <v>1.1E-5</v>
      </c>
      <c r="CX48">
        <v>1</v>
      </c>
      <c r="CY48">
        <v>0.60025499999999998</v>
      </c>
      <c r="CZ48">
        <v>0.60245199999999999</v>
      </c>
      <c r="DA48">
        <v>0.106742</v>
      </c>
      <c r="DB48">
        <v>0</v>
      </c>
      <c r="DC48" t="s">
        <v>563</v>
      </c>
      <c r="DD48" t="s">
        <v>515</v>
      </c>
      <c r="DE48" t="s">
        <v>516</v>
      </c>
      <c r="DF48" t="s">
        <v>517</v>
      </c>
      <c r="DG48" t="s">
        <v>518</v>
      </c>
      <c r="DH48" t="s">
        <v>205</v>
      </c>
      <c r="DI48" t="s">
        <v>519</v>
      </c>
    </row>
    <row r="49" spans="1:113">
      <c r="A49">
        <v>9</v>
      </c>
      <c r="B49" s="3">
        <v>8.5243055555555558E-2</v>
      </c>
      <c r="C49" s="1">
        <v>45149</v>
      </c>
      <c r="D49" t="s">
        <v>196</v>
      </c>
      <c r="E49" t="s">
        <v>197</v>
      </c>
      <c r="G49">
        <v>9</v>
      </c>
      <c r="J49">
        <v>4.3312999999999997E-2</v>
      </c>
      <c r="K49">
        <v>2.9222510000000002</v>
      </c>
      <c r="L49">
        <v>4.2680000000000003E-2</v>
      </c>
      <c r="M49">
        <v>0.73602199999999995</v>
      </c>
      <c r="N49">
        <v>2.402571</v>
      </c>
      <c r="O49">
        <v>2.3832599999999999</v>
      </c>
      <c r="P49">
        <v>3.9943879999999998</v>
      </c>
      <c r="Q49">
        <v>1.591817</v>
      </c>
      <c r="R49">
        <v>24.954494</v>
      </c>
      <c r="S49">
        <v>25.156693000000001</v>
      </c>
      <c r="T49">
        <v>41.824196000000001</v>
      </c>
      <c r="U49">
        <v>0.44178600000000001</v>
      </c>
      <c r="V49" t="s">
        <v>564</v>
      </c>
      <c r="W49">
        <v>0</v>
      </c>
      <c r="X49">
        <v>0</v>
      </c>
      <c r="Y49">
        <v>0</v>
      </c>
      <c r="Z49">
        <v>84.314346</v>
      </c>
      <c r="AA49">
        <v>256.80480999999997</v>
      </c>
      <c r="AB49">
        <v>0.67167900000000003</v>
      </c>
      <c r="AC49">
        <v>0.5</v>
      </c>
      <c r="AD49">
        <v>0.8</v>
      </c>
      <c r="AE49">
        <v>190.92330899999999</v>
      </c>
      <c r="AF49">
        <v>66.599999999999994</v>
      </c>
      <c r="AG49">
        <v>66.069999999999993</v>
      </c>
      <c r="AH49">
        <v>27.13</v>
      </c>
      <c r="AI49">
        <v>28.88</v>
      </c>
      <c r="AJ49">
        <v>95.5</v>
      </c>
      <c r="AK49">
        <v>156.80000000000001</v>
      </c>
      <c r="AL49">
        <v>156.5</v>
      </c>
      <c r="AM49">
        <v>0.1</v>
      </c>
      <c r="AN49">
        <v>711</v>
      </c>
      <c r="AO49">
        <v>4.077</v>
      </c>
      <c r="AP49">
        <v>12</v>
      </c>
      <c r="AQ49">
        <v>-2</v>
      </c>
      <c r="AR49">
        <v>219</v>
      </c>
      <c r="AS49">
        <v>61.41</v>
      </c>
      <c r="AT49">
        <v>47.85</v>
      </c>
      <c r="AU49">
        <v>12.16</v>
      </c>
      <c r="AV49">
        <v>-131.47</v>
      </c>
      <c r="AW49">
        <v>15.31</v>
      </c>
      <c r="AX49">
        <v>85.23</v>
      </c>
      <c r="AY49">
        <v>70.97</v>
      </c>
      <c r="AZ49" s="3">
        <v>0.29207175925925927</v>
      </c>
      <c r="BA49" s="1">
        <v>45149</v>
      </c>
      <c r="BB49">
        <v>38.492972999999999</v>
      </c>
      <c r="BC49">
        <v>-1.3651949999999999</v>
      </c>
      <c r="BD49">
        <v>582.20001200000002</v>
      </c>
      <c r="BE49">
        <v>6</v>
      </c>
      <c r="BF49">
        <v>1.52</v>
      </c>
      <c r="BG49" s="3">
        <v>8.3229166666666674E-2</v>
      </c>
      <c r="BH49" s="1">
        <v>45149</v>
      </c>
      <c r="BI49">
        <v>-0.46</v>
      </c>
      <c r="BJ49">
        <v>-1E-3</v>
      </c>
      <c r="BK49">
        <v>0</v>
      </c>
      <c r="BL49">
        <v>-9999</v>
      </c>
      <c r="BM49">
        <v>0.192</v>
      </c>
      <c r="BN49">
        <v>1.069</v>
      </c>
      <c r="BO49">
        <v>-9999</v>
      </c>
      <c r="BP49">
        <v>1</v>
      </c>
      <c r="BQ49">
        <v>150</v>
      </c>
      <c r="BR49">
        <v>5.0000000000000001E-3</v>
      </c>
      <c r="BS49">
        <v>2</v>
      </c>
      <c r="BT49">
        <v>0</v>
      </c>
      <c r="BU49" t="s">
        <v>200</v>
      </c>
      <c r="BV49">
        <v>7000</v>
      </c>
      <c r="BW49">
        <v>500</v>
      </c>
      <c r="BX49">
        <v>5</v>
      </c>
      <c r="BY49">
        <v>2</v>
      </c>
      <c r="BZ49">
        <v>300</v>
      </c>
      <c r="CA49">
        <v>300</v>
      </c>
      <c r="CB49">
        <v>300</v>
      </c>
      <c r="CC49">
        <v>228.59751900000001</v>
      </c>
      <c r="CD49">
        <v>25</v>
      </c>
      <c r="CE49">
        <v>-19.953161000000001</v>
      </c>
      <c r="CF49">
        <v>223.92010500000001</v>
      </c>
      <c r="CG49">
        <v>228.34079</v>
      </c>
      <c r="CH49">
        <v>-4.4206849999999998</v>
      </c>
      <c r="CI49">
        <v>2.5408539999999999</v>
      </c>
      <c r="CJ49">
        <v>2.5505300000000002</v>
      </c>
      <c r="CK49">
        <v>1.666963</v>
      </c>
      <c r="CL49">
        <v>0.94384000000000001</v>
      </c>
      <c r="CM49">
        <v>0.250527</v>
      </c>
      <c r="CN49">
        <v>2.1429E-2</v>
      </c>
      <c r="CO49">
        <v>0.16477600000000001</v>
      </c>
      <c r="CP49">
        <v>0.73532900000000001</v>
      </c>
      <c r="CQ49">
        <v>84.314346</v>
      </c>
      <c r="CR49">
        <v>3.5799999999999997E-4</v>
      </c>
      <c r="CS49">
        <v>2.4333689999999999</v>
      </c>
      <c r="CT49">
        <v>-3.6000000000000001E-5</v>
      </c>
      <c r="CU49">
        <v>1</v>
      </c>
      <c r="CV49">
        <v>2.4396819999999999</v>
      </c>
      <c r="CW49">
        <v>1.1E-5</v>
      </c>
      <c r="CX49">
        <v>1</v>
      </c>
      <c r="CY49">
        <v>0.60025499999999998</v>
      </c>
      <c r="CZ49">
        <v>0.60245199999999999</v>
      </c>
      <c r="DA49">
        <v>0.106742</v>
      </c>
      <c r="DB49">
        <v>0</v>
      </c>
      <c r="DC49" t="s">
        <v>564</v>
      </c>
      <c r="DD49" t="s">
        <v>515</v>
      </c>
      <c r="DE49" t="s">
        <v>516</v>
      </c>
      <c r="DF49" t="s">
        <v>517</v>
      </c>
      <c r="DG49" t="s">
        <v>518</v>
      </c>
      <c r="DH49" t="s">
        <v>205</v>
      </c>
      <c r="DI49" t="s">
        <v>519</v>
      </c>
    </row>
    <row r="50" spans="1:113">
      <c r="A50">
        <v>10</v>
      </c>
      <c r="B50" s="3">
        <v>8.5416666666666655E-2</v>
      </c>
      <c r="C50" s="1">
        <v>45149</v>
      </c>
      <c r="D50" t="s">
        <v>196</v>
      </c>
      <c r="E50" t="s">
        <v>197</v>
      </c>
      <c r="G50">
        <v>10</v>
      </c>
      <c r="J50">
        <v>6.1062999999999999E-2</v>
      </c>
      <c r="K50">
        <v>2.9215719999999998</v>
      </c>
      <c r="L50">
        <v>5.9812999999999998E-2</v>
      </c>
      <c r="M50">
        <v>0.90862399999999999</v>
      </c>
      <c r="N50">
        <v>2.462548</v>
      </c>
      <c r="O50">
        <v>2.4387120000000002</v>
      </c>
      <c r="P50">
        <v>3.8652259999999998</v>
      </c>
      <c r="Q50">
        <v>1.4026780000000001</v>
      </c>
      <c r="R50">
        <v>25.536519999999999</v>
      </c>
      <c r="S50">
        <v>25.786107999999999</v>
      </c>
      <c r="T50">
        <v>40.473995000000002</v>
      </c>
      <c r="U50">
        <v>0.44178600000000001</v>
      </c>
      <c r="V50" t="s">
        <v>565</v>
      </c>
      <c r="W50">
        <v>0</v>
      </c>
      <c r="X50">
        <v>0</v>
      </c>
      <c r="Y50">
        <v>0</v>
      </c>
      <c r="Z50">
        <v>83.496093999999999</v>
      </c>
      <c r="AA50">
        <v>259.799713</v>
      </c>
      <c r="AB50">
        <v>0.67861400000000005</v>
      </c>
      <c r="AC50">
        <v>0.5</v>
      </c>
      <c r="AD50">
        <v>0.8</v>
      </c>
      <c r="AE50">
        <v>43.757885000000002</v>
      </c>
      <c r="AF50">
        <v>68.099999999999994</v>
      </c>
      <c r="AG50">
        <v>67.44</v>
      </c>
      <c r="AH50">
        <v>27.17</v>
      </c>
      <c r="AI50">
        <v>28.32</v>
      </c>
      <c r="AJ50">
        <v>95.5</v>
      </c>
      <c r="AK50">
        <v>156.69999999999999</v>
      </c>
      <c r="AL50">
        <v>156.4</v>
      </c>
      <c r="AM50">
        <v>0.2</v>
      </c>
      <c r="AN50">
        <v>161</v>
      </c>
      <c r="AO50">
        <v>4.0759999999999996</v>
      </c>
      <c r="AP50">
        <v>20</v>
      </c>
      <c r="AQ50">
        <v>-18</v>
      </c>
      <c r="AR50">
        <v>216</v>
      </c>
      <c r="AS50">
        <v>44.48</v>
      </c>
      <c r="AT50">
        <v>71.349999999999994</v>
      </c>
      <c r="AU50">
        <v>26.66</v>
      </c>
      <c r="AV50">
        <v>-100.47</v>
      </c>
      <c r="AW50">
        <v>15.31</v>
      </c>
      <c r="AX50">
        <v>85.23</v>
      </c>
      <c r="AY50">
        <v>70.97</v>
      </c>
      <c r="AZ50" s="3">
        <v>0.29219907407407408</v>
      </c>
      <c r="BA50" s="1">
        <v>45149</v>
      </c>
      <c r="BB50">
        <v>38.492972999999999</v>
      </c>
      <c r="BC50">
        <v>-1.3652150000000001</v>
      </c>
      <c r="BD50">
        <v>578.90002400000003</v>
      </c>
      <c r="BE50">
        <v>6</v>
      </c>
      <c r="BF50">
        <v>1.52</v>
      </c>
      <c r="BG50" s="3">
        <v>8.3229166666666674E-2</v>
      </c>
      <c r="BH50" s="1">
        <v>45149</v>
      </c>
      <c r="BI50">
        <v>-0.46</v>
      </c>
      <c r="BJ50">
        <v>2E-3</v>
      </c>
      <c r="BK50">
        <v>-3.0000000000000001E-3</v>
      </c>
      <c r="BL50">
        <v>2E-3</v>
      </c>
      <c r="BM50">
        <v>0.45200000000000001</v>
      </c>
      <c r="BN50">
        <v>-0.18099999999999999</v>
      </c>
      <c r="BO50">
        <v>-4.2039999999999997</v>
      </c>
      <c r="BP50">
        <v>1</v>
      </c>
      <c r="BQ50">
        <v>150</v>
      </c>
      <c r="BR50">
        <v>5.0000000000000001E-3</v>
      </c>
      <c r="BS50">
        <v>2</v>
      </c>
      <c r="BT50">
        <v>0</v>
      </c>
      <c r="BU50" t="s">
        <v>200</v>
      </c>
      <c r="BV50">
        <v>7000</v>
      </c>
      <c r="BW50">
        <v>500</v>
      </c>
      <c r="BX50">
        <v>5</v>
      </c>
      <c r="BY50">
        <v>2</v>
      </c>
      <c r="BZ50">
        <v>300</v>
      </c>
      <c r="CA50">
        <v>300</v>
      </c>
      <c r="CB50">
        <v>300</v>
      </c>
      <c r="CC50">
        <v>240.089539</v>
      </c>
      <c r="CD50">
        <v>25</v>
      </c>
      <c r="CE50">
        <v>-14.221409</v>
      </c>
      <c r="CF50">
        <v>239.119293</v>
      </c>
      <c r="CG50">
        <v>239.512283</v>
      </c>
      <c r="CH50">
        <v>-0.39299000000000001</v>
      </c>
      <c r="CI50">
        <v>2.5428350000000002</v>
      </c>
      <c r="CJ50">
        <v>2.5527000000000002</v>
      </c>
      <c r="CK50">
        <v>1.666247</v>
      </c>
      <c r="CL50">
        <v>0.94355199999999995</v>
      </c>
      <c r="CM50">
        <v>0.25011800000000001</v>
      </c>
      <c r="CN50">
        <v>1.4187999999999999E-2</v>
      </c>
      <c r="CO50">
        <v>0.166827</v>
      </c>
      <c r="CP50">
        <v>0.249336</v>
      </c>
      <c r="CQ50">
        <v>83.496093999999999</v>
      </c>
      <c r="CR50">
        <v>3.6200000000000002E-4</v>
      </c>
      <c r="CS50">
        <v>2.4333689999999999</v>
      </c>
      <c r="CT50">
        <v>-3.6000000000000001E-5</v>
      </c>
      <c r="CU50">
        <v>1</v>
      </c>
      <c r="CV50">
        <v>2.4396819999999999</v>
      </c>
      <c r="CW50">
        <v>1.1E-5</v>
      </c>
      <c r="CX50">
        <v>1</v>
      </c>
      <c r="CY50">
        <v>0.60025499999999998</v>
      </c>
      <c r="CZ50">
        <v>0.60245199999999999</v>
      </c>
      <c r="DA50">
        <v>0.106742</v>
      </c>
      <c r="DB50">
        <v>0</v>
      </c>
      <c r="DC50" t="s">
        <v>565</v>
      </c>
      <c r="DD50" t="s">
        <v>515</v>
      </c>
      <c r="DE50" t="s">
        <v>516</v>
      </c>
      <c r="DF50" t="s">
        <v>517</v>
      </c>
      <c r="DG50" t="s">
        <v>518</v>
      </c>
      <c r="DH50" t="s">
        <v>205</v>
      </c>
      <c r="DI50" t="s">
        <v>519</v>
      </c>
    </row>
    <row r="51" spans="1:113">
      <c r="A51">
        <v>11</v>
      </c>
      <c r="B51" s="3">
        <v>8.5879629629629625E-2</v>
      </c>
      <c r="C51" s="1">
        <v>45149</v>
      </c>
      <c r="D51" t="s">
        <v>196</v>
      </c>
      <c r="E51" t="s">
        <v>197</v>
      </c>
      <c r="G51">
        <v>11</v>
      </c>
      <c r="J51">
        <v>2.5083999999999999E-2</v>
      </c>
      <c r="K51">
        <v>2.9208099999999999</v>
      </c>
      <c r="L51">
        <v>2.487E-2</v>
      </c>
      <c r="M51">
        <v>0.41956100000000002</v>
      </c>
      <c r="N51">
        <v>2.4905750000000002</v>
      </c>
      <c r="O51">
        <v>2.479565</v>
      </c>
      <c r="P51">
        <v>4.0466319999999998</v>
      </c>
      <c r="Q51">
        <v>1.556057</v>
      </c>
      <c r="R51">
        <v>25.962467</v>
      </c>
      <c r="S51">
        <v>26.077749000000001</v>
      </c>
      <c r="T51">
        <v>42.370559999999998</v>
      </c>
      <c r="U51">
        <v>0.44178600000000001</v>
      </c>
      <c r="V51" t="s">
        <v>566</v>
      </c>
      <c r="W51">
        <v>0</v>
      </c>
      <c r="X51">
        <v>0</v>
      </c>
      <c r="Y51">
        <v>0</v>
      </c>
      <c r="Z51">
        <v>118.628738</v>
      </c>
      <c r="AA51">
        <v>267.47631799999999</v>
      </c>
      <c r="AB51">
        <v>0.55648900000000001</v>
      </c>
      <c r="AC51">
        <v>0.5</v>
      </c>
      <c r="AD51">
        <v>0.8</v>
      </c>
      <c r="AE51">
        <v>279.17175300000002</v>
      </c>
      <c r="AF51">
        <v>68.34</v>
      </c>
      <c r="AG51">
        <v>68.040000000000006</v>
      </c>
      <c r="AH51">
        <v>27.31</v>
      </c>
      <c r="AI51">
        <v>29.11</v>
      </c>
      <c r="AJ51">
        <v>95.51</v>
      </c>
      <c r="AK51">
        <v>156.6</v>
      </c>
      <c r="AL51">
        <v>156.4</v>
      </c>
      <c r="AM51">
        <v>0.1</v>
      </c>
      <c r="AN51">
        <v>1254</v>
      </c>
      <c r="AO51">
        <v>4.0739999999999998</v>
      </c>
      <c r="AP51">
        <v>42</v>
      </c>
      <c r="AQ51">
        <v>11</v>
      </c>
      <c r="AR51">
        <v>254</v>
      </c>
      <c r="AS51">
        <v>35.64</v>
      </c>
      <c r="AT51">
        <v>81.27</v>
      </c>
      <c r="AU51">
        <v>43.16</v>
      </c>
      <c r="AV51">
        <v>-122.2</v>
      </c>
      <c r="AW51">
        <v>15.31</v>
      </c>
      <c r="AX51">
        <v>85.38</v>
      </c>
      <c r="AY51">
        <v>70.77</v>
      </c>
      <c r="AZ51" s="3">
        <v>0.29270833333333335</v>
      </c>
      <c r="BA51" s="1">
        <v>45149</v>
      </c>
      <c r="BB51">
        <v>38.492995999999998</v>
      </c>
      <c r="BC51">
        <v>-1.36521</v>
      </c>
      <c r="BD51">
        <v>583.20001200000002</v>
      </c>
      <c r="BE51">
        <v>8</v>
      </c>
      <c r="BF51">
        <v>1.28</v>
      </c>
      <c r="BG51" s="3">
        <v>8.3229166666666674E-2</v>
      </c>
      <c r="BH51" s="1">
        <v>45149</v>
      </c>
      <c r="BI51">
        <v>-0.46</v>
      </c>
      <c r="BJ51">
        <v>3.0000000000000001E-3</v>
      </c>
      <c r="BK51">
        <v>1E-3</v>
      </c>
      <c r="BL51">
        <v>5.0000000000000001E-3</v>
      </c>
      <c r="BM51">
        <v>-9.94</v>
      </c>
      <c r="BN51">
        <v>1.3360000000000001</v>
      </c>
      <c r="BO51">
        <v>-41.625</v>
      </c>
      <c r="BP51">
        <v>1</v>
      </c>
      <c r="BQ51">
        <v>150</v>
      </c>
      <c r="BR51">
        <v>5.0000000000000001E-3</v>
      </c>
      <c r="BS51">
        <v>2</v>
      </c>
      <c r="BT51">
        <v>0</v>
      </c>
      <c r="BU51" t="s">
        <v>200</v>
      </c>
      <c r="BV51">
        <v>7000</v>
      </c>
      <c r="BW51">
        <v>500</v>
      </c>
      <c r="BX51">
        <v>5</v>
      </c>
      <c r="BY51">
        <v>2</v>
      </c>
      <c r="BZ51">
        <v>300</v>
      </c>
      <c r="CA51">
        <v>300</v>
      </c>
      <c r="CB51">
        <v>300</v>
      </c>
      <c r="CC51">
        <v>267.47631799999999</v>
      </c>
      <c r="CD51">
        <v>25</v>
      </c>
      <c r="CE51">
        <v>9.7450779999999995</v>
      </c>
      <c r="CF51">
        <v>278.96048000000002</v>
      </c>
      <c r="CG51">
        <v>281.37808200000001</v>
      </c>
      <c r="CH51">
        <v>-2.4176030000000002</v>
      </c>
      <c r="CI51">
        <v>2.5436709999999998</v>
      </c>
      <c r="CJ51">
        <v>2.5530270000000002</v>
      </c>
      <c r="CK51">
        <v>1.665443</v>
      </c>
      <c r="CL51">
        <v>0.94347300000000001</v>
      </c>
      <c r="CM51">
        <v>0.24879699999999999</v>
      </c>
      <c r="CN51">
        <v>2.2051000000000001E-2</v>
      </c>
      <c r="CO51">
        <v>0.17275099999999999</v>
      </c>
      <c r="CP51">
        <v>1.2161299999999999</v>
      </c>
      <c r="CQ51">
        <v>118.628738</v>
      </c>
      <c r="CR51">
        <v>3.5399999999999999E-4</v>
      </c>
      <c r="CS51">
        <v>2.4333689999999999</v>
      </c>
      <c r="CT51">
        <v>-3.6000000000000001E-5</v>
      </c>
      <c r="CU51">
        <v>1</v>
      </c>
      <c r="CV51">
        <v>2.4396819999999999</v>
      </c>
      <c r="CW51">
        <v>1.1E-5</v>
      </c>
      <c r="CX51">
        <v>1</v>
      </c>
      <c r="CY51">
        <v>0.60025499999999998</v>
      </c>
      <c r="CZ51">
        <v>0.60245199999999999</v>
      </c>
      <c r="DA51">
        <v>0.106742</v>
      </c>
      <c r="DB51">
        <v>0</v>
      </c>
      <c r="DC51" t="s">
        <v>566</v>
      </c>
      <c r="DD51" t="s">
        <v>515</v>
      </c>
      <c r="DE51" t="s">
        <v>516</v>
      </c>
      <c r="DF51" t="s">
        <v>517</v>
      </c>
      <c r="DG51" t="s">
        <v>518</v>
      </c>
      <c r="DH51" t="s">
        <v>205</v>
      </c>
      <c r="DI51" t="s">
        <v>519</v>
      </c>
    </row>
    <row r="52" spans="1:113">
      <c r="A52">
        <v>12</v>
      </c>
      <c r="B52" s="3">
        <v>8.6053240740740736E-2</v>
      </c>
      <c r="C52" s="1">
        <v>45149</v>
      </c>
      <c r="D52" t="s">
        <v>196</v>
      </c>
      <c r="E52" t="s">
        <v>197</v>
      </c>
      <c r="G52">
        <v>12</v>
      </c>
      <c r="J52">
        <v>5.0863999999999999E-2</v>
      </c>
      <c r="K52">
        <v>2.9203070000000002</v>
      </c>
      <c r="L52">
        <v>4.9993000000000003E-2</v>
      </c>
      <c r="M52">
        <v>1.0504469999999999</v>
      </c>
      <c r="N52">
        <v>2.426641</v>
      </c>
      <c r="O52">
        <v>2.3990450000000001</v>
      </c>
      <c r="P52">
        <v>4.3620219999999996</v>
      </c>
      <c r="Q52">
        <v>1.9353819999999999</v>
      </c>
      <c r="R52">
        <v>25.119842999999999</v>
      </c>
      <c r="S52">
        <v>25.408787</v>
      </c>
      <c r="T52">
        <v>45.673717000000003</v>
      </c>
      <c r="U52">
        <v>0.44178600000000001</v>
      </c>
      <c r="V52" t="s">
        <v>567</v>
      </c>
      <c r="W52">
        <v>0</v>
      </c>
      <c r="X52">
        <v>0</v>
      </c>
      <c r="Y52">
        <v>0</v>
      </c>
      <c r="Z52">
        <v>109.791397</v>
      </c>
      <c r="AA52">
        <v>156.403595</v>
      </c>
      <c r="AB52">
        <v>0.29802499999999998</v>
      </c>
      <c r="AC52">
        <v>0.5</v>
      </c>
      <c r="AD52">
        <v>0.8</v>
      </c>
      <c r="AE52">
        <v>104.269569</v>
      </c>
      <c r="AF52">
        <v>66.39</v>
      </c>
      <c r="AG52">
        <v>65.63</v>
      </c>
      <c r="AH52">
        <v>27.36</v>
      </c>
      <c r="AI52">
        <v>30.41</v>
      </c>
      <c r="AJ52">
        <v>95.5</v>
      </c>
      <c r="AK52">
        <v>156.5</v>
      </c>
      <c r="AL52">
        <v>156.19999999999999</v>
      </c>
      <c r="AM52">
        <v>0.2</v>
      </c>
      <c r="AN52">
        <v>875</v>
      </c>
      <c r="AO52">
        <v>4.0739999999999998</v>
      </c>
      <c r="AP52">
        <v>49</v>
      </c>
      <c r="AQ52">
        <v>-53</v>
      </c>
      <c r="AR52">
        <v>170</v>
      </c>
      <c r="AS52">
        <v>32.799999999999997</v>
      </c>
      <c r="AT52">
        <v>84.06</v>
      </c>
      <c r="AU52">
        <v>66.739999999999995</v>
      </c>
      <c r="AV52">
        <v>-129.63</v>
      </c>
      <c r="AW52">
        <v>15.31</v>
      </c>
      <c r="AX52">
        <v>85.38</v>
      </c>
      <c r="AY52">
        <v>70.77</v>
      </c>
      <c r="AZ52" s="3">
        <v>0.29288194444444443</v>
      </c>
      <c r="BA52" s="1">
        <v>45149</v>
      </c>
      <c r="BB52">
        <v>38.492989000000001</v>
      </c>
      <c r="BC52">
        <v>-1.365205</v>
      </c>
      <c r="BD52">
        <v>583.29998799999998</v>
      </c>
      <c r="BE52">
        <v>8</v>
      </c>
      <c r="BF52">
        <v>1.28</v>
      </c>
      <c r="BG52" s="3">
        <v>8.3229166666666674E-2</v>
      </c>
      <c r="BH52" s="1">
        <v>45149</v>
      </c>
      <c r="BI52">
        <v>-0.46</v>
      </c>
      <c r="BJ52">
        <v>1E-3</v>
      </c>
      <c r="BK52">
        <v>0</v>
      </c>
      <c r="BL52">
        <v>-8.9999999999999993E-3</v>
      </c>
      <c r="BM52">
        <v>-0.45700000000000002</v>
      </c>
      <c r="BN52">
        <v>-0.14399999999999999</v>
      </c>
      <c r="BO52">
        <v>-6.4000000000000001E-2</v>
      </c>
      <c r="BP52">
        <v>1</v>
      </c>
      <c r="BQ52">
        <v>150</v>
      </c>
      <c r="BR52">
        <v>5.0000000000000001E-3</v>
      </c>
      <c r="BS52">
        <v>2</v>
      </c>
      <c r="BT52">
        <v>0</v>
      </c>
      <c r="BU52" t="s">
        <v>200</v>
      </c>
      <c r="BV52">
        <v>7000</v>
      </c>
      <c r="BW52">
        <v>500</v>
      </c>
      <c r="BX52">
        <v>5</v>
      </c>
      <c r="BY52">
        <v>2</v>
      </c>
      <c r="BZ52">
        <v>300</v>
      </c>
      <c r="CA52">
        <v>300</v>
      </c>
      <c r="CB52">
        <v>300</v>
      </c>
      <c r="CC52">
        <v>151.98826600000001</v>
      </c>
      <c r="CD52">
        <v>25</v>
      </c>
      <c r="CE52">
        <v>-3.047968</v>
      </c>
      <c r="CF52">
        <v>152.01615899999999</v>
      </c>
      <c r="CG52">
        <v>152.055542</v>
      </c>
      <c r="CH52">
        <v>-3.9383000000000001E-2</v>
      </c>
      <c r="CI52">
        <v>2.540178</v>
      </c>
      <c r="CJ52">
        <v>2.5501809999999998</v>
      </c>
      <c r="CK52">
        <v>1.6649149999999999</v>
      </c>
      <c r="CL52">
        <v>0.94293400000000005</v>
      </c>
      <c r="CM52">
        <v>0.24829599999999999</v>
      </c>
      <c r="CN52">
        <v>3.7224E-2</v>
      </c>
      <c r="CO52">
        <v>0.17485100000000001</v>
      </c>
      <c r="CP52">
        <v>0.88044299999999998</v>
      </c>
      <c r="CQ52">
        <v>109.791397</v>
      </c>
      <c r="CR52">
        <v>3.8000000000000002E-4</v>
      </c>
      <c r="CS52">
        <v>2.4333689999999999</v>
      </c>
      <c r="CT52">
        <v>-3.6000000000000001E-5</v>
      </c>
      <c r="CU52">
        <v>1</v>
      </c>
      <c r="CV52">
        <v>2.4396819999999999</v>
      </c>
      <c r="CW52">
        <v>1.1E-5</v>
      </c>
      <c r="CX52">
        <v>1</v>
      </c>
      <c r="CY52">
        <v>0.60025499999999998</v>
      </c>
      <c r="CZ52">
        <v>0.60245199999999999</v>
      </c>
      <c r="DA52">
        <v>0.106742</v>
      </c>
      <c r="DB52">
        <v>0</v>
      </c>
      <c r="DC52" t="s">
        <v>567</v>
      </c>
      <c r="DD52" t="s">
        <v>515</v>
      </c>
      <c r="DE52" t="s">
        <v>516</v>
      </c>
      <c r="DF52" t="s">
        <v>517</v>
      </c>
      <c r="DG52" t="s">
        <v>518</v>
      </c>
      <c r="DH52" t="s">
        <v>205</v>
      </c>
      <c r="DI52" t="s">
        <v>519</v>
      </c>
    </row>
    <row r="53" spans="1:113">
      <c r="A53">
        <v>1</v>
      </c>
      <c r="B53" s="3">
        <v>0.1721412037037037</v>
      </c>
      <c r="C53" s="1">
        <v>45149</v>
      </c>
      <c r="D53" t="s">
        <v>196</v>
      </c>
      <c r="E53" t="s">
        <v>197</v>
      </c>
      <c r="G53">
        <v>1</v>
      </c>
      <c r="J53">
        <v>5.9882999999999999E-2</v>
      </c>
      <c r="K53">
        <v>2.9223620000000001</v>
      </c>
      <c r="L53">
        <v>5.8680999999999997E-2</v>
      </c>
      <c r="M53">
        <v>1.190153</v>
      </c>
      <c r="N53">
        <v>2.4446180000000002</v>
      </c>
      <c r="O53">
        <v>2.4133599999999999</v>
      </c>
      <c r="P53">
        <v>4.3160379999999998</v>
      </c>
      <c r="Q53">
        <v>1.871421</v>
      </c>
      <c r="R53">
        <v>25.230953</v>
      </c>
      <c r="S53">
        <v>25.557745000000001</v>
      </c>
      <c r="T53">
        <v>45.122886999999999</v>
      </c>
      <c r="U53">
        <v>0.44178600000000001</v>
      </c>
      <c r="V53" t="s">
        <v>568</v>
      </c>
      <c r="W53">
        <v>0</v>
      </c>
      <c r="X53">
        <v>0</v>
      </c>
      <c r="Y53">
        <v>0</v>
      </c>
      <c r="Z53">
        <v>82.211494000000002</v>
      </c>
      <c r="AA53">
        <v>255.397537</v>
      </c>
      <c r="AB53">
        <v>0.67810400000000004</v>
      </c>
      <c r="AC53">
        <v>0.5</v>
      </c>
      <c r="AD53">
        <v>0.8</v>
      </c>
      <c r="AE53">
        <v>27.869319999999998</v>
      </c>
      <c r="AF53">
        <v>60.26</v>
      </c>
      <c r="AG53">
        <v>59.49</v>
      </c>
      <c r="AH53">
        <v>29.15</v>
      </c>
      <c r="AI53">
        <v>30.23</v>
      </c>
      <c r="AJ53">
        <v>95.65</v>
      </c>
      <c r="AK53">
        <v>156.80000000000001</v>
      </c>
      <c r="AL53">
        <v>156.30000000000001</v>
      </c>
      <c r="AM53">
        <v>0.3</v>
      </c>
      <c r="AN53">
        <v>103</v>
      </c>
      <c r="AO53">
        <v>4.077</v>
      </c>
      <c r="AP53">
        <v>21</v>
      </c>
      <c r="AQ53">
        <v>-13</v>
      </c>
      <c r="AR53">
        <v>261</v>
      </c>
      <c r="AZ53" s="3">
        <v>0</v>
      </c>
      <c r="BA53" t="s">
        <v>513</v>
      </c>
      <c r="BB53" t="s">
        <v>514</v>
      </c>
      <c r="BC53" t="s">
        <v>514</v>
      </c>
      <c r="BD53" t="s">
        <v>514</v>
      </c>
      <c r="BE53">
        <v>0</v>
      </c>
      <c r="BF53" t="s">
        <v>514</v>
      </c>
      <c r="BG53" s="3">
        <v>0.17196759259259262</v>
      </c>
      <c r="BH53" s="1">
        <v>45149</v>
      </c>
      <c r="BI53">
        <v>-0.28999999999999998</v>
      </c>
      <c r="BJ53">
        <v>-2E-3</v>
      </c>
      <c r="BK53">
        <v>-2E-3</v>
      </c>
      <c r="BL53">
        <v>1.0999999999999999E-2</v>
      </c>
      <c r="BM53">
        <v>8.3000000000000004E-2</v>
      </c>
      <c r="BN53">
        <v>0.38200000000000001</v>
      </c>
      <c r="BO53">
        <v>-32.311999999999998</v>
      </c>
      <c r="BP53">
        <v>1</v>
      </c>
      <c r="BQ53">
        <v>150</v>
      </c>
      <c r="BR53">
        <v>5.0000000000000001E-3</v>
      </c>
      <c r="BS53">
        <v>2</v>
      </c>
      <c r="BT53">
        <v>0</v>
      </c>
      <c r="BU53" t="s">
        <v>200</v>
      </c>
      <c r="BV53">
        <v>7000</v>
      </c>
      <c r="BW53">
        <v>500</v>
      </c>
      <c r="BX53">
        <v>5</v>
      </c>
      <c r="BY53">
        <v>2</v>
      </c>
      <c r="BZ53">
        <v>300</v>
      </c>
      <c r="CA53">
        <v>300</v>
      </c>
      <c r="CB53">
        <v>300</v>
      </c>
      <c r="CC53">
        <v>238.30748</v>
      </c>
      <c r="CD53">
        <v>25</v>
      </c>
      <c r="CE53">
        <v>-12.296184</v>
      </c>
      <c r="CF53">
        <v>238.277084</v>
      </c>
      <c r="CG53">
        <v>237.85652200000001</v>
      </c>
      <c r="CH53">
        <v>0.42056300000000002</v>
      </c>
      <c r="CI53">
        <v>2.5308899999999999</v>
      </c>
      <c r="CJ53">
        <v>2.5407320000000002</v>
      </c>
      <c r="CK53">
        <v>1.667081</v>
      </c>
      <c r="CL53">
        <v>0.94319600000000003</v>
      </c>
      <c r="CM53">
        <v>0.23128499999999999</v>
      </c>
      <c r="CN53">
        <v>1.3542999999999999E-2</v>
      </c>
      <c r="CO53">
        <v>9.4597000000000001E-2</v>
      </c>
      <c r="CP53">
        <v>0.197628</v>
      </c>
      <c r="CQ53">
        <v>82.211494000000002</v>
      </c>
      <c r="CR53">
        <v>3.5599999999999998E-4</v>
      </c>
      <c r="CS53">
        <v>2.4333689999999999</v>
      </c>
      <c r="CT53">
        <v>-3.6000000000000001E-5</v>
      </c>
      <c r="CU53">
        <v>1</v>
      </c>
      <c r="CV53">
        <v>2.4396819999999999</v>
      </c>
      <c r="CW53">
        <v>1.1E-5</v>
      </c>
      <c r="CX53">
        <v>1</v>
      </c>
      <c r="CY53">
        <v>0.60025499999999998</v>
      </c>
      <c r="CZ53">
        <v>0.60245199999999999</v>
      </c>
      <c r="DA53">
        <v>0.106742</v>
      </c>
      <c r="DB53">
        <v>0</v>
      </c>
      <c r="DC53" t="s">
        <v>568</v>
      </c>
      <c r="DD53" t="s">
        <v>515</v>
      </c>
      <c r="DE53" t="s">
        <v>516</v>
      </c>
      <c r="DF53" t="s">
        <v>517</v>
      </c>
      <c r="DG53" t="s">
        <v>518</v>
      </c>
      <c r="DH53" t="s">
        <v>205</v>
      </c>
      <c r="DI53" t="s">
        <v>519</v>
      </c>
    </row>
    <row r="54" spans="1:113">
      <c r="A54">
        <v>2</v>
      </c>
      <c r="B54" s="3">
        <v>0.17231481481481481</v>
      </c>
      <c r="C54" s="1">
        <v>45149</v>
      </c>
      <c r="D54" t="s">
        <v>196</v>
      </c>
      <c r="E54" t="s">
        <v>197</v>
      </c>
      <c r="G54">
        <v>2</v>
      </c>
      <c r="J54">
        <v>9.8743999999999998E-2</v>
      </c>
      <c r="K54">
        <v>2.9206050000000001</v>
      </c>
      <c r="L54">
        <v>9.5515000000000003E-2</v>
      </c>
      <c r="M54">
        <v>2.5590809999999999</v>
      </c>
      <c r="N54">
        <v>2.5109880000000002</v>
      </c>
      <c r="O54">
        <v>2.4437229999999999</v>
      </c>
      <c r="P54">
        <v>4.973725</v>
      </c>
      <c r="Q54">
        <v>2.4627370000000002</v>
      </c>
      <c r="R54">
        <v>25.545528000000001</v>
      </c>
      <c r="S54">
        <v>26.248678000000002</v>
      </c>
      <c r="T54">
        <v>51.992966000000003</v>
      </c>
      <c r="U54">
        <v>0.44178600000000001</v>
      </c>
      <c r="V54" t="s">
        <v>569</v>
      </c>
      <c r="W54">
        <v>0</v>
      </c>
      <c r="X54">
        <v>0</v>
      </c>
      <c r="Y54">
        <v>0</v>
      </c>
      <c r="Z54">
        <v>266.56436200000002</v>
      </c>
      <c r="AA54">
        <v>379.52200299999998</v>
      </c>
      <c r="AB54">
        <v>0.29763099999999998</v>
      </c>
      <c r="AC54">
        <v>0.5</v>
      </c>
      <c r="AD54">
        <v>0.8</v>
      </c>
      <c r="AE54">
        <v>187.60870399999999</v>
      </c>
      <c r="AF54">
        <v>61.66</v>
      </c>
      <c r="AG54">
        <v>60.01</v>
      </c>
      <c r="AH54">
        <v>29.22</v>
      </c>
      <c r="AI54">
        <v>32.72</v>
      </c>
      <c r="AJ54">
        <v>95.66</v>
      </c>
      <c r="AK54">
        <v>156.6</v>
      </c>
      <c r="AL54">
        <v>156.19999999999999</v>
      </c>
      <c r="AM54">
        <v>0.2</v>
      </c>
      <c r="AN54">
        <v>1576</v>
      </c>
      <c r="AO54">
        <v>4.0759999999999996</v>
      </c>
      <c r="AP54">
        <v>7</v>
      </c>
      <c r="AQ54">
        <v>-20</v>
      </c>
      <c r="AR54">
        <v>167</v>
      </c>
      <c r="AZ54" s="3">
        <v>0</v>
      </c>
      <c r="BA54" t="s">
        <v>513</v>
      </c>
      <c r="BB54" t="s">
        <v>514</v>
      </c>
      <c r="BC54" t="s">
        <v>514</v>
      </c>
      <c r="BD54" t="s">
        <v>514</v>
      </c>
      <c r="BE54">
        <v>0</v>
      </c>
      <c r="BF54" t="s">
        <v>514</v>
      </c>
      <c r="BG54" s="3">
        <v>0.17196759259259262</v>
      </c>
      <c r="BH54" s="1">
        <v>45149</v>
      </c>
      <c r="BI54">
        <v>-0.28999999999999998</v>
      </c>
      <c r="BJ54">
        <v>-1E-3</v>
      </c>
      <c r="BK54">
        <v>0</v>
      </c>
      <c r="BL54">
        <v>3.0000000000000001E-3</v>
      </c>
      <c r="BM54">
        <v>-1.3220000000000001</v>
      </c>
      <c r="BN54">
        <v>-0.214</v>
      </c>
      <c r="BO54">
        <v>12.544</v>
      </c>
      <c r="BP54">
        <v>1</v>
      </c>
      <c r="BQ54">
        <v>150</v>
      </c>
      <c r="BR54">
        <v>5.0000000000000001E-3</v>
      </c>
      <c r="BS54">
        <v>2</v>
      </c>
      <c r="BT54">
        <v>0</v>
      </c>
      <c r="BU54" t="s">
        <v>200</v>
      </c>
      <c r="BV54">
        <v>7000</v>
      </c>
      <c r="BW54">
        <v>500</v>
      </c>
      <c r="BX54">
        <v>5</v>
      </c>
      <c r="BY54">
        <v>2</v>
      </c>
      <c r="BZ54">
        <v>300</v>
      </c>
      <c r="CA54">
        <v>300</v>
      </c>
      <c r="CB54">
        <v>300</v>
      </c>
      <c r="CC54">
        <v>369.434235</v>
      </c>
      <c r="CD54">
        <v>25</v>
      </c>
      <c r="CE54">
        <v>-8.0742320000000003</v>
      </c>
      <c r="CF54">
        <v>366.78100599999999</v>
      </c>
      <c r="CG54">
        <v>368.003784</v>
      </c>
      <c r="CH54">
        <v>-1.2227779999999999</v>
      </c>
      <c r="CI54">
        <v>2.5316290000000001</v>
      </c>
      <c r="CJ54">
        <v>2.5427620000000002</v>
      </c>
      <c r="CK54">
        <v>1.665227</v>
      </c>
      <c r="CL54">
        <v>0.94291100000000005</v>
      </c>
      <c r="CM54">
        <v>0.230682</v>
      </c>
      <c r="CN54">
        <v>4.3397999999999999E-2</v>
      </c>
      <c r="CO54">
        <v>9.7600000000000006E-2</v>
      </c>
      <c r="CP54">
        <v>1.500678</v>
      </c>
      <c r="CQ54">
        <v>266.56436200000002</v>
      </c>
      <c r="CR54">
        <v>3.6999999999999999E-4</v>
      </c>
      <c r="CS54">
        <v>2.4333689999999999</v>
      </c>
      <c r="CT54">
        <v>-3.6000000000000001E-5</v>
      </c>
      <c r="CU54">
        <v>1</v>
      </c>
      <c r="CV54">
        <v>2.4396819999999999</v>
      </c>
      <c r="CW54">
        <v>1.1E-5</v>
      </c>
      <c r="CX54">
        <v>1</v>
      </c>
      <c r="CY54">
        <v>0.60025499999999998</v>
      </c>
      <c r="CZ54">
        <v>0.60245199999999999</v>
      </c>
      <c r="DA54">
        <v>0.106742</v>
      </c>
      <c r="DB54">
        <v>0</v>
      </c>
      <c r="DC54" t="s">
        <v>569</v>
      </c>
      <c r="DD54" t="s">
        <v>515</v>
      </c>
      <c r="DE54" t="s">
        <v>516</v>
      </c>
      <c r="DF54" t="s">
        <v>517</v>
      </c>
      <c r="DG54" t="s">
        <v>518</v>
      </c>
      <c r="DH54" t="s">
        <v>205</v>
      </c>
      <c r="DI54" t="s">
        <v>519</v>
      </c>
    </row>
    <row r="55" spans="1:113">
      <c r="A55">
        <v>3</v>
      </c>
      <c r="B55" s="3">
        <v>0.17253472222222221</v>
      </c>
      <c r="C55" s="1">
        <v>45149</v>
      </c>
      <c r="D55" t="s">
        <v>196</v>
      </c>
      <c r="E55" t="s">
        <v>197</v>
      </c>
      <c r="G55">
        <v>3</v>
      </c>
      <c r="J55">
        <v>0.107614</v>
      </c>
      <c r="K55">
        <v>2.9220969999999999</v>
      </c>
      <c r="L55">
        <v>0.103792</v>
      </c>
      <c r="M55">
        <v>2.9720900000000001</v>
      </c>
      <c r="N55">
        <v>2.6263909999999999</v>
      </c>
      <c r="O55">
        <v>2.5484650000000002</v>
      </c>
      <c r="P55">
        <v>5.2526520000000003</v>
      </c>
      <c r="Q55">
        <v>2.626261</v>
      </c>
      <c r="R55">
        <v>26.642468999999998</v>
      </c>
      <c r="S55">
        <v>27.457125000000001</v>
      </c>
      <c r="T55">
        <v>54.912894999999999</v>
      </c>
      <c r="U55">
        <v>0.44178600000000001</v>
      </c>
      <c r="V55" t="s">
        <v>570</v>
      </c>
      <c r="W55">
        <v>0</v>
      </c>
      <c r="X55">
        <v>0</v>
      </c>
      <c r="Y55">
        <v>0</v>
      </c>
      <c r="Z55">
        <v>129.46594200000001</v>
      </c>
      <c r="AA55">
        <v>224.23194899999999</v>
      </c>
      <c r="AB55">
        <v>0.42262499999999997</v>
      </c>
      <c r="AC55">
        <v>0.5</v>
      </c>
      <c r="AD55">
        <v>0.8</v>
      </c>
      <c r="AE55">
        <v>99.145888999999997</v>
      </c>
      <c r="AF55">
        <v>64.19</v>
      </c>
      <c r="AG55">
        <v>62.28</v>
      </c>
      <c r="AH55">
        <v>29.3</v>
      </c>
      <c r="AI55">
        <v>33.69</v>
      </c>
      <c r="AJ55">
        <v>95.65</v>
      </c>
      <c r="AK55">
        <v>156.80000000000001</v>
      </c>
      <c r="AL55">
        <v>156.4</v>
      </c>
      <c r="AM55">
        <v>0.2</v>
      </c>
      <c r="AN55">
        <v>586</v>
      </c>
      <c r="AO55">
        <v>4.0739999999999998</v>
      </c>
      <c r="AP55">
        <v>16</v>
      </c>
      <c r="AQ55">
        <v>-35</v>
      </c>
      <c r="AR55">
        <v>229</v>
      </c>
      <c r="AZ55" s="3">
        <v>0</v>
      </c>
      <c r="BA55" t="s">
        <v>513</v>
      </c>
      <c r="BB55">
        <v>38.493766999999998</v>
      </c>
      <c r="BC55">
        <v>-1.3628070000000001</v>
      </c>
      <c r="BD55">
        <v>615.79998799999998</v>
      </c>
      <c r="BE55">
        <v>3</v>
      </c>
      <c r="BF55">
        <v>28.27</v>
      </c>
      <c r="BG55" s="3">
        <v>0.17196759259259262</v>
      </c>
      <c r="BH55" s="1">
        <v>45149</v>
      </c>
      <c r="BI55">
        <v>-0.28999999999999998</v>
      </c>
      <c r="BJ55">
        <v>-1E-3</v>
      </c>
      <c r="BK55">
        <v>0</v>
      </c>
      <c r="BL55">
        <v>-5.0000000000000001E-3</v>
      </c>
      <c r="BM55">
        <v>2.0859999999999999</v>
      </c>
      <c r="BN55">
        <v>3.6819999999999999</v>
      </c>
      <c r="BO55">
        <v>14.041</v>
      </c>
      <c r="BP55">
        <v>1</v>
      </c>
      <c r="BQ55">
        <v>150</v>
      </c>
      <c r="BR55">
        <v>5.0000000000000001E-3</v>
      </c>
      <c r="BS55">
        <v>2</v>
      </c>
      <c r="BT55">
        <v>0</v>
      </c>
      <c r="BU55" t="s">
        <v>200</v>
      </c>
      <c r="BV55">
        <v>7000</v>
      </c>
      <c r="BW55">
        <v>500</v>
      </c>
      <c r="BX55">
        <v>5</v>
      </c>
      <c r="BY55">
        <v>2</v>
      </c>
      <c r="BZ55">
        <v>300</v>
      </c>
      <c r="CA55">
        <v>300</v>
      </c>
      <c r="CB55">
        <v>300</v>
      </c>
      <c r="CC55">
        <v>214.16545099999999</v>
      </c>
      <c r="CD55">
        <v>25</v>
      </c>
      <c r="CE55">
        <v>-6.9322730000000004</v>
      </c>
      <c r="CF55">
        <v>216.948151</v>
      </c>
      <c r="CG55">
        <v>214.34277299999999</v>
      </c>
      <c r="CH55">
        <v>2.6053769999999998</v>
      </c>
      <c r="CI55">
        <v>2.5349159999999999</v>
      </c>
      <c r="CJ55">
        <v>2.5464329999999999</v>
      </c>
      <c r="CK55">
        <v>1.6668000000000001</v>
      </c>
      <c r="CL55">
        <v>0.94339799999999996</v>
      </c>
      <c r="CM55">
        <v>0.229936</v>
      </c>
      <c r="CN55">
        <v>5.4616999999999999E-2</v>
      </c>
      <c r="CO55">
        <v>0.101081</v>
      </c>
      <c r="CP55">
        <v>0.62552799999999997</v>
      </c>
      <c r="CQ55">
        <v>129.46594200000001</v>
      </c>
      <c r="CR55">
        <v>3.6699999999999998E-4</v>
      </c>
      <c r="CS55">
        <v>2.4333689999999999</v>
      </c>
      <c r="CT55">
        <v>-3.6000000000000001E-5</v>
      </c>
      <c r="CU55">
        <v>1</v>
      </c>
      <c r="CV55">
        <v>2.4396819999999999</v>
      </c>
      <c r="CW55">
        <v>1.1E-5</v>
      </c>
      <c r="CX55">
        <v>1</v>
      </c>
      <c r="CY55">
        <v>0.60025499999999998</v>
      </c>
      <c r="CZ55">
        <v>0.60245199999999999</v>
      </c>
      <c r="DA55">
        <v>0.106742</v>
      </c>
      <c r="DB55">
        <v>0</v>
      </c>
      <c r="DC55" t="s">
        <v>570</v>
      </c>
      <c r="DD55" t="s">
        <v>515</v>
      </c>
      <c r="DE55" t="s">
        <v>516</v>
      </c>
      <c r="DF55" t="s">
        <v>517</v>
      </c>
      <c r="DG55" t="s">
        <v>518</v>
      </c>
      <c r="DH55" t="s">
        <v>205</v>
      </c>
      <c r="DI55" t="s">
        <v>519</v>
      </c>
    </row>
    <row r="56" spans="1:113">
      <c r="A56">
        <v>4</v>
      </c>
      <c r="B56" s="3">
        <v>0.17274305555555555</v>
      </c>
      <c r="C56" s="1">
        <v>45149</v>
      </c>
      <c r="D56" t="s">
        <v>196</v>
      </c>
      <c r="E56" t="s">
        <v>197</v>
      </c>
      <c r="G56">
        <v>4</v>
      </c>
      <c r="J56">
        <v>0.122947</v>
      </c>
      <c r="K56">
        <v>2.9208820000000002</v>
      </c>
      <c r="L56">
        <v>0.117981</v>
      </c>
      <c r="M56">
        <v>2.8625259999999999</v>
      </c>
      <c r="N56">
        <v>2.5965199999999999</v>
      </c>
      <c r="O56">
        <v>2.5213739999999998</v>
      </c>
      <c r="P56">
        <v>4.827172</v>
      </c>
      <c r="Q56">
        <v>2.2306530000000002</v>
      </c>
      <c r="R56">
        <v>26.360561000000001</v>
      </c>
      <c r="S56">
        <v>27.146193</v>
      </c>
      <c r="T56">
        <v>50.467303999999999</v>
      </c>
      <c r="U56">
        <v>0.44178600000000001</v>
      </c>
      <c r="V56" t="s">
        <v>571</v>
      </c>
      <c r="W56">
        <v>0</v>
      </c>
      <c r="X56">
        <v>0</v>
      </c>
      <c r="Y56">
        <v>0</v>
      </c>
      <c r="Z56">
        <v>179.392212</v>
      </c>
      <c r="AA56">
        <v>326.26950099999999</v>
      </c>
      <c r="AB56">
        <v>0.45017200000000002</v>
      </c>
      <c r="AC56">
        <v>0.5</v>
      </c>
      <c r="AD56">
        <v>0.8</v>
      </c>
      <c r="AE56">
        <v>215.562164</v>
      </c>
      <c r="AF56">
        <v>63.14</v>
      </c>
      <c r="AG56">
        <v>61.31</v>
      </c>
      <c r="AH56">
        <v>29.39</v>
      </c>
      <c r="AI56">
        <v>32.19</v>
      </c>
      <c r="AJ56">
        <v>95.65</v>
      </c>
      <c r="AK56">
        <v>156.6</v>
      </c>
      <c r="AL56">
        <v>156.4</v>
      </c>
      <c r="AM56">
        <v>0.1</v>
      </c>
      <c r="AN56">
        <v>1197</v>
      </c>
      <c r="AO56">
        <v>4.0720000000000001</v>
      </c>
      <c r="AP56">
        <v>47</v>
      </c>
      <c r="AQ56">
        <v>-68</v>
      </c>
      <c r="AR56">
        <v>157</v>
      </c>
      <c r="AS56">
        <v>55.51</v>
      </c>
      <c r="AT56">
        <v>56.63</v>
      </c>
      <c r="AU56">
        <v>75.2</v>
      </c>
      <c r="AV56">
        <v>-129.46</v>
      </c>
      <c r="AW56">
        <v>15.28</v>
      </c>
      <c r="AX56">
        <v>106.74</v>
      </c>
      <c r="AY56">
        <v>46.6</v>
      </c>
      <c r="AZ56" s="3">
        <v>0.37958333333333333</v>
      </c>
      <c r="BA56" s="1">
        <v>45149</v>
      </c>
      <c r="BB56">
        <v>38.493487999999999</v>
      </c>
      <c r="BC56">
        <v>-1.3628100000000001</v>
      </c>
      <c r="BD56">
        <v>582.40002400000003</v>
      </c>
      <c r="BE56">
        <v>3</v>
      </c>
      <c r="BF56">
        <v>28.049999</v>
      </c>
      <c r="BG56" s="3">
        <v>0.17196759259259262</v>
      </c>
      <c r="BH56" s="1">
        <v>45149</v>
      </c>
      <c r="BI56">
        <v>-0.28999999999999998</v>
      </c>
      <c r="BJ56">
        <v>0</v>
      </c>
      <c r="BK56">
        <v>-4.0000000000000001E-3</v>
      </c>
      <c r="BL56">
        <v>-9999</v>
      </c>
      <c r="BM56">
        <v>-1.6819999999999999</v>
      </c>
      <c r="BN56">
        <v>-1.355</v>
      </c>
      <c r="BO56">
        <v>-9999</v>
      </c>
      <c r="BP56">
        <v>1</v>
      </c>
      <c r="BQ56">
        <v>150</v>
      </c>
      <c r="BR56">
        <v>5.0000000000000001E-3</v>
      </c>
      <c r="BS56">
        <v>2</v>
      </c>
      <c r="BT56">
        <v>0</v>
      </c>
      <c r="BU56" t="s">
        <v>200</v>
      </c>
      <c r="BV56">
        <v>7000</v>
      </c>
      <c r="BW56">
        <v>500</v>
      </c>
      <c r="BX56">
        <v>5</v>
      </c>
      <c r="BY56">
        <v>2</v>
      </c>
      <c r="BZ56">
        <v>300</v>
      </c>
      <c r="CA56">
        <v>300</v>
      </c>
      <c r="CB56">
        <v>300</v>
      </c>
      <c r="CC56">
        <v>307.17910799999999</v>
      </c>
      <c r="CD56">
        <v>25</v>
      </c>
      <c r="CE56">
        <v>-14.530689000000001</v>
      </c>
      <c r="CF56">
        <v>302.152649</v>
      </c>
      <c r="CG56">
        <v>305.540863</v>
      </c>
      <c r="CH56">
        <v>-3.3882140000000001</v>
      </c>
      <c r="CI56">
        <v>2.5334829999999999</v>
      </c>
      <c r="CJ56">
        <v>2.544886</v>
      </c>
      <c r="CK56">
        <v>1.665519</v>
      </c>
      <c r="CL56">
        <v>0.94339600000000001</v>
      </c>
      <c r="CM56">
        <v>0.22913600000000001</v>
      </c>
      <c r="CN56">
        <v>3.4745999999999999E-2</v>
      </c>
      <c r="CO56">
        <v>0.104286</v>
      </c>
      <c r="CP56">
        <v>1.165662</v>
      </c>
      <c r="CQ56">
        <v>179.392212</v>
      </c>
      <c r="CR56">
        <v>3.7800000000000003E-4</v>
      </c>
      <c r="CS56">
        <v>2.4333689999999999</v>
      </c>
      <c r="CT56">
        <v>-3.6000000000000001E-5</v>
      </c>
      <c r="CU56">
        <v>1</v>
      </c>
      <c r="CV56">
        <v>2.4396819999999999</v>
      </c>
      <c r="CW56">
        <v>1.1E-5</v>
      </c>
      <c r="CX56">
        <v>1</v>
      </c>
      <c r="CY56">
        <v>0.60025499999999998</v>
      </c>
      <c r="CZ56">
        <v>0.60245199999999999</v>
      </c>
      <c r="DA56">
        <v>0.106742</v>
      </c>
      <c r="DB56">
        <v>0</v>
      </c>
      <c r="DC56" t="s">
        <v>571</v>
      </c>
      <c r="DD56" t="s">
        <v>515</v>
      </c>
      <c r="DE56" t="s">
        <v>516</v>
      </c>
      <c r="DF56" t="s">
        <v>517</v>
      </c>
      <c r="DG56" t="s">
        <v>518</v>
      </c>
      <c r="DH56" t="s">
        <v>205</v>
      </c>
      <c r="DI56" t="s">
        <v>519</v>
      </c>
    </row>
    <row r="57" spans="1:113">
      <c r="A57">
        <v>1</v>
      </c>
      <c r="B57" s="3">
        <v>0.17656249999999998</v>
      </c>
      <c r="C57" s="1">
        <v>45149</v>
      </c>
      <c r="D57" t="s">
        <v>196</v>
      </c>
      <c r="E57" t="s">
        <v>197</v>
      </c>
      <c r="G57">
        <v>1</v>
      </c>
      <c r="J57">
        <v>0.130106</v>
      </c>
      <c r="K57">
        <v>2.9207100000000001</v>
      </c>
      <c r="L57">
        <v>0.124558</v>
      </c>
      <c r="M57">
        <v>3.2713260000000002</v>
      </c>
      <c r="N57">
        <v>2.5913029999999999</v>
      </c>
      <c r="O57">
        <v>2.50542</v>
      </c>
      <c r="P57">
        <v>5.0033919999999998</v>
      </c>
      <c r="Q57">
        <v>2.4120879999999998</v>
      </c>
      <c r="R57">
        <v>26.196634</v>
      </c>
      <c r="S57">
        <v>27.094631</v>
      </c>
      <c r="T57">
        <v>52.315392000000003</v>
      </c>
      <c r="U57">
        <v>0.44178600000000001</v>
      </c>
      <c r="V57" t="s">
        <v>572</v>
      </c>
      <c r="W57">
        <v>0</v>
      </c>
      <c r="X57">
        <v>0</v>
      </c>
      <c r="Y57">
        <v>0</v>
      </c>
      <c r="Z57">
        <v>100.562096</v>
      </c>
      <c r="AA57">
        <v>176.91351299999999</v>
      </c>
      <c r="AB57">
        <v>0.43157499999999999</v>
      </c>
      <c r="AC57">
        <v>0.5</v>
      </c>
      <c r="AD57">
        <v>0.8</v>
      </c>
      <c r="AE57">
        <v>186.29885899999999</v>
      </c>
      <c r="AF57">
        <v>60.04</v>
      </c>
      <c r="AG57">
        <v>58.05</v>
      </c>
      <c r="AH57">
        <v>30.23</v>
      </c>
      <c r="AI57">
        <v>32.83</v>
      </c>
      <c r="AJ57">
        <v>95.64</v>
      </c>
      <c r="AK57">
        <v>156.6</v>
      </c>
      <c r="AL57">
        <v>156.4</v>
      </c>
      <c r="AM57">
        <v>0.1</v>
      </c>
      <c r="AN57">
        <v>1079</v>
      </c>
      <c r="AO57">
        <v>4.0709999999999997</v>
      </c>
      <c r="AP57">
        <v>21</v>
      </c>
      <c r="AQ57">
        <v>-4</v>
      </c>
      <c r="AR57">
        <v>341</v>
      </c>
      <c r="AZ57" s="3">
        <v>0</v>
      </c>
      <c r="BA57" t="s">
        <v>513</v>
      </c>
      <c r="BB57" t="s">
        <v>514</v>
      </c>
      <c r="BC57" t="s">
        <v>514</v>
      </c>
      <c r="BD57" t="s">
        <v>514</v>
      </c>
      <c r="BE57">
        <v>0</v>
      </c>
      <c r="BF57" t="s">
        <v>514</v>
      </c>
      <c r="BG57" s="3">
        <v>0.17604166666666665</v>
      </c>
      <c r="BH57" s="1">
        <v>45149</v>
      </c>
      <c r="BI57">
        <v>-0.21</v>
      </c>
      <c r="BJ57">
        <v>0</v>
      </c>
      <c r="BK57">
        <v>1E-3</v>
      </c>
      <c r="BL57">
        <v>8.9999999999999993E-3</v>
      </c>
      <c r="BM57">
        <v>0.19600000000000001</v>
      </c>
      <c r="BN57">
        <v>-0.30099999999999999</v>
      </c>
      <c r="BO57">
        <v>0.629</v>
      </c>
      <c r="BP57">
        <v>1</v>
      </c>
      <c r="BQ57">
        <v>150</v>
      </c>
      <c r="BR57">
        <v>5.0000000000000001E-3</v>
      </c>
      <c r="BS57">
        <v>2</v>
      </c>
      <c r="BT57">
        <v>0</v>
      </c>
      <c r="BU57" t="s">
        <v>200</v>
      </c>
      <c r="BV57">
        <v>7000</v>
      </c>
      <c r="BW57">
        <v>500</v>
      </c>
      <c r="BX57">
        <v>5</v>
      </c>
      <c r="BY57">
        <v>2</v>
      </c>
      <c r="BZ57">
        <v>300</v>
      </c>
      <c r="CA57">
        <v>300</v>
      </c>
      <c r="CB57">
        <v>300</v>
      </c>
      <c r="CC57">
        <v>167.358047</v>
      </c>
      <c r="CD57">
        <v>25</v>
      </c>
      <c r="CE57">
        <v>-6.5552809999999999</v>
      </c>
      <c r="CF57">
        <v>169.12866199999999</v>
      </c>
      <c r="CG57">
        <v>167.56213399999999</v>
      </c>
      <c r="CH57">
        <v>1.5665279999999999</v>
      </c>
      <c r="CI57">
        <v>2.5285709999999999</v>
      </c>
      <c r="CJ57">
        <v>2.5401129999999998</v>
      </c>
      <c r="CK57">
        <v>1.665338</v>
      </c>
      <c r="CL57">
        <v>0.94344799999999995</v>
      </c>
      <c r="CM57">
        <v>0.22167200000000001</v>
      </c>
      <c r="CN57">
        <v>3.2448999999999999E-2</v>
      </c>
      <c r="CO57">
        <v>0.15801100000000001</v>
      </c>
      <c r="CP57">
        <v>1.061345</v>
      </c>
      <c r="CQ57">
        <v>100.562096</v>
      </c>
      <c r="CR57">
        <v>3.7800000000000003E-4</v>
      </c>
      <c r="CS57">
        <v>2.4333689999999999</v>
      </c>
      <c r="CT57">
        <v>-3.6000000000000001E-5</v>
      </c>
      <c r="CU57">
        <v>1</v>
      </c>
      <c r="CV57">
        <v>2.4396819999999999</v>
      </c>
      <c r="CW57">
        <v>1.1E-5</v>
      </c>
      <c r="CX57">
        <v>1</v>
      </c>
      <c r="CY57">
        <v>0.60025499999999998</v>
      </c>
      <c r="CZ57">
        <v>0.60245199999999999</v>
      </c>
      <c r="DA57">
        <v>0.106742</v>
      </c>
      <c r="DB57">
        <v>0</v>
      </c>
      <c r="DC57" t="s">
        <v>572</v>
      </c>
      <c r="DD57" t="s">
        <v>515</v>
      </c>
      <c r="DE57" t="s">
        <v>516</v>
      </c>
      <c r="DF57" t="s">
        <v>517</v>
      </c>
      <c r="DG57" t="s">
        <v>518</v>
      </c>
      <c r="DH57" t="s">
        <v>205</v>
      </c>
      <c r="DI57" t="s">
        <v>519</v>
      </c>
    </row>
    <row r="58" spans="1:113">
      <c r="A58">
        <v>2</v>
      </c>
      <c r="B58" s="3">
        <v>0.17670138888888889</v>
      </c>
      <c r="C58" s="1">
        <v>45149</v>
      </c>
      <c r="D58" t="s">
        <v>196</v>
      </c>
      <c r="E58" t="s">
        <v>197</v>
      </c>
      <c r="G58">
        <v>2</v>
      </c>
      <c r="J58">
        <v>7.7604999999999993E-2</v>
      </c>
      <c r="K58">
        <v>2.920871</v>
      </c>
      <c r="L58">
        <v>7.5595999999999997E-2</v>
      </c>
      <c r="M58">
        <v>2.5753499999999998</v>
      </c>
      <c r="N58">
        <v>2.637359</v>
      </c>
      <c r="O58">
        <v>2.569785</v>
      </c>
      <c r="P58">
        <v>5.752821</v>
      </c>
      <c r="Q58">
        <v>3.115462</v>
      </c>
      <c r="R58">
        <v>26.867737000000002</v>
      </c>
      <c r="S58">
        <v>27.574245000000001</v>
      </c>
      <c r="T58">
        <v>60.147171</v>
      </c>
      <c r="U58">
        <v>0.44178600000000001</v>
      </c>
      <c r="V58" t="s">
        <v>573</v>
      </c>
      <c r="W58">
        <v>0</v>
      </c>
      <c r="X58">
        <v>0</v>
      </c>
      <c r="Y58">
        <v>0</v>
      </c>
      <c r="Z58">
        <v>105.817078</v>
      </c>
      <c r="AA58">
        <v>165.77955600000001</v>
      </c>
      <c r="AB58">
        <v>0.36170000000000002</v>
      </c>
      <c r="AC58">
        <v>0.5</v>
      </c>
      <c r="AD58">
        <v>0.8</v>
      </c>
      <c r="AE58">
        <v>164.93154899999999</v>
      </c>
      <c r="AF58">
        <v>60.93</v>
      </c>
      <c r="AG58">
        <v>59.36</v>
      </c>
      <c r="AH58">
        <v>30.28</v>
      </c>
      <c r="AI58">
        <v>35.33</v>
      </c>
      <c r="AJ58">
        <v>95.65</v>
      </c>
      <c r="AK58">
        <v>156.6</v>
      </c>
      <c r="AL58">
        <v>156.19999999999999</v>
      </c>
      <c r="AM58">
        <v>0.3</v>
      </c>
      <c r="AN58">
        <v>1140</v>
      </c>
      <c r="AO58">
        <v>4.07</v>
      </c>
      <c r="AP58">
        <v>37</v>
      </c>
      <c r="AQ58">
        <v>-7</v>
      </c>
      <c r="AR58">
        <v>273</v>
      </c>
      <c r="AZ58" s="3">
        <v>0</v>
      </c>
      <c r="BA58" t="s">
        <v>513</v>
      </c>
      <c r="BB58" t="s">
        <v>514</v>
      </c>
      <c r="BC58" t="s">
        <v>514</v>
      </c>
      <c r="BD58" t="s">
        <v>514</v>
      </c>
      <c r="BE58">
        <v>0</v>
      </c>
      <c r="BF58" t="s">
        <v>514</v>
      </c>
      <c r="BG58" s="3">
        <v>0.17604166666666665</v>
      </c>
      <c r="BH58" s="1">
        <v>45149</v>
      </c>
      <c r="BI58">
        <v>-0.21</v>
      </c>
      <c r="BJ58">
        <v>3.0000000000000001E-3</v>
      </c>
      <c r="BK58">
        <v>3.0000000000000001E-3</v>
      </c>
      <c r="BL58">
        <v>-9999</v>
      </c>
      <c r="BM58">
        <v>0.84499999999999997</v>
      </c>
      <c r="BN58">
        <v>2.1619999999999999</v>
      </c>
      <c r="BO58">
        <v>-9999</v>
      </c>
      <c r="BP58">
        <v>1</v>
      </c>
      <c r="BQ58">
        <v>150</v>
      </c>
      <c r="BR58">
        <v>5.0000000000000001E-3</v>
      </c>
      <c r="BS58">
        <v>2</v>
      </c>
      <c r="BT58">
        <v>0</v>
      </c>
      <c r="BU58" t="s">
        <v>200</v>
      </c>
      <c r="BV58">
        <v>7000</v>
      </c>
      <c r="BW58">
        <v>500</v>
      </c>
      <c r="BX58">
        <v>5</v>
      </c>
      <c r="BY58">
        <v>2</v>
      </c>
      <c r="BZ58">
        <v>300</v>
      </c>
      <c r="CA58">
        <v>300</v>
      </c>
      <c r="CB58">
        <v>300</v>
      </c>
      <c r="CC58">
        <v>161.09741199999999</v>
      </c>
      <c r="CD58">
        <v>25</v>
      </c>
      <c r="CE58">
        <v>-3.1230000000000002</v>
      </c>
      <c r="CF58">
        <v>164.08395400000001</v>
      </c>
      <c r="CG58">
        <v>161.32446300000001</v>
      </c>
      <c r="CH58">
        <v>2.7594910000000001</v>
      </c>
      <c r="CI58">
        <v>2.5304720000000001</v>
      </c>
      <c r="CJ58">
        <v>2.541398</v>
      </c>
      <c r="CK58">
        <v>1.665508</v>
      </c>
      <c r="CL58">
        <v>0.94282200000000005</v>
      </c>
      <c r="CM58">
        <v>0.221223</v>
      </c>
      <c r="CN58">
        <v>6.3494999999999996E-2</v>
      </c>
      <c r="CO58">
        <v>0.159914</v>
      </c>
      <c r="CP58">
        <v>1.115121</v>
      </c>
      <c r="CQ58">
        <v>105.817078</v>
      </c>
      <c r="CR58">
        <v>3.7599999999999998E-4</v>
      </c>
      <c r="CS58">
        <v>2.4333689999999999</v>
      </c>
      <c r="CT58">
        <v>-3.6000000000000001E-5</v>
      </c>
      <c r="CU58">
        <v>1</v>
      </c>
      <c r="CV58">
        <v>2.4396819999999999</v>
      </c>
      <c r="CW58">
        <v>1.1E-5</v>
      </c>
      <c r="CX58">
        <v>1</v>
      </c>
      <c r="CY58">
        <v>0.60025499999999998</v>
      </c>
      <c r="CZ58">
        <v>0.60245199999999999</v>
      </c>
      <c r="DA58">
        <v>0.106742</v>
      </c>
      <c r="DB58">
        <v>0</v>
      </c>
      <c r="DC58" t="s">
        <v>573</v>
      </c>
      <c r="DD58" t="s">
        <v>515</v>
      </c>
      <c r="DE58" t="s">
        <v>516</v>
      </c>
      <c r="DF58" t="s">
        <v>517</v>
      </c>
      <c r="DG58" t="s">
        <v>518</v>
      </c>
      <c r="DH58" t="s">
        <v>205</v>
      </c>
      <c r="DI58" t="s">
        <v>519</v>
      </c>
    </row>
    <row r="59" spans="1:113">
      <c r="A59">
        <v>3</v>
      </c>
      <c r="B59" s="3">
        <v>0.17694444444444446</v>
      </c>
      <c r="C59" s="1">
        <v>45149</v>
      </c>
      <c r="D59" t="s">
        <v>196</v>
      </c>
      <c r="E59" t="s">
        <v>197</v>
      </c>
      <c r="G59">
        <v>3</v>
      </c>
      <c r="J59">
        <v>0.15897800000000001</v>
      </c>
      <c r="K59">
        <v>2.921481</v>
      </c>
      <c r="L59">
        <v>0.15077399999999999</v>
      </c>
      <c r="M59">
        <v>4.3202999999999996</v>
      </c>
      <c r="N59">
        <v>2.6144790000000002</v>
      </c>
      <c r="O59">
        <v>2.501131</v>
      </c>
      <c r="P59">
        <v>5.2429100000000002</v>
      </c>
      <c r="Q59">
        <v>2.628431</v>
      </c>
      <c r="R59">
        <v>26.146597</v>
      </c>
      <c r="S59">
        <v>27.331530000000001</v>
      </c>
      <c r="T59">
        <v>54.808906999999998</v>
      </c>
      <c r="U59">
        <v>0.44178600000000001</v>
      </c>
      <c r="V59" t="s">
        <v>574</v>
      </c>
      <c r="W59">
        <v>0</v>
      </c>
      <c r="X59">
        <v>0</v>
      </c>
      <c r="Y59">
        <v>0</v>
      </c>
      <c r="Z59">
        <v>232.76675399999999</v>
      </c>
      <c r="AA59">
        <v>354.69113199999998</v>
      </c>
      <c r="AB59">
        <v>0.343748</v>
      </c>
      <c r="AC59">
        <v>0.5</v>
      </c>
      <c r="AD59">
        <v>0.8</v>
      </c>
      <c r="AE59">
        <v>245.68867499999999</v>
      </c>
      <c r="AF59">
        <v>60.04</v>
      </c>
      <c r="AG59">
        <v>57.44</v>
      </c>
      <c r="AH59">
        <v>30.38</v>
      </c>
      <c r="AI59">
        <v>33.659999999999997</v>
      </c>
      <c r="AJ59">
        <v>95.66</v>
      </c>
      <c r="AK59">
        <v>156.69999999999999</v>
      </c>
      <c r="AL59">
        <v>156.19999999999999</v>
      </c>
      <c r="AM59">
        <v>0.3</v>
      </c>
      <c r="AN59">
        <v>1787</v>
      </c>
      <c r="AO59">
        <v>4.069</v>
      </c>
      <c r="AP59">
        <v>25</v>
      </c>
      <c r="AQ59">
        <v>-2</v>
      </c>
      <c r="AR59">
        <v>287</v>
      </c>
      <c r="AZ59" s="3">
        <v>0</v>
      </c>
      <c r="BA59" t="s">
        <v>513</v>
      </c>
      <c r="BB59" t="s">
        <v>514</v>
      </c>
      <c r="BC59" t="s">
        <v>514</v>
      </c>
      <c r="BD59" t="s">
        <v>514</v>
      </c>
      <c r="BE59">
        <v>0</v>
      </c>
      <c r="BF59" t="s">
        <v>514</v>
      </c>
      <c r="BG59" s="3">
        <v>0.17604166666666665</v>
      </c>
      <c r="BH59" s="1">
        <v>45149</v>
      </c>
      <c r="BI59">
        <v>-0.21</v>
      </c>
      <c r="BJ59">
        <v>3.0000000000000001E-3</v>
      </c>
      <c r="BK59">
        <v>2E-3</v>
      </c>
      <c r="BL59">
        <v>8.9999999999999993E-3</v>
      </c>
      <c r="BM59">
        <v>1.1459999999999999</v>
      </c>
      <c r="BN59">
        <v>-2.3450000000000002</v>
      </c>
      <c r="BO59">
        <v>-12.058999999999999</v>
      </c>
      <c r="BP59">
        <v>1</v>
      </c>
      <c r="BQ59">
        <v>150</v>
      </c>
      <c r="BR59">
        <v>5.0000000000000001E-3</v>
      </c>
      <c r="BS59">
        <v>2</v>
      </c>
      <c r="BT59">
        <v>0</v>
      </c>
      <c r="BU59" t="s">
        <v>200</v>
      </c>
      <c r="BV59">
        <v>7000</v>
      </c>
      <c r="BW59">
        <v>500</v>
      </c>
      <c r="BX59">
        <v>5</v>
      </c>
      <c r="BY59">
        <v>2</v>
      </c>
      <c r="BZ59">
        <v>300</v>
      </c>
      <c r="CA59">
        <v>300</v>
      </c>
      <c r="CB59">
        <v>300</v>
      </c>
      <c r="CC59">
        <v>341.696259</v>
      </c>
      <c r="CD59">
        <v>25</v>
      </c>
      <c r="CE59">
        <v>-9.2601119999999995</v>
      </c>
      <c r="CF59">
        <v>340.09945699999997</v>
      </c>
      <c r="CG59">
        <v>341.481201</v>
      </c>
      <c r="CH59">
        <v>-1.3817440000000001</v>
      </c>
      <c r="CI59">
        <v>2.527647</v>
      </c>
      <c r="CJ59">
        <v>2.540089</v>
      </c>
      <c r="CK59">
        <v>1.6661509999999999</v>
      </c>
      <c r="CL59">
        <v>0.94282500000000002</v>
      </c>
      <c r="CM59">
        <v>0.22031999999999999</v>
      </c>
      <c r="CN59">
        <v>4.0984E-2</v>
      </c>
      <c r="CO59">
        <v>0.16326199999999999</v>
      </c>
      <c r="CP59">
        <v>1.687311</v>
      </c>
      <c r="CQ59">
        <v>232.76675399999999</v>
      </c>
      <c r="CR59">
        <v>3.79E-4</v>
      </c>
      <c r="CS59">
        <v>2.4333689999999999</v>
      </c>
      <c r="CT59">
        <v>-3.6000000000000001E-5</v>
      </c>
      <c r="CU59">
        <v>1</v>
      </c>
      <c r="CV59">
        <v>2.4396819999999999</v>
      </c>
      <c r="CW59">
        <v>1.1E-5</v>
      </c>
      <c r="CX59">
        <v>1</v>
      </c>
      <c r="CY59">
        <v>0.60025499999999998</v>
      </c>
      <c r="CZ59">
        <v>0.60245199999999999</v>
      </c>
      <c r="DA59">
        <v>0.106742</v>
      </c>
      <c r="DB59">
        <v>0</v>
      </c>
      <c r="DC59" t="s">
        <v>574</v>
      </c>
      <c r="DD59" t="s">
        <v>515</v>
      </c>
      <c r="DE59" t="s">
        <v>516</v>
      </c>
      <c r="DF59" t="s">
        <v>517</v>
      </c>
      <c r="DG59" t="s">
        <v>518</v>
      </c>
      <c r="DH59" t="s">
        <v>205</v>
      </c>
      <c r="DI59" t="s">
        <v>519</v>
      </c>
    </row>
    <row r="60" spans="1:113">
      <c r="A60">
        <v>4</v>
      </c>
      <c r="B60" s="3">
        <v>0.17709490740740741</v>
      </c>
      <c r="C60" s="1">
        <v>45149</v>
      </c>
      <c r="D60" t="s">
        <v>196</v>
      </c>
      <c r="E60" t="s">
        <v>197</v>
      </c>
      <c r="G60">
        <v>4</v>
      </c>
      <c r="J60">
        <v>0.104532</v>
      </c>
      <c r="K60">
        <v>2.9198040000000001</v>
      </c>
      <c r="L60">
        <v>0.10091899999999999</v>
      </c>
      <c r="M60">
        <v>3.3265760000000002</v>
      </c>
      <c r="N60">
        <v>2.5793870000000001</v>
      </c>
      <c r="O60">
        <v>2.491968</v>
      </c>
      <c r="P60">
        <v>5.5975440000000001</v>
      </c>
      <c r="Q60">
        <v>3.018157</v>
      </c>
      <c r="R60">
        <v>26.052710999999999</v>
      </c>
      <c r="S60">
        <v>26.966647999999999</v>
      </c>
      <c r="T60">
        <v>58.520499999999998</v>
      </c>
      <c r="U60">
        <v>0.44178600000000001</v>
      </c>
      <c r="V60" t="s">
        <v>575</v>
      </c>
      <c r="W60">
        <v>0</v>
      </c>
      <c r="X60">
        <v>0</v>
      </c>
      <c r="Y60">
        <v>0</v>
      </c>
      <c r="Z60">
        <v>113.253593</v>
      </c>
      <c r="AA60">
        <v>152.76869199999999</v>
      </c>
      <c r="AB60">
        <v>0.25866</v>
      </c>
      <c r="AC60">
        <v>0.5</v>
      </c>
      <c r="AD60">
        <v>0.8</v>
      </c>
      <c r="AE60">
        <v>190.35436999999999</v>
      </c>
      <c r="AF60">
        <v>59.03</v>
      </c>
      <c r="AG60">
        <v>57.03</v>
      </c>
      <c r="AH60">
        <v>30.44</v>
      </c>
      <c r="AI60">
        <v>34.840000000000003</v>
      </c>
      <c r="AJ60">
        <v>95.65</v>
      </c>
      <c r="AK60">
        <v>156.5</v>
      </c>
      <c r="AL60">
        <v>156.19999999999999</v>
      </c>
      <c r="AM60">
        <v>0.1</v>
      </c>
      <c r="AN60">
        <v>1840</v>
      </c>
      <c r="AO60">
        <v>4.069</v>
      </c>
      <c r="AP60">
        <v>41</v>
      </c>
      <c r="AQ60">
        <v>-16</v>
      </c>
      <c r="AR60">
        <v>238</v>
      </c>
      <c r="AZ60" s="3">
        <v>0</v>
      </c>
      <c r="BA60" t="s">
        <v>513</v>
      </c>
      <c r="BB60" t="s">
        <v>514</v>
      </c>
      <c r="BC60" t="s">
        <v>514</v>
      </c>
      <c r="BD60" t="s">
        <v>514</v>
      </c>
      <c r="BE60">
        <v>0</v>
      </c>
      <c r="BF60" t="s">
        <v>514</v>
      </c>
      <c r="BG60" s="3">
        <v>0.17604166666666665</v>
      </c>
      <c r="BH60" s="1">
        <v>45149</v>
      </c>
      <c r="BI60">
        <v>-0.21</v>
      </c>
      <c r="BJ60">
        <v>1E-3</v>
      </c>
      <c r="BK60">
        <v>3.0000000000000001E-3</v>
      </c>
      <c r="BL60">
        <v>-9999</v>
      </c>
      <c r="BM60">
        <v>0.97899999999999998</v>
      </c>
      <c r="BN60">
        <v>1.0309999999999999</v>
      </c>
      <c r="BO60">
        <v>-9999</v>
      </c>
      <c r="BP60">
        <v>1</v>
      </c>
      <c r="BQ60">
        <v>150</v>
      </c>
      <c r="BR60">
        <v>5.0000000000000001E-3</v>
      </c>
      <c r="BS60">
        <v>2</v>
      </c>
      <c r="BT60">
        <v>0</v>
      </c>
      <c r="BU60" t="s">
        <v>200</v>
      </c>
      <c r="BV60">
        <v>7000</v>
      </c>
      <c r="BW60">
        <v>500</v>
      </c>
      <c r="BX60">
        <v>5</v>
      </c>
      <c r="BY60">
        <v>2</v>
      </c>
      <c r="BZ60">
        <v>300</v>
      </c>
      <c r="CA60">
        <v>300</v>
      </c>
      <c r="CB60">
        <v>300</v>
      </c>
      <c r="CC60">
        <v>148.99670399999999</v>
      </c>
      <c r="CD60">
        <v>25</v>
      </c>
      <c r="CE60">
        <v>-2.5639159999999999</v>
      </c>
      <c r="CF60">
        <v>149.42657500000001</v>
      </c>
      <c r="CG60">
        <v>149.11116000000001</v>
      </c>
      <c r="CH60">
        <v>0.31541400000000003</v>
      </c>
      <c r="CI60">
        <v>2.5270459999999999</v>
      </c>
      <c r="CJ60">
        <v>2.5386090000000001</v>
      </c>
      <c r="CK60">
        <v>1.6643859999999999</v>
      </c>
      <c r="CL60">
        <v>0.94304500000000002</v>
      </c>
      <c r="CM60">
        <v>0.219805</v>
      </c>
      <c r="CN60">
        <v>5.5148999999999997E-2</v>
      </c>
      <c r="CO60">
        <v>0.165158</v>
      </c>
      <c r="CP60">
        <v>1.7341740000000001</v>
      </c>
      <c r="CQ60">
        <v>113.253593</v>
      </c>
      <c r="CR60">
        <v>3.6900000000000002E-4</v>
      </c>
      <c r="CS60">
        <v>2.4333689999999999</v>
      </c>
      <c r="CT60">
        <v>-3.6000000000000001E-5</v>
      </c>
      <c r="CU60">
        <v>1</v>
      </c>
      <c r="CV60">
        <v>2.4396819999999999</v>
      </c>
      <c r="CW60">
        <v>1.1E-5</v>
      </c>
      <c r="CX60">
        <v>1</v>
      </c>
      <c r="CY60">
        <v>0.60025499999999998</v>
      </c>
      <c r="CZ60">
        <v>0.60245199999999999</v>
      </c>
      <c r="DA60">
        <v>0.106742</v>
      </c>
      <c r="DB60">
        <v>0</v>
      </c>
      <c r="DC60" t="s">
        <v>575</v>
      </c>
      <c r="DD60" t="s">
        <v>515</v>
      </c>
      <c r="DE60" t="s">
        <v>516</v>
      </c>
      <c r="DF60" t="s">
        <v>517</v>
      </c>
      <c r="DG60" t="s">
        <v>518</v>
      </c>
      <c r="DH60" t="s">
        <v>205</v>
      </c>
      <c r="DI60" t="s">
        <v>519</v>
      </c>
    </row>
    <row r="61" spans="1:113">
      <c r="A61">
        <v>1</v>
      </c>
      <c r="B61" s="3">
        <v>0.18140046296296297</v>
      </c>
      <c r="C61" s="1">
        <v>45149</v>
      </c>
      <c r="D61" t="s">
        <v>196</v>
      </c>
      <c r="E61" t="s">
        <v>197</v>
      </c>
      <c r="G61">
        <v>1</v>
      </c>
      <c r="J61">
        <v>0.13348199999999999</v>
      </c>
      <c r="K61">
        <v>2.9233449999999999</v>
      </c>
      <c r="L61">
        <v>0.12765299999999999</v>
      </c>
      <c r="M61">
        <v>3.6752769999999999</v>
      </c>
      <c r="N61">
        <v>2.6419540000000001</v>
      </c>
      <c r="O61">
        <v>2.5457209999999999</v>
      </c>
      <c r="P61">
        <v>5.2813739999999996</v>
      </c>
      <c r="Q61">
        <v>2.639421</v>
      </c>
      <c r="R61">
        <v>26.618649000000001</v>
      </c>
      <c r="S61">
        <v>27.624880000000001</v>
      </c>
      <c r="T61">
        <v>55.223274000000004</v>
      </c>
      <c r="U61">
        <v>0.44178600000000001</v>
      </c>
      <c r="V61" t="s">
        <v>576</v>
      </c>
      <c r="W61">
        <v>0</v>
      </c>
      <c r="X61">
        <v>0</v>
      </c>
      <c r="Y61">
        <v>0</v>
      </c>
      <c r="Z61">
        <v>137.06767300000001</v>
      </c>
      <c r="AA61">
        <v>284.40029900000002</v>
      </c>
      <c r="AB61">
        <v>0.51804700000000004</v>
      </c>
      <c r="AC61">
        <v>0.5</v>
      </c>
      <c r="AD61">
        <v>0.8</v>
      </c>
      <c r="AE61">
        <v>336.86596700000001</v>
      </c>
      <c r="AF61">
        <v>59.12</v>
      </c>
      <c r="AG61">
        <v>56.97</v>
      </c>
      <c r="AH61">
        <v>30.83</v>
      </c>
      <c r="AI61">
        <v>33.79</v>
      </c>
      <c r="AJ61">
        <v>95.64</v>
      </c>
      <c r="AK61">
        <v>156.9</v>
      </c>
      <c r="AL61">
        <v>156.19999999999999</v>
      </c>
      <c r="AM61">
        <v>0.5</v>
      </c>
      <c r="AN61">
        <v>1626</v>
      </c>
      <c r="AO61">
        <v>4.0709999999999997</v>
      </c>
      <c r="AP61">
        <v>21</v>
      </c>
      <c r="AQ61">
        <v>0</v>
      </c>
      <c r="AR61">
        <v>227</v>
      </c>
      <c r="AZ61" s="3">
        <v>0</v>
      </c>
      <c r="BA61" t="s">
        <v>513</v>
      </c>
      <c r="BB61" t="s">
        <v>514</v>
      </c>
      <c r="BC61" t="s">
        <v>514</v>
      </c>
      <c r="BD61" t="s">
        <v>514</v>
      </c>
      <c r="BE61">
        <v>0</v>
      </c>
      <c r="BF61" t="s">
        <v>514</v>
      </c>
      <c r="BG61" s="3">
        <v>0.18122685185185183</v>
      </c>
      <c r="BH61" s="1">
        <v>45149</v>
      </c>
      <c r="BI61">
        <v>-0.21</v>
      </c>
      <c r="BJ61">
        <v>0</v>
      </c>
      <c r="BK61">
        <v>0</v>
      </c>
      <c r="BL61">
        <v>6.0000000000000001E-3</v>
      </c>
      <c r="BM61">
        <v>1.7450000000000001</v>
      </c>
      <c r="BN61">
        <v>-2.5539999999999998</v>
      </c>
      <c r="BO61">
        <v>8.7509999999999994</v>
      </c>
      <c r="BP61">
        <v>1</v>
      </c>
      <c r="BQ61">
        <v>150</v>
      </c>
      <c r="BR61">
        <v>5.0000000000000001E-3</v>
      </c>
      <c r="BS61">
        <v>2</v>
      </c>
      <c r="BT61">
        <v>0</v>
      </c>
      <c r="BU61" t="s">
        <v>200</v>
      </c>
      <c r="BV61">
        <v>7000</v>
      </c>
      <c r="BW61">
        <v>500</v>
      </c>
      <c r="BX61">
        <v>5</v>
      </c>
      <c r="BY61">
        <v>2</v>
      </c>
      <c r="BZ61">
        <v>300</v>
      </c>
      <c r="CA61">
        <v>300</v>
      </c>
      <c r="CB61">
        <v>300</v>
      </c>
      <c r="CC61">
        <v>261.29650900000001</v>
      </c>
      <c r="CD61">
        <v>25</v>
      </c>
      <c r="CE61">
        <v>-16.04232</v>
      </c>
      <c r="CF61">
        <v>260.66351300000002</v>
      </c>
      <c r="CG61">
        <v>261.51525900000001</v>
      </c>
      <c r="CH61">
        <v>-0.851746</v>
      </c>
      <c r="CI61">
        <v>2.5268679999999999</v>
      </c>
      <c r="CJ61">
        <v>2.538672</v>
      </c>
      <c r="CK61">
        <v>1.668121</v>
      </c>
      <c r="CL61">
        <v>0.94283300000000003</v>
      </c>
      <c r="CM61">
        <v>0.21642800000000001</v>
      </c>
      <c r="CN61">
        <v>3.7086000000000001E-2</v>
      </c>
      <c r="CO61">
        <v>0.14254900000000001</v>
      </c>
      <c r="CP61">
        <v>1.544735</v>
      </c>
      <c r="CQ61">
        <v>137.06767300000001</v>
      </c>
      <c r="CR61">
        <v>3.7300000000000001E-4</v>
      </c>
      <c r="CS61">
        <v>2.4333689999999999</v>
      </c>
      <c r="CT61">
        <v>-3.6000000000000001E-5</v>
      </c>
      <c r="CU61">
        <v>1</v>
      </c>
      <c r="CV61">
        <v>2.4396819999999999</v>
      </c>
      <c r="CW61">
        <v>1.1E-5</v>
      </c>
      <c r="CX61">
        <v>1</v>
      </c>
      <c r="CY61">
        <v>0.60025499999999998</v>
      </c>
      <c r="CZ61">
        <v>0.60245199999999999</v>
      </c>
      <c r="DA61">
        <v>0.106742</v>
      </c>
      <c r="DB61">
        <v>0</v>
      </c>
      <c r="DC61" t="s">
        <v>576</v>
      </c>
      <c r="DD61" t="s">
        <v>515</v>
      </c>
      <c r="DE61" t="s">
        <v>516</v>
      </c>
      <c r="DF61" t="s">
        <v>517</v>
      </c>
      <c r="DG61" t="s">
        <v>518</v>
      </c>
      <c r="DH61" t="s">
        <v>205</v>
      </c>
      <c r="DI61" t="s">
        <v>519</v>
      </c>
    </row>
    <row r="62" spans="1:113">
      <c r="A62">
        <v>2</v>
      </c>
      <c r="B62" s="3">
        <v>0.18156249999999999</v>
      </c>
      <c r="C62" s="1">
        <v>45149</v>
      </c>
      <c r="D62" t="s">
        <v>196</v>
      </c>
      <c r="E62" t="s">
        <v>197</v>
      </c>
      <c r="G62">
        <v>2</v>
      </c>
      <c r="J62">
        <v>8.6862999999999996E-2</v>
      </c>
      <c r="K62">
        <v>2.920865</v>
      </c>
      <c r="L62">
        <v>8.4353999999999998E-2</v>
      </c>
      <c r="M62">
        <v>2.72905</v>
      </c>
      <c r="N62">
        <v>2.553385</v>
      </c>
      <c r="O62">
        <v>2.4817200000000001</v>
      </c>
      <c r="P62">
        <v>5.5168920000000004</v>
      </c>
      <c r="Q62">
        <v>2.9635069999999999</v>
      </c>
      <c r="R62">
        <v>25.949511000000001</v>
      </c>
      <c r="S62">
        <v>26.698861999999998</v>
      </c>
      <c r="T62">
        <v>57.686058000000003</v>
      </c>
      <c r="U62">
        <v>0.44178600000000001</v>
      </c>
      <c r="V62" t="s">
        <v>577</v>
      </c>
      <c r="W62">
        <v>0</v>
      </c>
      <c r="X62">
        <v>0</v>
      </c>
      <c r="Y62">
        <v>0</v>
      </c>
      <c r="Z62">
        <v>126.476524</v>
      </c>
      <c r="AA62">
        <v>214.05737300000001</v>
      </c>
      <c r="AB62">
        <v>0.40914699999999998</v>
      </c>
      <c r="AC62">
        <v>0.5</v>
      </c>
      <c r="AD62">
        <v>0.8</v>
      </c>
      <c r="AE62">
        <v>286.26293900000002</v>
      </c>
      <c r="AF62">
        <v>56.95</v>
      </c>
      <c r="AG62">
        <v>55.35</v>
      </c>
      <c r="AH62">
        <v>30.89</v>
      </c>
      <c r="AI62">
        <v>34.58</v>
      </c>
      <c r="AJ62">
        <v>95.64</v>
      </c>
      <c r="AK62">
        <v>156.6</v>
      </c>
      <c r="AL62">
        <v>156</v>
      </c>
      <c r="AM62">
        <v>0.4</v>
      </c>
      <c r="AN62">
        <v>1749</v>
      </c>
      <c r="AO62">
        <v>4.07</v>
      </c>
      <c r="AP62">
        <v>21</v>
      </c>
      <c r="AQ62">
        <v>-22</v>
      </c>
      <c r="AR62">
        <v>205</v>
      </c>
      <c r="AZ62" s="3">
        <v>0</v>
      </c>
      <c r="BA62" t="s">
        <v>513</v>
      </c>
      <c r="BB62" t="s">
        <v>514</v>
      </c>
      <c r="BC62" t="s">
        <v>514</v>
      </c>
      <c r="BD62" t="s">
        <v>514</v>
      </c>
      <c r="BE62">
        <v>0</v>
      </c>
      <c r="BF62" t="s">
        <v>514</v>
      </c>
      <c r="BG62" s="3">
        <v>0.18122685185185183</v>
      </c>
      <c r="BH62" s="1">
        <v>45149</v>
      </c>
      <c r="BI62">
        <v>-0.21</v>
      </c>
      <c r="BJ62">
        <v>0</v>
      </c>
      <c r="BK62">
        <v>2E-3</v>
      </c>
      <c r="BL62">
        <v>-9999</v>
      </c>
      <c r="BM62">
        <v>-1.7410000000000001</v>
      </c>
      <c r="BN62">
        <v>-1.9590000000000001</v>
      </c>
      <c r="BO62">
        <v>-9999</v>
      </c>
      <c r="BP62">
        <v>1</v>
      </c>
      <c r="BQ62">
        <v>150</v>
      </c>
      <c r="BR62">
        <v>5.0000000000000001E-3</v>
      </c>
      <c r="BS62">
        <v>2</v>
      </c>
      <c r="BT62">
        <v>0</v>
      </c>
      <c r="BU62" t="s">
        <v>200</v>
      </c>
      <c r="BV62">
        <v>7000</v>
      </c>
      <c r="BW62">
        <v>500</v>
      </c>
      <c r="BX62">
        <v>5</v>
      </c>
      <c r="BY62">
        <v>2</v>
      </c>
      <c r="BZ62">
        <v>300</v>
      </c>
      <c r="CA62">
        <v>300</v>
      </c>
      <c r="CB62">
        <v>300</v>
      </c>
      <c r="CC62">
        <v>192.16203300000001</v>
      </c>
      <c r="CD62">
        <v>25</v>
      </c>
      <c r="CE62">
        <v>-16.100881999999999</v>
      </c>
      <c r="CF62">
        <v>186.95283499999999</v>
      </c>
      <c r="CG62">
        <v>191.08879099999999</v>
      </c>
      <c r="CH62">
        <v>-4.1359560000000002</v>
      </c>
      <c r="CI62">
        <v>2.5245090000000001</v>
      </c>
      <c r="CJ62">
        <v>2.535498</v>
      </c>
      <c r="CK62">
        <v>1.6655009999999999</v>
      </c>
      <c r="CL62">
        <v>0.94255299999999997</v>
      </c>
      <c r="CM62">
        <v>0.215943</v>
      </c>
      <c r="CN62">
        <v>4.6281999999999997E-2</v>
      </c>
      <c r="CO62">
        <v>0.14487700000000001</v>
      </c>
      <c r="CP62">
        <v>1.653972</v>
      </c>
      <c r="CQ62">
        <v>126.476524</v>
      </c>
      <c r="CR62">
        <v>3.7199999999999999E-4</v>
      </c>
      <c r="CS62">
        <v>2.4333689999999999</v>
      </c>
      <c r="CT62">
        <v>-3.6000000000000001E-5</v>
      </c>
      <c r="CU62">
        <v>1</v>
      </c>
      <c r="CV62">
        <v>2.4396819999999999</v>
      </c>
      <c r="CW62">
        <v>1.1E-5</v>
      </c>
      <c r="CX62">
        <v>1</v>
      </c>
      <c r="CY62">
        <v>0.60025499999999998</v>
      </c>
      <c r="CZ62">
        <v>0.60245199999999999</v>
      </c>
      <c r="DA62">
        <v>0.106742</v>
      </c>
      <c r="DB62">
        <v>0</v>
      </c>
      <c r="DC62" t="s">
        <v>577</v>
      </c>
      <c r="DD62" t="s">
        <v>515</v>
      </c>
      <c r="DE62" t="s">
        <v>516</v>
      </c>
      <c r="DF62" t="s">
        <v>517</v>
      </c>
      <c r="DG62" t="s">
        <v>518</v>
      </c>
      <c r="DH62" t="s">
        <v>205</v>
      </c>
      <c r="DI62" t="s">
        <v>519</v>
      </c>
    </row>
    <row r="63" spans="1:113">
      <c r="A63">
        <v>3</v>
      </c>
      <c r="B63" s="3">
        <v>0.18171296296296294</v>
      </c>
      <c r="C63" s="1">
        <v>45149</v>
      </c>
      <c r="D63" t="s">
        <v>196</v>
      </c>
      <c r="E63" t="s">
        <v>197</v>
      </c>
      <c r="G63">
        <v>3</v>
      </c>
      <c r="J63">
        <v>0.166717</v>
      </c>
      <c r="K63">
        <v>2.9196909999999998</v>
      </c>
      <c r="L63">
        <v>0.15771099999999999</v>
      </c>
      <c r="M63">
        <v>5.0020110000000004</v>
      </c>
      <c r="N63">
        <v>2.6459739999999998</v>
      </c>
      <c r="O63">
        <v>2.5146410000000001</v>
      </c>
      <c r="P63">
        <v>5.5489949999999997</v>
      </c>
      <c r="Q63">
        <v>2.9030209999999999</v>
      </c>
      <c r="R63">
        <v>26.295935</v>
      </c>
      <c r="S63">
        <v>27.669308000000001</v>
      </c>
      <c r="T63">
        <v>58.026581</v>
      </c>
      <c r="U63">
        <v>0.44178600000000001</v>
      </c>
      <c r="V63" t="s">
        <v>578</v>
      </c>
      <c r="W63">
        <v>0</v>
      </c>
      <c r="X63">
        <v>0</v>
      </c>
      <c r="Y63">
        <v>0</v>
      </c>
      <c r="Z63">
        <v>140.79737900000001</v>
      </c>
      <c r="AA63">
        <v>269.89288299999998</v>
      </c>
      <c r="AB63">
        <v>0.478321</v>
      </c>
      <c r="AC63">
        <v>0.5</v>
      </c>
      <c r="AD63">
        <v>0.8</v>
      </c>
      <c r="AE63">
        <v>342.526703</v>
      </c>
      <c r="AF63">
        <v>58.84</v>
      </c>
      <c r="AG63">
        <v>55.92</v>
      </c>
      <c r="AH63">
        <v>30.94</v>
      </c>
      <c r="AI63">
        <v>34.68</v>
      </c>
      <c r="AJ63">
        <v>95.63</v>
      </c>
      <c r="AK63">
        <v>156.5</v>
      </c>
      <c r="AL63">
        <v>156.30000000000001</v>
      </c>
      <c r="AM63">
        <v>0.1</v>
      </c>
      <c r="AN63">
        <v>1790</v>
      </c>
      <c r="AO63">
        <v>4.0679999999999996</v>
      </c>
      <c r="AP63">
        <v>20</v>
      </c>
      <c r="AQ63">
        <v>-30</v>
      </c>
      <c r="AR63">
        <v>201</v>
      </c>
      <c r="AZ63" s="3">
        <v>0</v>
      </c>
      <c r="BA63" t="s">
        <v>513</v>
      </c>
      <c r="BB63" t="s">
        <v>514</v>
      </c>
      <c r="BC63" t="s">
        <v>514</v>
      </c>
      <c r="BD63" t="s">
        <v>514</v>
      </c>
      <c r="BE63">
        <v>0</v>
      </c>
      <c r="BF63" t="s">
        <v>514</v>
      </c>
      <c r="BG63" s="3">
        <v>0.18122685185185183</v>
      </c>
      <c r="BH63" s="1">
        <v>45149</v>
      </c>
      <c r="BI63">
        <v>-0.21</v>
      </c>
      <c r="BJ63">
        <v>2E-3</v>
      </c>
      <c r="BK63">
        <v>3.0000000000000001E-3</v>
      </c>
      <c r="BL63">
        <v>-9999</v>
      </c>
      <c r="BM63">
        <v>0.53600000000000003</v>
      </c>
      <c r="BN63">
        <v>-2.3519999999999999</v>
      </c>
      <c r="BO63">
        <v>-9999</v>
      </c>
      <c r="BP63">
        <v>1</v>
      </c>
      <c r="BQ63">
        <v>150</v>
      </c>
      <c r="BR63">
        <v>5.0000000000000001E-3</v>
      </c>
      <c r="BS63">
        <v>2</v>
      </c>
      <c r="BT63">
        <v>0</v>
      </c>
      <c r="BU63" t="s">
        <v>200</v>
      </c>
      <c r="BV63">
        <v>7000</v>
      </c>
      <c r="BW63">
        <v>500</v>
      </c>
      <c r="BX63">
        <v>5</v>
      </c>
      <c r="BY63">
        <v>2</v>
      </c>
      <c r="BZ63">
        <v>300</v>
      </c>
      <c r="CA63">
        <v>300</v>
      </c>
      <c r="CB63">
        <v>300</v>
      </c>
      <c r="CC63">
        <v>247.94876099999999</v>
      </c>
      <c r="CD63">
        <v>25</v>
      </c>
      <c r="CE63">
        <v>-15.912386</v>
      </c>
      <c r="CF63">
        <v>245.750778</v>
      </c>
      <c r="CG63">
        <v>247.193207</v>
      </c>
      <c r="CH63">
        <v>-1.442429</v>
      </c>
      <c r="CI63">
        <v>2.5253239999999999</v>
      </c>
      <c r="CJ63">
        <v>2.538249</v>
      </c>
      <c r="CK63">
        <v>1.664266</v>
      </c>
      <c r="CL63">
        <v>0.94315499999999997</v>
      </c>
      <c r="CM63">
        <v>0.215499</v>
      </c>
      <c r="CN63">
        <v>4.6968000000000003E-2</v>
      </c>
      <c r="CO63">
        <v>0.147039</v>
      </c>
      <c r="CP63">
        <v>1.690334</v>
      </c>
      <c r="CQ63">
        <v>140.79737900000001</v>
      </c>
      <c r="CR63">
        <v>3.8200000000000002E-4</v>
      </c>
      <c r="CS63">
        <v>2.4333689999999999</v>
      </c>
      <c r="CT63">
        <v>-3.6000000000000001E-5</v>
      </c>
      <c r="CU63">
        <v>1</v>
      </c>
      <c r="CV63">
        <v>2.4396819999999999</v>
      </c>
      <c r="CW63">
        <v>1.1E-5</v>
      </c>
      <c r="CX63">
        <v>1</v>
      </c>
      <c r="CY63">
        <v>0.60025499999999998</v>
      </c>
      <c r="CZ63">
        <v>0.60245199999999999</v>
      </c>
      <c r="DA63">
        <v>0.106742</v>
      </c>
      <c r="DB63">
        <v>0</v>
      </c>
      <c r="DC63" t="s">
        <v>578</v>
      </c>
      <c r="DD63" t="s">
        <v>515</v>
      </c>
      <c r="DE63" t="s">
        <v>516</v>
      </c>
      <c r="DF63" t="s">
        <v>517</v>
      </c>
      <c r="DG63" t="s">
        <v>518</v>
      </c>
      <c r="DH63" t="s">
        <v>205</v>
      </c>
      <c r="DI63" t="s">
        <v>519</v>
      </c>
    </row>
    <row r="64" spans="1:113">
      <c r="A64">
        <v>4</v>
      </c>
      <c r="B64" s="3">
        <v>0.18187500000000001</v>
      </c>
      <c r="C64" s="1">
        <v>45149</v>
      </c>
      <c r="D64" t="s">
        <v>196</v>
      </c>
      <c r="E64" t="s">
        <v>197</v>
      </c>
      <c r="G64">
        <v>4</v>
      </c>
      <c r="J64">
        <v>0.213033</v>
      </c>
      <c r="K64">
        <v>2.9224109999999999</v>
      </c>
      <c r="L64">
        <v>0.19855900000000001</v>
      </c>
      <c r="M64">
        <v>6.0394269999999999</v>
      </c>
      <c r="N64">
        <v>2.6963029999999999</v>
      </c>
      <c r="O64">
        <v>2.53817</v>
      </c>
      <c r="P64">
        <v>5.4803879999999996</v>
      </c>
      <c r="Q64">
        <v>2.7840859999999998</v>
      </c>
      <c r="R64">
        <v>26.544062</v>
      </c>
      <c r="S64">
        <v>28.197807000000001</v>
      </c>
      <c r="T64">
        <v>57.313643999999996</v>
      </c>
      <c r="U64">
        <v>0.44178600000000001</v>
      </c>
      <c r="V64" t="s">
        <v>579</v>
      </c>
      <c r="W64">
        <v>0</v>
      </c>
      <c r="X64">
        <v>0</v>
      </c>
      <c r="Y64">
        <v>0</v>
      </c>
      <c r="Z64">
        <v>128.32044999999999</v>
      </c>
      <c r="AA64">
        <v>238.995834</v>
      </c>
      <c r="AB64">
        <v>0.46308500000000002</v>
      </c>
      <c r="AC64">
        <v>0.5</v>
      </c>
      <c r="AD64">
        <v>0.8</v>
      </c>
      <c r="AE64">
        <v>323.75524899999999</v>
      </c>
      <c r="AF64">
        <v>59.76</v>
      </c>
      <c r="AG64">
        <v>56.26</v>
      </c>
      <c r="AH64">
        <v>31</v>
      </c>
      <c r="AI64">
        <v>34.46</v>
      </c>
      <c r="AJ64">
        <v>95.62</v>
      </c>
      <c r="AK64">
        <v>156.80000000000001</v>
      </c>
      <c r="AL64">
        <v>156.4</v>
      </c>
      <c r="AM64">
        <v>0.3</v>
      </c>
      <c r="AN64">
        <v>1748</v>
      </c>
      <c r="AO64">
        <v>4.0670000000000002</v>
      </c>
      <c r="AP64">
        <v>45</v>
      </c>
      <c r="AQ64">
        <v>-23</v>
      </c>
      <c r="AR64">
        <v>214</v>
      </c>
      <c r="AZ64" s="3">
        <v>0</v>
      </c>
      <c r="BA64" t="s">
        <v>513</v>
      </c>
      <c r="BB64" t="s">
        <v>514</v>
      </c>
      <c r="BC64" t="s">
        <v>514</v>
      </c>
      <c r="BD64" t="s">
        <v>514</v>
      </c>
      <c r="BE64">
        <v>0</v>
      </c>
      <c r="BF64" t="s">
        <v>514</v>
      </c>
      <c r="BG64" s="3">
        <v>0.18122685185185183</v>
      </c>
      <c r="BH64" s="1">
        <v>45149</v>
      </c>
      <c r="BI64">
        <v>-0.21</v>
      </c>
      <c r="BJ64">
        <v>2E-3</v>
      </c>
      <c r="BK64">
        <v>5.0000000000000001E-3</v>
      </c>
      <c r="BL64">
        <v>1.0999999999999999E-2</v>
      </c>
      <c r="BM64">
        <v>-0.54700000000000004</v>
      </c>
      <c r="BN64">
        <v>-1.9410000000000001</v>
      </c>
      <c r="BO64">
        <v>0.41399999999999998</v>
      </c>
      <c r="BP64">
        <v>1</v>
      </c>
      <c r="BQ64">
        <v>150</v>
      </c>
      <c r="BR64">
        <v>5.0000000000000001E-3</v>
      </c>
      <c r="BS64">
        <v>2</v>
      </c>
      <c r="BT64">
        <v>0</v>
      </c>
      <c r="BU64" t="s">
        <v>200</v>
      </c>
      <c r="BV64">
        <v>7000</v>
      </c>
      <c r="BW64">
        <v>500</v>
      </c>
      <c r="BX64">
        <v>5</v>
      </c>
      <c r="BY64">
        <v>2</v>
      </c>
      <c r="BZ64">
        <v>300</v>
      </c>
      <c r="CA64">
        <v>300</v>
      </c>
      <c r="CB64">
        <v>300</v>
      </c>
      <c r="CC64">
        <v>215.075974</v>
      </c>
      <c r="CD64">
        <v>25</v>
      </c>
      <c r="CE64">
        <v>-16.598659999999999</v>
      </c>
      <c r="CF64">
        <v>211.62020899999999</v>
      </c>
      <c r="CG64">
        <v>215.31715399999999</v>
      </c>
      <c r="CH64">
        <v>-3.6969449999999999</v>
      </c>
      <c r="CI64">
        <v>2.5258020000000001</v>
      </c>
      <c r="CJ64">
        <v>2.5395829999999999</v>
      </c>
      <c r="CK64">
        <v>1.667133</v>
      </c>
      <c r="CL64">
        <v>0.94336600000000004</v>
      </c>
      <c r="CM64">
        <v>0.215008</v>
      </c>
      <c r="CN64">
        <v>4.3410999999999998E-2</v>
      </c>
      <c r="CO64">
        <v>0.149363</v>
      </c>
      <c r="CP64">
        <v>1.6527959999999999</v>
      </c>
      <c r="CQ64">
        <v>128.32044999999999</v>
      </c>
      <c r="CR64">
        <v>3.7199999999999999E-4</v>
      </c>
      <c r="CS64">
        <v>2.4333689999999999</v>
      </c>
      <c r="CT64">
        <v>-3.6000000000000001E-5</v>
      </c>
      <c r="CU64">
        <v>1</v>
      </c>
      <c r="CV64">
        <v>2.4396819999999999</v>
      </c>
      <c r="CW64">
        <v>1.1E-5</v>
      </c>
      <c r="CX64">
        <v>1</v>
      </c>
      <c r="CY64">
        <v>0.60025499999999998</v>
      </c>
      <c r="CZ64">
        <v>0.60245199999999999</v>
      </c>
      <c r="DA64">
        <v>0.106742</v>
      </c>
      <c r="DB64">
        <v>0</v>
      </c>
      <c r="DC64" t="s">
        <v>579</v>
      </c>
      <c r="DD64" t="s">
        <v>515</v>
      </c>
      <c r="DE64" t="s">
        <v>516</v>
      </c>
      <c r="DF64" t="s">
        <v>517</v>
      </c>
      <c r="DG64" t="s">
        <v>518</v>
      </c>
      <c r="DH64" t="s">
        <v>205</v>
      </c>
      <c r="DI64" t="s">
        <v>519</v>
      </c>
    </row>
    <row r="65" spans="1:113">
      <c r="A65">
        <v>5</v>
      </c>
      <c r="B65" s="3">
        <v>0.18206018518518519</v>
      </c>
      <c r="C65" s="1">
        <v>45149</v>
      </c>
      <c r="D65" t="s">
        <v>196</v>
      </c>
      <c r="E65" t="s">
        <v>197</v>
      </c>
      <c r="G65">
        <v>5</v>
      </c>
      <c r="J65">
        <v>6.7995E-2</v>
      </c>
      <c r="K65">
        <v>2.920849</v>
      </c>
      <c r="L65">
        <v>6.6447999999999993E-2</v>
      </c>
      <c r="M65">
        <v>2.2837640000000001</v>
      </c>
      <c r="N65">
        <v>2.6128459999999998</v>
      </c>
      <c r="O65">
        <v>2.5529120000000001</v>
      </c>
      <c r="P65">
        <v>5.7559300000000002</v>
      </c>
      <c r="Q65">
        <v>3.143084</v>
      </c>
      <c r="R65">
        <v>26.694192999999999</v>
      </c>
      <c r="S65">
        <v>27.320885000000001</v>
      </c>
      <c r="T65">
        <v>60.186131000000003</v>
      </c>
      <c r="U65">
        <v>0.44178600000000001</v>
      </c>
      <c r="V65" t="s">
        <v>580</v>
      </c>
      <c r="W65">
        <v>0</v>
      </c>
      <c r="X65">
        <v>0</v>
      </c>
      <c r="Y65">
        <v>0</v>
      </c>
      <c r="Z65">
        <v>95.284942999999998</v>
      </c>
      <c r="AA65">
        <v>140.90183999999999</v>
      </c>
      <c r="AB65">
        <v>0.32374900000000001</v>
      </c>
      <c r="AC65">
        <v>0.5</v>
      </c>
      <c r="AD65">
        <v>0.8</v>
      </c>
      <c r="AE65">
        <v>203.34567300000001</v>
      </c>
      <c r="AF65">
        <v>57.68</v>
      </c>
      <c r="AG65">
        <v>56.36</v>
      </c>
      <c r="AH65">
        <v>31.07</v>
      </c>
      <c r="AI65">
        <v>35.340000000000003</v>
      </c>
      <c r="AJ65">
        <v>95.64</v>
      </c>
      <c r="AK65">
        <v>156.6</v>
      </c>
      <c r="AL65">
        <v>155.9</v>
      </c>
      <c r="AM65">
        <v>0.4</v>
      </c>
      <c r="AN65">
        <v>1570</v>
      </c>
      <c r="AO65">
        <v>4.0629999999999997</v>
      </c>
      <c r="AP65">
        <v>-20</v>
      </c>
      <c r="AQ65">
        <v>-13</v>
      </c>
      <c r="AR65">
        <v>201</v>
      </c>
      <c r="AZ65" s="3">
        <v>0</v>
      </c>
      <c r="BA65" t="s">
        <v>513</v>
      </c>
      <c r="BB65">
        <v>38.492579999999997</v>
      </c>
      <c r="BC65">
        <v>-1.363432</v>
      </c>
      <c r="BD65">
        <v>562.29998799999998</v>
      </c>
      <c r="BE65">
        <v>6</v>
      </c>
      <c r="BF65">
        <v>1.76</v>
      </c>
      <c r="BG65" s="3">
        <v>0.18122685185185183</v>
      </c>
      <c r="BH65" s="1">
        <v>45149</v>
      </c>
      <c r="BI65">
        <v>-0.21</v>
      </c>
      <c r="BJ65">
        <v>-1E-3</v>
      </c>
      <c r="BK65">
        <v>-1E-3</v>
      </c>
      <c r="BL65">
        <v>-9999</v>
      </c>
      <c r="BM65">
        <v>0.183</v>
      </c>
      <c r="BN65">
        <v>0.441</v>
      </c>
      <c r="BO65">
        <v>-9999</v>
      </c>
      <c r="BP65">
        <v>1</v>
      </c>
      <c r="BQ65">
        <v>150</v>
      </c>
      <c r="BR65">
        <v>5.0000000000000001E-3</v>
      </c>
      <c r="BS65">
        <v>2</v>
      </c>
      <c r="BT65">
        <v>0</v>
      </c>
      <c r="BU65" t="s">
        <v>200</v>
      </c>
      <c r="BV65">
        <v>7000</v>
      </c>
      <c r="BW65">
        <v>500</v>
      </c>
      <c r="BX65">
        <v>5</v>
      </c>
      <c r="BY65">
        <v>2</v>
      </c>
      <c r="BZ65">
        <v>300</v>
      </c>
      <c r="CA65">
        <v>300</v>
      </c>
      <c r="CB65">
        <v>300</v>
      </c>
      <c r="CC65">
        <v>130.05673200000001</v>
      </c>
      <c r="CD65">
        <v>25</v>
      </c>
      <c r="CE65">
        <v>-7.9662579999999998</v>
      </c>
      <c r="CF65">
        <v>127.129913</v>
      </c>
      <c r="CG65">
        <v>129.537643</v>
      </c>
      <c r="CH65">
        <v>-2.4077299999999999</v>
      </c>
      <c r="CI65">
        <v>2.5259360000000002</v>
      </c>
      <c r="CJ65">
        <v>2.5365359999999999</v>
      </c>
      <c r="CK65">
        <v>1.665484</v>
      </c>
      <c r="CL65">
        <v>0.94221200000000005</v>
      </c>
      <c r="CM65">
        <v>0.214419</v>
      </c>
      <c r="CN65">
        <v>5.3834E-2</v>
      </c>
      <c r="CO65">
        <v>0.15212100000000001</v>
      </c>
      <c r="CP65">
        <v>1.495717</v>
      </c>
      <c r="CQ65">
        <v>95.284942999999998</v>
      </c>
      <c r="CR65">
        <v>3.7500000000000001E-4</v>
      </c>
      <c r="CS65">
        <v>2.4333689999999999</v>
      </c>
      <c r="CT65">
        <v>-3.6000000000000001E-5</v>
      </c>
      <c r="CU65">
        <v>1</v>
      </c>
      <c r="CV65">
        <v>2.4396819999999999</v>
      </c>
      <c r="CW65">
        <v>1.1E-5</v>
      </c>
      <c r="CX65">
        <v>1</v>
      </c>
      <c r="CY65">
        <v>0.60025499999999998</v>
      </c>
      <c r="CZ65">
        <v>0.60245199999999999</v>
      </c>
      <c r="DA65">
        <v>0.106742</v>
      </c>
      <c r="DB65">
        <v>0</v>
      </c>
      <c r="DC65" t="s">
        <v>580</v>
      </c>
      <c r="DD65" t="s">
        <v>515</v>
      </c>
      <c r="DE65" t="s">
        <v>516</v>
      </c>
      <c r="DF65" t="s">
        <v>517</v>
      </c>
      <c r="DG65" t="s">
        <v>518</v>
      </c>
      <c r="DH65" t="s">
        <v>205</v>
      </c>
      <c r="DI65" t="s">
        <v>519</v>
      </c>
    </row>
    <row r="66" spans="1:113">
      <c r="A66">
        <v>6</v>
      </c>
      <c r="B66" s="3">
        <v>0.18450231481481483</v>
      </c>
      <c r="C66" s="1">
        <v>45149</v>
      </c>
      <c r="D66" t="s">
        <v>196</v>
      </c>
      <c r="E66" t="s">
        <v>197</v>
      </c>
      <c r="G66">
        <v>6</v>
      </c>
      <c r="J66">
        <v>0.19805500000000001</v>
      </c>
      <c r="K66">
        <v>2.9221979999999999</v>
      </c>
      <c r="L66">
        <v>0.18548300000000001</v>
      </c>
      <c r="M66">
        <v>5.092517</v>
      </c>
      <c r="N66">
        <v>2.707681</v>
      </c>
      <c r="O66">
        <v>2.574303</v>
      </c>
      <c r="P66">
        <v>5.2247089999999998</v>
      </c>
      <c r="Q66">
        <v>2.5170279999999998</v>
      </c>
      <c r="R66">
        <v>26.915679999999998</v>
      </c>
      <c r="S66">
        <v>28.310213000000001</v>
      </c>
      <c r="T66">
        <v>54.627048000000002</v>
      </c>
      <c r="U66">
        <v>0.44178600000000001</v>
      </c>
      <c r="V66" t="s">
        <v>581</v>
      </c>
      <c r="W66">
        <v>0</v>
      </c>
      <c r="X66">
        <v>0</v>
      </c>
      <c r="Y66">
        <v>0</v>
      </c>
      <c r="Z66">
        <v>128.15737899999999</v>
      </c>
      <c r="AA66">
        <v>274.53234900000001</v>
      </c>
      <c r="AB66">
        <v>0.53317899999999996</v>
      </c>
      <c r="AC66">
        <v>0.5</v>
      </c>
      <c r="AD66">
        <v>0.8</v>
      </c>
      <c r="AE66">
        <v>81.447616999999994</v>
      </c>
      <c r="AF66">
        <v>57.65</v>
      </c>
      <c r="AG66">
        <v>54.81</v>
      </c>
      <c r="AH66">
        <v>31.71</v>
      </c>
      <c r="AI66">
        <v>33.6</v>
      </c>
      <c r="AJ66">
        <v>95.64</v>
      </c>
      <c r="AK66">
        <v>156.80000000000001</v>
      </c>
      <c r="AL66">
        <v>156.19999999999999</v>
      </c>
      <c r="AM66">
        <v>0.4</v>
      </c>
      <c r="AN66">
        <v>382</v>
      </c>
      <c r="AO66">
        <v>4.0620000000000003</v>
      </c>
      <c r="AP66">
        <v>33</v>
      </c>
      <c r="AQ66">
        <v>3</v>
      </c>
      <c r="AR66">
        <v>5</v>
      </c>
      <c r="AS66">
        <v>42.07</v>
      </c>
      <c r="AT66">
        <v>74.239999999999995</v>
      </c>
      <c r="AU66">
        <v>33.119999999999997</v>
      </c>
      <c r="AV66">
        <v>-0.5</v>
      </c>
      <c r="AW66">
        <v>15.28</v>
      </c>
      <c r="AX66">
        <v>110.45</v>
      </c>
      <c r="AY66">
        <v>43.45</v>
      </c>
      <c r="AZ66" s="3">
        <v>0.3913194444444445</v>
      </c>
      <c r="BA66" s="1">
        <v>45149</v>
      </c>
      <c r="BB66">
        <v>38.492564999999999</v>
      </c>
      <c r="BC66">
        <v>-1.363437</v>
      </c>
      <c r="BD66">
        <v>561.29998799999998</v>
      </c>
      <c r="BE66">
        <v>6</v>
      </c>
      <c r="BF66">
        <v>1.76</v>
      </c>
      <c r="BG66" s="3">
        <v>0.18122685185185183</v>
      </c>
      <c r="BH66" s="1">
        <v>45149</v>
      </c>
      <c r="BI66">
        <v>-0.21</v>
      </c>
      <c r="BJ66">
        <v>-3.0000000000000001E-3</v>
      </c>
      <c r="BK66">
        <v>-1E-3</v>
      </c>
      <c r="BL66">
        <v>1.0999999999999999E-2</v>
      </c>
      <c r="BM66">
        <v>8.0679999999999996</v>
      </c>
      <c r="BN66">
        <v>-2.992</v>
      </c>
      <c r="BO66">
        <v>9.266</v>
      </c>
      <c r="BP66">
        <v>1</v>
      </c>
      <c r="BQ66">
        <v>150</v>
      </c>
      <c r="BR66">
        <v>5.0000000000000001E-3</v>
      </c>
      <c r="BS66">
        <v>2</v>
      </c>
      <c r="BT66">
        <v>0</v>
      </c>
      <c r="BU66" t="s">
        <v>200</v>
      </c>
      <c r="BV66">
        <v>7000</v>
      </c>
      <c r="BW66">
        <v>500</v>
      </c>
      <c r="BX66">
        <v>5</v>
      </c>
      <c r="BY66">
        <v>2</v>
      </c>
      <c r="BZ66">
        <v>300</v>
      </c>
      <c r="CA66">
        <v>300</v>
      </c>
      <c r="CB66">
        <v>300</v>
      </c>
      <c r="CC66">
        <v>250.262619</v>
      </c>
      <c r="CD66">
        <v>25</v>
      </c>
      <c r="CE66">
        <v>-16.834738000000002</v>
      </c>
      <c r="CF66">
        <v>248.28100599999999</v>
      </c>
      <c r="CG66">
        <v>250.51689099999999</v>
      </c>
      <c r="CH66">
        <v>-2.2358859999999998</v>
      </c>
      <c r="CI66">
        <v>2.5235460000000001</v>
      </c>
      <c r="CJ66">
        <v>2.5363850000000001</v>
      </c>
      <c r="CK66">
        <v>1.6669069999999999</v>
      </c>
      <c r="CL66">
        <v>0.94287200000000004</v>
      </c>
      <c r="CM66">
        <v>0.209118</v>
      </c>
      <c r="CN66">
        <v>2.3935999999999999E-2</v>
      </c>
      <c r="CO66">
        <v>0.18134800000000001</v>
      </c>
      <c r="CP66">
        <v>0.44455299999999998</v>
      </c>
      <c r="CQ66">
        <v>128.15737899999999</v>
      </c>
      <c r="CR66">
        <v>3.8200000000000002E-4</v>
      </c>
      <c r="CS66">
        <v>2.4333689999999999</v>
      </c>
      <c r="CT66">
        <v>-3.6000000000000001E-5</v>
      </c>
      <c r="CU66">
        <v>1</v>
      </c>
      <c r="CV66">
        <v>2.4396819999999999</v>
      </c>
      <c r="CW66">
        <v>1.1E-5</v>
      </c>
      <c r="CX66">
        <v>1</v>
      </c>
      <c r="CY66">
        <v>0.60025499999999998</v>
      </c>
      <c r="CZ66">
        <v>0.60245199999999999</v>
      </c>
      <c r="DA66">
        <v>0.106742</v>
      </c>
      <c r="DB66">
        <v>0</v>
      </c>
      <c r="DC66" t="s">
        <v>581</v>
      </c>
      <c r="DD66" t="s">
        <v>515</v>
      </c>
      <c r="DE66" t="s">
        <v>516</v>
      </c>
      <c r="DF66" t="s">
        <v>517</v>
      </c>
      <c r="DG66" t="s">
        <v>518</v>
      </c>
      <c r="DH66" t="s">
        <v>205</v>
      </c>
      <c r="DI66" t="s">
        <v>519</v>
      </c>
    </row>
    <row r="67" spans="1:113">
      <c r="A67">
        <v>7</v>
      </c>
      <c r="B67" s="3">
        <v>0.18474537037037039</v>
      </c>
      <c r="C67" s="1">
        <v>45149</v>
      </c>
      <c r="D67" t="s">
        <v>196</v>
      </c>
      <c r="E67" t="s">
        <v>197</v>
      </c>
      <c r="G67">
        <v>7</v>
      </c>
      <c r="J67">
        <v>8.5754999999999998E-2</v>
      </c>
      <c r="K67">
        <v>2.92171</v>
      </c>
      <c r="L67">
        <v>8.3309999999999995E-2</v>
      </c>
      <c r="M67">
        <v>2.7331029999999998</v>
      </c>
      <c r="N67">
        <v>2.7284290000000002</v>
      </c>
      <c r="O67">
        <v>2.6568320000000001</v>
      </c>
      <c r="P67">
        <v>5.7275270000000003</v>
      </c>
      <c r="Q67">
        <v>2.999098</v>
      </c>
      <c r="R67">
        <v>27.777697</v>
      </c>
      <c r="S67">
        <v>28.526250999999998</v>
      </c>
      <c r="T67">
        <v>59.882401000000002</v>
      </c>
      <c r="U67">
        <v>0.44178600000000001</v>
      </c>
      <c r="V67" t="s">
        <v>582</v>
      </c>
      <c r="W67">
        <v>0</v>
      </c>
      <c r="X67">
        <v>0</v>
      </c>
      <c r="Y67">
        <v>0</v>
      </c>
      <c r="Z67">
        <v>167.00147999999999</v>
      </c>
      <c r="AA67">
        <v>241.65965299999999</v>
      </c>
      <c r="AB67">
        <v>0.30893900000000002</v>
      </c>
      <c r="AC67">
        <v>0.5</v>
      </c>
      <c r="AD67">
        <v>0.8</v>
      </c>
      <c r="AE67">
        <v>229.71064799999999</v>
      </c>
      <c r="AF67">
        <v>57.82</v>
      </c>
      <c r="AG67">
        <v>56.3</v>
      </c>
      <c r="AH67">
        <v>31.79</v>
      </c>
      <c r="AI67">
        <v>35.25</v>
      </c>
      <c r="AJ67">
        <v>95.65</v>
      </c>
      <c r="AK67">
        <v>156.69999999999999</v>
      </c>
      <c r="AL67">
        <v>155.9</v>
      </c>
      <c r="AM67">
        <v>0.5</v>
      </c>
      <c r="AN67">
        <v>1859</v>
      </c>
      <c r="AO67">
        <v>4.0590000000000002</v>
      </c>
      <c r="AP67">
        <v>31</v>
      </c>
      <c r="AQ67">
        <v>2</v>
      </c>
      <c r="AR67">
        <v>291</v>
      </c>
      <c r="AS67">
        <v>12.55</v>
      </c>
      <c r="AT67">
        <v>97.61</v>
      </c>
      <c r="AU67">
        <v>31.06</v>
      </c>
      <c r="AV67">
        <v>-72.88</v>
      </c>
      <c r="AW67">
        <v>15.28</v>
      </c>
      <c r="AX67">
        <v>110.45</v>
      </c>
      <c r="AY67">
        <v>43.45</v>
      </c>
      <c r="AZ67" s="3">
        <v>0.39157407407407407</v>
      </c>
      <c r="BA67" s="1">
        <v>45149</v>
      </c>
      <c r="BB67">
        <v>38.492595999999999</v>
      </c>
      <c r="BC67">
        <v>-1.3633850000000001</v>
      </c>
      <c r="BD67">
        <v>563.09997599999997</v>
      </c>
      <c r="BE67">
        <v>7</v>
      </c>
      <c r="BF67">
        <v>1.56</v>
      </c>
      <c r="BG67" s="3">
        <v>0.18122685185185183</v>
      </c>
      <c r="BH67" s="1">
        <v>45149</v>
      </c>
      <c r="BI67">
        <v>-0.21</v>
      </c>
      <c r="BJ67">
        <v>-2E-3</v>
      </c>
      <c r="BK67">
        <v>1E-3</v>
      </c>
      <c r="BL67">
        <v>1.0999999999999999E-2</v>
      </c>
      <c r="BM67">
        <v>-0.48399999999999999</v>
      </c>
      <c r="BN67">
        <v>-1.81</v>
      </c>
      <c r="BO67">
        <v>1.387</v>
      </c>
      <c r="BP67">
        <v>1</v>
      </c>
      <c r="BQ67">
        <v>150</v>
      </c>
      <c r="BR67">
        <v>5.0000000000000001E-3</v>
      </c>
      <c r="BS67">
        <v>2</v>
      </c>
      <c r="BT67">
        <v>0</v>
      </c>
      <c r="BU67" t="s">
        <v>200</v>
      </c>
      <c r="BV67">
        <v>7000</v>
      </c>
      <c r="BW67">
        <v>500</v>
      </c>
      <c r="BX67">
        <v>5</v>
      </c>
      <c r="BY67">
        <v>2</v>
      </c>
      <c r="BZ67">
        <v>300</v>
      </c>
      <c r="CA67">
        <v>300</v>
      </c>
      <c r="CB67">
        <v>300</v>
      </c>
      <c r="CC67">
        <v>233.38223300000001</v>
      </c>
      <c r="CD67">
        <v>25</v>
      </c>
      <c r="CE67">
        <v>-5.7884849999999997</v>
      </c>
      <c r="CF67">
        <v>233.966949</v>
      </c>
      <c r="CG67">
        <v>233.40213</v>
      </c>
      <c r="CH67">
        <v>0.56481899999999996</v>
      </c>
      <c r="CI67">
        <v>2.5256970000000001</v>
      </c>
      <c r="CJ67">
        <v>2.5366149999999998</v>
      </c>
      <c r="CK67">
        <v>1.666393</v>
      </c>
      <c r="CL67">
        <v>0.942164</v>
      </c>
      <c r="CM67">
        <v>0.20843300000000001</v>
      </c>
      <c r="CN67">
        <v>4.3781E-2</v>
      </c>
      <c r="CO67">
        <v>0.18394199999999999</v>
      </c>
      <c r="CP67">
        <v>1.7510250000000001</v>
      </c>
      <c r="CQ67">
        <v>167.00147999999999</v>
      </c>
      <c r="CR67">
        <v>3.79E-4</v>
      </c>
      <c r="CS67">
        <v>2.4333689999999999</v>
      </c>
      <c r="CT67">
        <v>-3.6000000000000001E-5</v>
      </c>
      <c r="CU67">
        <v>1</v>
      </c>
      <c r="CV67">
        <v>2.4396819999999999</v>
      </c>
      <c r="CW67">
        <v>1.1E-5</v>
      </c>
      <c r="CX67">
        <v>1</v>
      </c>
      <c r="CY67">
        <v>0.60025499999999998</v>
      </c>
      <c r="CZ67">
        <v>0.60245199999999999</v>
      </c>
      <c r="DA67">
        <v>0.106742</v>
      </c>
      <c r="DB67">
        <v>0</v>
      </c>
      <c r="DC67" t="s">
        <v>582</v>
      </c>
      <c r="DD67" t="s">
        <v>515</v>
      </c>
      <c r="DE67" t="s">
        <v>516</v>
      </c>
      <c r="DF67" t="s">
        <v>517</v>
      </c>
      <c r="DG67" t="s">
        <v>518</v>
      </c>
      <c r="DH67" t="s">
        <v>205</v>
      </c>
      <c r="DI67" t="s">
        <v>519</v>
      </c>
    </row>
    <row r="68" spans="1:113">
      <c r="A68">
        <v>8</v>
      </c>
      <c r="B68" s="3">
        <v>0.18500000000000003</v>
      </c>
      <c r="C68" s="1">
        <v>45149</v>
      </c>
      <c r="D68" t="s">
        <v>196</v>
      </c>
      <c r="E68" t="s">
        <v>197</v>
      </c>
      <c r="G68">
        <v>8</v>
      </c>
      <c r="J68">
        <v>0.219916</v>
      </c>
      <c r="K68">
        <v>2.9210609999999999</v>
      </c>
      <c r="L68">
        <v>0.20451800000000001</v>
      </c>
      <c r="M68">
        <v>5.8762270000000001</v>
      </c>
      <c r="N68">
        <v>2.7275939999999999</v>
      </c>
      <c r="O68">
        <v>2.573585</v>
      </c>
      <c r="P68">
        <v>5.3594340000000003</v>
      </c>
      <c r="Q68">
        <v>2.63184</v>
      </c>
      <c r="R68">
        <v>26.908241</v>
      </c>
      <c r="S68">
        <v>28.518488000000001</v>
      </c>
      <c r="T68">
        <v>56.035823999999998</v>
      </c>
      <c r="U68">
        <v>0.44178600000000001</v>
      </c>
      <c r="V68" t="s">
        <v>583</v>
      </c>
      <c r="W68">
        <v>0</v>
      </c>
      <c r="X68">
        <v>0</v>
      </c>
      <c r="Y68">
        <v>0</v>
      </c>
      <c r="Z68">
        <v>112.44714399999999</v>
      </c>
      <c r="AA68">
        <v>224.02024800000001</v>
      </c>
      <c r="AB68">
        <v>0.49804900000000002</v>
      </c>
      <c r="AC68">
        <v>0.5</v>
      </c>
      <c r="AD68">
        <v>0.8</v>
      </c>
      <c r="AE68">
        <v>353.660889</v>
      </c>
      <c r="AF68">
        <v>57.51</v>
      </c>
      <c r="AG68">
        <v>54.26</v>
      </c>
      <c r="AH68">
        <v>31.88</v>
      </c>
      <c r="AI68">
        <v>34.06</v>
      </c>
      <c r="AJ68">
        <v>95.64</v>
      </c>
      <c r="AK68">
        <v>156.6</v>
      </c>
      <c r="AL68">
        <v>156.1</v>
      </c>
      <c r="AM68">
        <v>0.3</v>
      </c>
      <c r="AN68">
        <v>1775</v>
      </c>
      <c r="AO68">
        <v>4.0599999999999996</v>
      </c>
      <c r="AP68">
        <v>25</v>
      </c>
      <c r="AQ68">
        <v>3</v>
      </c>
      <c r="AR68">
        <v>327</v>
      </c>
      <c r="AS68">
        <v>24.03</v>
      </c>
      <c r="AT68">
        <v>91.34</v>
      </c>
      <c r="AU68">
        <v>25.17</v>
      </c>
      <c r="AV68">
        <v>-40.07</v>
      </c>
      <c r="AW68">
        <v>15.28</v>
      </c>
      <c r="AX68">
        <v>110.68</v>
      </c>
      <c r="AY68">
        <v>43.27</v>
      </c>
      <c r="AZ68" s="3">
        <v>0.39182870370370365</v>
      </c>
      <c r="BA68" s="1">
        <v>45149</v>
      </c>
      <c r="BB68">
        <v>38.492649</v>
      </c>
      <c r="BC68">
        <v>-1.363305</v>
      </c>
      <c r="BD68">
        <v>566.79998799999998</v>
      </c>
      <c r="BE68">
        <v>8</v>
      </c>
      <c r="BF68">
        <v>1.41</v>
      </c>
      <c r="BG68" s="3">
        <v>0.18122685185185183</v>
      </c>
      <c r="BH68" s="1">
        <v>45149</v>
      </c>
      <c r="BI68">
        <v>-0.21</v>
      </c>
      <c r="BJ68">
        <v>2E-3</v>
      </c>
      <c r="BK68">
        <v>0</v>
      </c>
      <c r="BL68">
        <v>0</v>
      </c>
      <c r="BM68">
        <v>9.0999999999999998E-2</v>
      </c>
      <c r="BN68">
        <v>2.6019999999999999</v>
      </c>
      <c r="BO68">
        <v>-15.852</v>
      </c>
      <c r="BP68">
        <v>1</v>
      </c>
      <c r="BQ68">
        <v>150</v>
      </c>
      <c r="BR68">
        <v>5.0000000000000001E-3</v>
      </c>
      <c r="BS68">
        <v>2</v>
      </c>
      <c r="BT68">
        <v>0</v>
      </c>
      <c r="BU68" t="s">
        <v>200</v>
      </c>
      <c r="BV68">
        <v>7000</v>
      </c>
      <c r="BW68">
        <v>500</v>
      </c>
      <c r="BX68">
        <v>5</v>
      </c>
      <c r="BY68">
        <v>2</v>
      </c>
      <c r="BZ68">
        <v>300</v>
      </c>
      <c r="CA68">
        <v>300</v>
      </c>
      <c r="CB68">
        <v>300</v>
      </c>
      <c r="CC68">
        <v>199.95188899999999</v>
      </c>
      <c r="CD68">
        <v>25</v>
      </c>
      <c r="CE68">
        <v>-16.94088</v>
      </c>
      <c r="CF68">
        <v>196.184631</v>
      </c>
      <c r="CG68">
        <v>199.85337799999999</v>
      </c>
      <c r="CH68">
        <v>-3.6687470000000002</v>
      </c>
      <c r="CI68">
        <v>2.52271</v>
      </c>
      <c r="CJ68">
        <v>2.5361500000000001</v>
      </c>
      <c r="CK68">
        <v>1.665708</v>
      </c>
      <c r="CL68">
        <v>0.94266099999999997</v>
      </c>
      <c r="CM68">
        <v>0.207707</v>
      </c>
      <c r="CN68">
        <v>2.7525999999999998E-2</v>
      </c>
      <c r="CO68">
        <v>0.18663299999999999</v>
      </c>
      <c r="CP68">
        <v>1.6770449999999999</v>
      </c>
      <c r="CQ68">
        <v>112.44714399999999</v>
      </c>
      <c r="CR68">
        <v>3.7800000000000003E-4</v>
      </c>
      <c r="CS68">
        <v>2.4333689999999999</v>
      </c>
      <c r="CT68">
        <v>-3.6000000000000001E-5</v>
      </c>
      <c r="CU68">
        <v>1</v>
      </c>
      <c r="CV68">
        <v>2.4396819999999999</v>
      </c>
      <c r="CW68">
        <v>1.1E-5</v>
      </c>
      <c r="CX68">
        <v>1</v>
      </c>
      <c r="CY68">
        <v>0.60025499999999998</v>
      </c>
      <c r="CZ68">
        <v>0.60245199999999999</v>
      </c>
      <c r="DA68">
        <v>0.106742</v>
      </c>
      <c r="DB68">
        <v>0</v>
      </c>
      <c r="DC68" t="s">
        <v>583</v>
      </c>
      <c r="DD68" t="s">
        <v>515</v>
      </c>
      <c r="DE68" t="s">
        <v>516</v>
      </c>
      <c r="DF68" t="s">
        <v>517</v>
      </c>
      <c r="DG68" t="s">
        <v>518</v>
      </c>
      <c r="DH68" t="s">
        <v>205</v>
      </c>
      <c r="DI68" t="s">
        <v>519</v>
      </c>
    </row>
    <row r="69" spans="1:113">
      <c r="A69">
        <v>9</v>
      </c>
      <c r="B69" s="3">
        <v>0.1852314814814815</v>
      </c>
      <c r="C69" s="1">
        <v>45149</v>
      </c>
      <c r="D69" t="s">
        <v>196</v>
      </c>
      <c r="E69" t="s">
        <v>197</v>
      </c>
      <c r="G69">
        <v>9</v>
      </c>
      <c r="J69">
        <v>0.14258100000000001</v>
      </c>
      <c r="K69">
        <v>2.9219059999999999</v>
      </c>
      <c r="L69">
        <v>0.13594800000000001</v>
      </c>
      <c r="M69">
        <v>4.9138039999999998</v>
      </c>
      <c r="N69">
        <v>2.7275670000000001</v>
      </c>
      <c r="O69">
        <v>2.598865</v>
      </c>
      <c r="P69">
        <v>6.0264350000000002</v>
      </c>
      <c r="Q69">
        <v>3.2988680000000001</v>
      </c>
      <c r="R69">
        <v>27.171990999999998</v>
      </c>
      <c r="S69">
        <v>28.517609</v>
      </c>
      <c r="T69">
        <v>63.008369000000002</v>
      </c>
      <c r="U69">
        <v>0.44178600000000001</v>
      </c>
      <c r="V69" t="s">
        <v>584</v>
      </c>
      <c r="W69">
        <v>0</v>
      </c>
      <c r="X69">
        <v>0</v>
      </c>
      <c r="Y69">
        <v>0</v>
      </c>
      <c r="Z69">
        <v>129.92190600000001</v>
      </c>
      <c r="AA69">
        <v>244.10112000000001</v>
      </c>
      <c r="AB69">
        <v>0.467754</v>
      </c>
      <c r="AC69">
        <v>0.5</v>
      </c>
      <c r="AD69">
        <v>0.8</v>
      </c>
      <c r="AE69">
        <v>332.80779999999999</v>
      </c>
      <c r="AF69">
        <v>57.24</v>
      </c>
      <c r="AG69">
        <v>54.54</v>
      </c>
      <c r="AH69">
        <v>31.96</v>
      </c>
      <c r="AI69">
        <v>36.17</v>
      </c>
      <c r="AJ69">
        <v>95.64</v>
      </c>
      <c r="AK69">
        <v>156.69999999999999</v>
      </c>
      <c r="AL69">
        <v>155.9</v>
      </c>
      <c r="AM69">
        <v>0.5</v>
      </c>
      <c r="AN69">
        <v>1779</v>
      </c>
      <c r="AO69">
        <v>4.0540000000000003</v>
      </c>
      <c r="AP69">
        <v>43</v>
      </c>
      <c r="AQ69">
        <v>-6</v>
      </c>
      <c r="AR69">
        <v>281</v>
      </c>
      <c r="AS69">
        <v>0.64</v>
      </c>
      <c r="AT69">
        <v>99.99</v>
      </c>
      <c r="AU69">
        <v>43.34</v>
      </c>
      <c r="AV69">
        <v>-70.239999999999995</v>
      </c>
      <c r="AW69">
        <v>15.28</v>
      </c>
      <c r="AX69">
        <v>110.68</v>
      </c>
      <c r="AY69">
        <v>43.27</v>
      </c>
      <c r="AZ69" s="3">
        <v>0.39206018518518521</v>
      </c>
      <c r="BA69" s="1">
        <v>45149</v>
      </c>
      <c r="BB69">
        <v>38.493133999999998</v>
      </c>
      <c r="BC69">
        <v>-1.362773</v>
      </c>
      <c r="BD69">
        <v>570.90002400000003</v>
      </c>
      <c r="BE69">
        <v>8</v>
      </c>
      <c r="BF69">
        <v>1.45</v>
      </c>
      <c r="BG69" s="3">
        <v>0.18122685185185183</v>
      </c>
      <c r="BH69" s="1">
        <v>45149</v>
      </c>
      <c r="BI69">
        <v>-0.21</v>
      </c>
      <c r="BJ69">
        <v>-2E-3</v>
      </c>
      <c r="BK69">
        <v>3.0000000000000001E-3</v>
      </c>
      <c r="BL69">
        <v>-9999</v>
      </c>
      <c r="BM69">
        <v>0.11700000000000001</v>
      </c>
      <c r="BN69">
        <v>1.1200000000000001</v>
      </c>
      <c r="BO69">
        <v>-9999</v>
      </c>
      <c r="BP69">
        <v>1</v>
      </c>
      <c r="BQ69">
        <v>150</v>
      </c>
      <c r="BR69">
        <v>5.0000000000000001E-3</v>
      </c>
      <c r="BS69">
        <v>2</v>
      </c>
      <c r="BT69">
        <v>0</v>
      </c>
      <c r="BU69" t="s">
        <v>200</v>
      </c>
      <c r="BV69">
        <v>7000</v>
      </c>
      <c r="BW69">
        <v>500</v>
      </c>
      <c r="BX69">
        <v>5</v>
      </c>
      <c r="BY69">
        <v>2</v>
      </c>
      <c r="BZ69">
        <v>300</v>
      </c>
      <c r="CA69">
        <v>300</v>
      </c>
      <c r="CB69">
        <v>300</v>
      </c>
      <c r="CC69">
        <v>218.84787</v>
      </c>
      <c r="CD69">
        <v>25</v>
      </c>
      <c r="CE69">
        <v>-18.139569999999999</v>
      </c>
      <c r="CF69">
        <v>214.86067199999999</v>
      </c>
      <c r="CG69">
        <v>218.22425799999999</v>
      </c>
      <c r="CH69">
        <v>-3.3635860000000002</v>
      </c>
      <c r="CI69">
        <v>2.5231050000000002</v>
      </c>
      <c r="CJ69">
        <v>2.5357530000000001</v>
      </c>
      <c r="CK69">
        <v>1.6665989999999999</v>
      </c>
      <c r="CL69">
        <v>0.94225099999999995</v>
      </c>
      <c r="CM69">
        <v>0.20704900000000001</v>
      </c>
      <c r="CN69">
        <v>5.3531000000000002E-2</v>
      </c>
      <c r="CO69">
        <v>0.18901299999999999</v>
      </c>
      <c r="CP69">
        <v>1.6801630000000001</v>
      </c>
      <c r="CQ69">
        <v>129.92190600000001</v>
      </c>
      <c r="CR69">
        <v>3.79E-4</v>
      </c>
      <c r="CS69">
        <v>2.4333689999999999</v>
      </c>
      <c r="CT69">
        <v>-3.6000000000000001E-5</v>
      </c>
      <c r="CU69">
        <v>1</v>
      </c>
      <c r="CV69">
        <v>2.4396819999999999</v>
      </c>
      <c r="CW69">
        <v>1.1E-5</v>
      </c>
      <c r="CX69">
        <v>1</v>
      </c>
      <c r="CY69">
        <v>0.60025499999999998</v>
      </c>
      <c r="CZ69">
        <v>0.60245199999999999</v>
      </c>
      <c r="DA69">
        <v>0.106742</v>
      </c>
      <c r="DB69">
        <v>0</v>
      </c>
      <c r="DC69" t="s">
        <v>584</v>
      </c>
      <c r="DD69" t="s">
        <v>515</v>
      </c>
      <c r="DE69" t="s">
        <v>516</v>
      </c>
      <c r="DF69" t="s">
        <v>517</v>
      </c>
      <c r="DG69" t="s">
        <v>518</v>
      </c>
      <c r="DH69" t="s">
        <v>205</v>
      </c>
      <c r="DI69" t="s">
        <v>519</v>
      </c>
    </row>
    <row r="70" spans="1:113">
      <c r="A70">
        <v>10</v>
      </c>
      <c r="B70" s="3">
        <v>0.18809027777777776</v>
      </c>
      <c r="C70" s="1">
        <v>45149</v>
      </c>
      <c r="D70" t="s">
        <v>196</v>
      </c>
      <c r="E70" t="s">
        <v>197</v>
      </c>
      <c r="G70">
        <v>10</v>
      </c>
      <c r="J70">
        <v>0.191853</v>
      </c>
      <c r="K70">
        <v>2.9206500000000002</v>
      </c>
      <c r="L70">
        <v>0.18002799999999999</v>
      </c>
      <c r="M70">
        <v>5.643764</v>
      </c>
      <c r="N70">
        <v>2.6358609999999998</v>
      </c>
      <c r="O70">
        <v>2.4877150000000001</v>
      </c>
      <c r="P70">
        <v>5.5072729999999996</v>
      </c>
      <c r="Q70">
        <v>2.8714119999999999</v>
      </c>
      <c r="R70">
        <v>26.004379</v>
      </c>
      <c r="S70">
        <v>27.552965</v>
      </c>
      <c r="T70">
        <v>57.568165</v>
      </c>
      <c r="U70">
        <v>0.44178600000000001</v>
      </c>
      <c r="V70" t="s">
        <v>585</v>
      </c>
      <c r="W70">
        <v>0</v>
      </c>
      <c r="X70">
        <v>0</v>
      </c>
      <c r="Y70">
        <v>0</v>
      </c>
      <c r="Z70">
        <v>216.23074299999999</v>
      </c>
      <c r="AA70">
        <v>355.444794</v>
      </c>
      <c r="AB70">
        <v>0.39166200000000001</v>
      </c>
      <c r="AC70">
        <v>0.5</v>
      </c>
      <c r="AD70">
        <v>0.8</v>
      </c>
      <c r="AE70">
        <v>236.34826699999999</v>
      </c>
      <c r="AF70">
        <v>53.22</v>
      </c>
      <c r="AG70">
        <v>50.23</v>
      </c>
      <c r="AH70">
        <v>32.65</v>
      </c>
      <c r="AI70">
        <v>34.54</v>
      </c>
      <c r="AJ70">
        <v>95.67</v>
      </c>
      <c r="AK70">
        <v>156.6</v>
      </c>
      <c r="AL70">
        <v>156.19999999999999</v>
      </c>
      <c r="AM70">
        <v>0.3</v>
      </c>
      <c r="AN70">
        <v>1509</v>
      </c>
      <c r="AO70">
        <v>4.0540000000000003</v>
      </c>
      <c r="AP70">
        <v>32</v>
      </c>
      <c r="AQ70">
        <v>3</v>
      </c>
      <c r="AR70">
        <v>331</v>
      </c>
      <c r="AS70">
        <v>22.64</v>
      </c>
      <c r="AT70">
        <v>92.3</v>
      </c>
      <c r="AU70">
        <v>32.130000000000003</v>
      </c>
      <c r="AV70">
        <v>-34.65</v>
      </c>
      <c r="AW70">
        <v>15.28</v>
      </c>
      <c r="AX70">
        <v>111.61</v>
      </c>
      <c r="AY70">
        <v>42.54</v>
      </c>
      <c r="AZ70" s="3">
        <v>0.39491898148148147</v>
      </c>
      <c r="BA70" s="1">
        <v>45149</v>
      </c>
      <c r="BB70">
        <v>38.493094999999997</v>
      </c>
      <c r="BC70">
        <v>-1.3628020000000001</v>
      </c>
      <c r="BD70">
        <v>571.09997599999997</v>
      </c>
      <c r="BE70">
        <v>6</v>
      </c>
      <c r="BF70">
        <v>1.62</v>
      </c>
      <c r="BG70" s="3">
        <v>0.18122685185185183</v>
      </c>
      <c r="BH70" s="1">
        <v>45149</v>
      </c>
      <c r="BI70">
        <v>-0.21</v>
      </c>
      <c r="BJ70">
        <v>0</v>
      </c>
      <c r="BK70">
        <v>2E-3</v>
      </c>
      <c r="BL70">
        <v>3.0000000000000001E-3</v>
      </c>
      <c r="BM70">
        <v>2.06</v>
      </c>
      <c r="BN70">
        <v>-2.1999999999999999E-2</v>
      </c>
      <c r="BO70">
        <v>12.778</v>
      </c>
      <c r="BP70">
        <v>1</v>
      </c>
      <c r="BQ70">
        <v>150</v>
      </c>
      <c r="BR70">
        <v>5.0000000000000001E-3</v>
      </c>
      <c r="BS70">
        <v>2</v>
      </c>
      <c r="BT70">
        <v>0</v>
      </c>
      <c r="BU70" t="s">
        <v>200</v>
      </c>
      <c r="BV70">
        <v>7000</v>
      </c>
      <c r="BW70">
        <v>500</v>
      </c>
      <c r="BX70">
        <v>5</v>
      </c>
      <c r="BY70">
        <v>2</v>
      </c>
      <c r="BZ70">
        <v>300</v>
      </c>
      <c r="CA70">
        <v>300</v>
      </c>
      <c r="CB70">
        <v>300</v>
      </c>
      <c r="CC70">
        <v>339.87271099999998</v>
      </c>
      <c r="CD70">
        <v>25</v>
      </c>
      <c r="CE70">
        <v>-11.068213</v>
      </c>
      <c r="CF70">
        <v>338.010895</v>
      </c>
      <c r="CG70">
        <v>339.65551799999997</v>
      </c>
      <c r="CH70">
        <v>-1.6446229999999999</v>
      </c>
      <c r="CI70">
        <v>2.516667</v>
      </c>
      <c r="CJ70">
        <v>2.5297580000000002</v>
      </c>
      <c r="CK70">
        <v>1.6652750000000001</v>
      </c>
      <c r="CL70">
        <v>0.942855</v>
      </c>
      <c r="CM70">
        <v>0.201566</v>
      </c>
      <c r="CN70">
        <v>2.4219000000000001E-2</v>
      </c>
      <c r="CO70">
        <v>0.21759400000000001</v>
      </c>
      <c r="CP70">
        <v>1.4412160000000001</v>
      </c>
      <c r="CQ70">
        <v>216.23074299999999</v>
      </c>
      <c r="CR70">
        <v>3.7800000000000003E-4</v>
      </c>
      <c r="CS70">
        <v>2.4333689999999999</v>
      </c>
      <c r="CT70">
        <v>-3.6000000000000001E-5</v>
      </c>
      <c r="CU70">
        <v>1</v>
      </c>
      <c r="CV70">
        <v>2.4396819999999999</v>
      </c>
      <c r="CW70">
        <v>1.1E-5</v>
      </c>
      <c r="CX70">
        <v>1</v>
      </c>
      <c r="CY70">
        <v>0.60025499999999998</v>
      </c>
      <c r="CZ70">
        <v>0.60245199999999999</v>
      </c>
      <c r="DA70">
        <v>0.106742</v>
      </c>
      <c r="DB70">
        <v>0</v>
      </c>
      <c r="DC70" t="s">
        <v>585</v>
      </c>
      <c r="DD70" t="s">
        <v>515</v>
      </c>
      <c r="DE70" t="s">
        <v>516</v>
      </c>
      <c r="DF70" t="s">
        <v>517</v>
      </c>
      <c r="DG70" t="s">
        <v>518</v>
      </c>
      <c r="DH70" t="s">
        <v>205</v>
      </c>
      <c r="DI70" t="s">
        <v>519</v>
      </c>
    </row>
    <row r="71" spans="1:113">
      <c r="A71">
        <v>11</v>
      </c>
      <c r="B71" s="3">
        <v>0.18862268518518518</v>
      </c>
      <c r="C71" s="1">
        <v>45149</v>
      </c>
      <c r="D71" t="s">
        <v>196</v>
      </c>
      <c r="E71" t="s">
        <v>197</v>
      </c>
      <c r="G71">
        <v>11</v>
      </c>
      <c r="J71">
        <v>0.208228</v>
      </c>
      <c r="K71">
        <v>2.9216310000000001</v>
      </c>
      <c r="L71">
        <v>0.19437499999999999</v>
      </c>
      <c r="M71">
        <v>6.2267020000000004</v>
      </c>
      <c r="N71">
        <v>2.7286839999999999</v>
      </c>
      <c r="O71">
        <v>2.5655199999999998</v>
      </c>
      <c r="P71">
        <v>5.659033</v>
      </c>
      <c r="Q71">
        <v>2.9303490000000001</v>
      </c>
      <c r="R71">
        <v>26.816697999999999</v>
      </c>
      <c r="S71">
        <v>28.522209</v>
      </c>
      <c r="T71">
        <v>59.152366999999998</v>
      </c>
      <c r="U71">
        <v>0.44178600000000001</v>
      </c>
      <c r="V71" t="s">
        <v>586</v>
      </c>
      <c r="W71">
        <v>0</v>
      </c>
      <c r="X71">
        <v>0</v>
      </c>
      <c r="Y71">
        <v>0</v>
      </c>
      <c r="Z71">
        <v>149.25599700000001</v>
      </c>
      <c r="AA71">
        <v>276.48751800000002</v>
      </c>
      <c r="AB71">
        <v>0.460171</v>
      </c>
      <c r="AC71">
        <v>0.5</v>
      </c>
      <c r="AD71">
        <v>0.8</v>
      </c>
      <c r="AE71">
        <v>345.81860399999999</v>
      </c>
      <c r="AF71">
        <v>54.59</v>
      </c>
      <c r="AG71">
        <v>51.33</v>
      </c>
      <c r="AH71">
        <v>32.81</v>
      </c>
      <c r="AI71">
        <v>35.03</v>
      </c>
      <c r="AJ71">
        <v>95.67</v>
      </c>
      <c r="AK71">
        <v>156.69999999999999</v>
      </c>
      <c r="AL71">
        <v>155.19999999999999</v>
      </c>
      <c r="AM71">
        <v>1</v>
      </c>
      <c r="AN71">
        <v>1879</v>
      </c>
      <c r="AO71">
        <v>4.0510000000000002</v>
      </c>
      <c r="AP71">
        <v>29</v>
      </c>
      <c r="AQ71">
        <v>-1</v>
      </c>
      <c r="AR71">
        <v>297</v>
      </c>
      <c r="AS71">
        <v>13.97</v>
      </c>
      <c r="AT71">
        <v>97.04</v>
      </c>
      <c r="AU71">
        <v>29.02</v>
      </c>
      <c r="AV71">
        <v>-60.94</v>
      </c>
      <c r="AW71">
        <v>15.28</v>
      </c>
      <c r="AX71">
        <v>111.84</v>
      </c>
      <c r="AY71">
        <v>42.36</v>
      </c>
      <c r="AZ71" s="3">
        <v>0.39545138888888887</v>
      </c>
      <c r="BA71" s="1">
        <v>45149</v>
      </c>
      <c r="BB71">
        <v>38.493084000000003</v>
      </c>
      <c r="BC71">
        <v>-1.362795</v>
      </c>
      <c r="BD71">
        <v>570.79998799999998</v>
      </c>
      <c r="BE71">
        <v>8</v>
      </c>
      <c r="BF71">
        <v>1.46</v>
      </c>
      <c r="BG71" s="3">
        <v>0.1884837962962963</v>
      </c>
      <c r="BH71" s="1">
        <v>45149</v>
      </c>
      <c r="BI71">
        <v>-0.16</v>
      </c>
      <c r="BJ71">
        <v>0</v>
      </c>
      <c r="BK71">
        <v>3.0000000000000001E-3</v>
      </c>
      <c r="BL71">
        <v>1.2E-2</v>
      </c>
      <c r="BM71">
        <v>0.13</v>
      </c>
      <c r="BN71">
        <v>3.9409999999999998</v>
      </c>
      <c r="BO71">
        <v>10.612</v>
      </c>
      <c r="BP71">
        <v>1</v>
      </c>
      <c r="BQ71">
        <v>150</v>
      </c>
      <c r="BR71">
        <v>5.0000000000000001E-3</v>
      </c>
      <c r="BS71">
        <v>2</v>
      </c>
      <c r="BT71">
        <v>0</v>
      </c>
      <c r="BU71" t="s">
        <v>200</v>
      </c>
      <c r="BV71">
        <v>7000</v>
      </c>
      <c r="BW71">
        <v>500</v>
      </c>
      <c r="BX71">
        <v>5</v>
      </c>
      <c r="BY71">
        <v>2</v>
      </c>
      <c r="BZ71">
        <v>300</v>
      </c>
      <c r="CA71">
        <v>300</v>
      </c>
      <c r="CB71">
        <v>300</v>
      </c>
      <c r="CC71">
        <v>253.58891299999999</v>
      </c>
      <c r="CD71">
        <v>25</v>
      </c>
      <c r="CE71">
        <v>-16.111861999999999</v>
      </c>
      <c r="CF71">
        <v>250.77188100000001</v>
      </c>
      <c r="CG71">
        <v>253.50328099999999</v>
      </c>
      <c r="CH71">
        <v>-2.7313999999999998</v>
      </c>
      <c r="CI71">
        <v>2.5182389999999999</v>
      </c>
      <c r="CJ71">
        <v>2.5316730000000001</v>
      </c>
      <c r="CK71">
        <v>1.666309</v>
      </c>
      <c r="CL71">
        <v>0.94028500000000004</v>
      </c>
      <c r="CM71">
        <v>0.20028399999999999</v>
      </c>
      <c r="CN71">
        <v>2.8396999999999999E-2</v>
      </c>
      <c r="CO71">
        <v>0.222664</v>
      </c>
      <c r="CP71">
        <v>1.768615</v>
      </c>
      <c r="CQ71">
        <v>149.25599700000001</v>
      </c>
      <c r="CR71">
        <v>3.8000000000000002E-4</v>
      </c>
      <c r="CS71">
        <v>2.4333689999999999</v>
      </c>
      <c r="CT71">
        <v>-3.6000000000000001E-5</v>
      </c>
      <c r="CU71">
        <v>1</v>
      </c>
      <c r="CV71">
        <v>2.4396819999999999</v>
      </c>
      <c r="CW71">
        <v>1.1E-5</v>
      </c>
      <c r="CX71">
        <v>1</v>
      </c>
      <c r="CY71">
        <v>0.60025499999999998</v>
      </c>
      <c r="CZ71">
        <v>0.60245199999999999</v>
      </c>
      <c r="DA71">
        <v>0.106742</v>
      </c>
      <c r="DB71">
        <v>0</v>
      </c>
      <c r="DC71" t="s">
        <v>586</v>
      </c>
      <c r="DD71" t="s">
        <v>515</v>
      </c>
      <c r="DE71" t="s">
        <v>516</v>
      </c>
      <c r="DF71" t="s">
        <v>517</v>
      </c>
      <c r="DG71" t="s">
        <v>518</v>
      </c>
      <c r="DH71" t="s">
        <v>205</v>
      </c>
      <c r="DI71" t="s">
        <v>519</v>
      </c>
    </row>
    <row r="72" spans="1:113">
      <c r="A72">
        <v>12</v>
      </c>
      <c r="B72" s="3">
        <v>0.18890046296296295</v>
      </c>
      <c r="C72" s="1">
        <v>45149</v>
      </c>
      <c r="D72" t="s">
        <v>196</v>
      </c>
      <c r="E72" t="s">
        <v>197</v>
      </c>
      <c r="G72">
        <v>12</v>
      </c>
      <c r="J72">
        <v>5.7716999999999997E-2</v>
      </c>
      <c r="K72">
        <v>2.9215059999999999</v>
      </c>
      <c r="L72">
        <v>5.6598000000000002E-2</v>
      </c>
      <c r="M72">
        <v>2.0507499999999999</v>
      </c>
      <c r="N72">
        <v>2.5843950000000002</v>
      </c>
      <c r="O72">
        <v>2.5305659999999999</v>
      </c>
      <c r="P72">
        <v>5.8973190000000004</v>
      </c>
      <c r="Q72">
        <v>3.3129240000000002</v>
      </c>
      <c r="R72">
        <v>26.449878999999999</v>
      </c>
      <c r="S72">
        <v>27.012512000000001</v>
      </c>
      <c r="T72">
        <v>61.639724999999999</v>
      </c>
      <c r="U72">
        <v>0.44178600000000001</v>
      </c>
      <c r="V72" t="s">
        <v>587</v>
      </c>
      <c r="W72">
        <v>0</v>
      </c>
      <c r="X72">
        <v>0</v>
      </c>
      <c r="Y72">
        <v>0</v>
      </c>
      <c r="Z72">
        <v>264.10031099999998</v>
      </c>
      <c r="AA72">
        <v>350.75891100000001</v>
      </c>
      <c r="AB72">
        <v>0.24706</v>
      </c>
      <c r="AC72">
        <v>0.5</v>
      </c>
      <c r="AD72">
        <v>0.8</v>
      </c>
      <c r="AE72">
        <v>147.16355899999999</v>
      </c>
      <c r="AF72">
        <v>51.42</v>
      </c>
      <c r="AG72">
        <v>50.35</v>
      </c>
      <c r="AH72">
        <v>32.909999999999997</v>
      </c>
      <c r="AI72">
        <v>35.78</v>
      </c>
      <c r="AJ72">
        <v>95.67</v>
      </c>
      <c r="AK72">
        <v>156.69999999999999</v>
      </c>
      <c r="AL72">
        <v>155.69999999999999</v>
      </c>
      <c r="AM72">
        <v>0.6</v>
      </c>
      <c r="AN72">
        <v>1489</v>
      </c>
      <c r="AO72">
        <v>4.05</v>
      </c>
      <c r="AP72">
        <v>46</v>
      </c>
      <c r="AQ72">
        <v>0</v>
      </c>
      <c r="AR72">
        <v>339</v>
      </c>
      <c r="AS72">
        <v>32.549999999999997</v>
      </c>
      <c r="AT72">
        <v>84.29</v>
      </c>
      <c r="AU72">
        <v>46</v>
      </c>
      <c r="AV72">
        <v>-21</v>
      </c>
      <c r="AW72">
        <v>15.28</v>
      </c>
      <c r="AX72">
        <v>111.84</v>
      </c>
      <c r="AY72">
        <v>42.36</v>
      </c>
      <c r="AZ72" s="3">
        <v>0.39571759259259259</v>
      </c>
      <c r="BA72" s="1">
        <v>45149</v>
      </c>
      <c r="BB72">
        <v>38.493079999999999</v>
      </c>
      <c r="BC72">
        <v>-1.362762</v>
      </c>
      <c r="BD72">
        <v>571.20001200000002</v>
      </c>
      <c r="BE72">
        <v>9</v>
      </c>
      <c r="BF72">
        <v>1.03</v>
      </c>
      <c r="BG72" s="3">
        <v>0.1884837962962963</v>
      </c>
      <c r="BH72" s="1">
        <v>45149</v>
      </c>
      <c r="BI72">
        <v>-0.16</v>
      </c>
      <c r="BJ72">
        <v>-1E-3</v>
      </c>
      <c r="BK72">
        <v>1E-3</v>
      </c>
      <c r="BL72">
        <v>3.0000000000000001E-3</v>
      </c>
      <c r="BM72">
        <v>0.73599999999999999</v>
      </c>
      <c r="BN72">
        <v>-1.5209999999999999</v>
      </c>
      <c r="BO72">
        <v>-10.814</v>
      </c>
      <c r="BP72">
        <v>1</v>
      </c>
      <c r="BQ72">
        <v>150</v>
      </c>
      <c r="BR72">
        <v>5.0000000000000001E-3</v>
      </c>
      <c r="BS72">
        <v>2</v>
      </c>
      <c r="BT72">
        <v>0</v>
      </c>
      <c r="BU72" t="s">
        <v>200</v>
      </c>
      <c r="BV72">
        <v>7000</v>
      </c>
      <c r="BW72">
        <v>500</v>
      </c>
      <c r="BX72">
        <v>5</v>
      </c>
      <c r="BY72">
        <v>2</v>
      </c>
      <c r="BZ72">
        <v>300</v>
      </c>
      <c r="CA72">
        <v>300</v>
      </c>
      <c r="CB72">
        <v>300</v>
      </c>
      <c r="CC72">
        <v>350.75891100000001</v>
      </c>
      <c r="CD72">
        <v>25</v>
      </c>
      <c r="CE72">
        <v>3.0031310000000002</v>
      </c>
      <c r="CF72">
        <v>357.33245799999997</v>
      </c>
      <c r="CG72">
        <v>355.04299900000001</v>
      </c>
      <c r="CH72">
        <v>2.2894589999999999</v>
      </c>
      <c r="CI72">
        <v>2.5167839999999999</v>
      </c>
      <c r="CJ72">
        <v>2.5270060000000001</v>
      </c>
      <c r="CK72">
        <v>1.6661779999999999</v>
      </c>
      <c r="CL72">
        <v>0.94169700000000001</v>
      </c>
      <c r="CM72">
        <v>0.19950799999999999</v>
      </c>
      <c r="CN72">
        <v>3.6681999999999999E-2</v>
      </c>
      <c r="CO72">
        <v>0.22530900000000001</v>
      </c>
      <c r="CP72">
        <v>1.4239850000000001</v>
      </c>
      <c r="CQ72">
        <v>264.10031099999998</v>
      </c>
      <c r="CR72">
        <v>3.7199999999999999E-4</v>
      </c>
      <c r="CS72">
        <v>2.4333689999999999</v>
      </c>
      <c r="CT72">
        <v>-3.6000000000000001E-5</v>
      </c>
      <c r="CU72">
        <v>1</v>
      </c>
      <c r="CV72">
        <v>2.4396819999999999</v>
      </c>
      <c r="CW72">
        <v>1.1E-5</v>
      </c>
      <c r="CX72">
        <v>1</v>
      </c>
      <c r="CY72">
        <v>0.60025499999999998</v>
      </c>
      <c r="CZ72">
        <v>0.60245199999999999</v>
      </c>
      <c r="DA72">
        <v>0.106742</v>
      </c>
      <c r="DB72">
        <v>0</v>
      </c>
      <c r="DC72" t="s">
        <v>587</v>
      </c>
      <c r="DD72" t="s">
        <v>515</v>
      </c>
      <c r="DE72" t="s">
        <v>516</v>
      </c>
      <c r="DF72" t="s">
        <v>517</v>
      </c>
      <c r="DG72" t="s">
        <v>518</v>
      </c>
      <c r="DH72" t="s">
        <v>205</v>
      </c>
      <c r="DI72" t="s">
        <v>519</v>
      </c>
    </row>
    <row r="73" spans="1:113">
      <c r="A73">
        <v>13</v>
      </c>
      <c r="B73" s="3">
        <v>0.18917824074074074</v>
      </c>
      <c r="C73" s="1">
        <v>45149</v>
      </c>
      <c r="D73" t="s">
        <v>196</v>
      </c>
      <c r="E73" t="s">
        <v>197</v>
      </c>
      <c r="G73">
        <v>13</v>
      </c>
      <c r="J73">
        <v>9.0418999999999999E-2</v>
      </c>
      <c r="K73">
        <v>2.9228429999999999</v>
      </c>
      <c r="L73">
        <v>8.7706000000000006E-2</v>
      </c>
      <c r="M73">
        <v>3.2510520000000001</v>
      </c>
      <c r="N73">
        <v>2.6657280000000001</v>
      </c>
      <c r="O73">
        <v>2.5805570000000002</v>
      </c>
      <c r="P73">
        <v>6.0505909999999998</v>
      </c>
      <c r="Q73">
        <v>3.3848639999999999</v>
      </c>
      <c r="R73">
        <v>26.972321999999998</v>
      </c>
      <c r="S73">
        <v>27.862542999999999</v>
      </c>
      <c r="T73">
        <v>63.241585000000001</v>
      </c>
      <c r="U73">
        <v>0.44178600000000001</v>
      </c>
      <c r="V73" t="s">
        <v>588</v>
      </c>
      <c r="W73">
        <v>0</v>
      </c>
      <c r="X73">
        <v>0</v>
      </c>
      <c r="Y73">
        <v>0</v>
      </c>
      <c r="Z73">
        <v>224.96402</v>
      </c>
      <c r="AA73">
        <v>296.483093</v>
      </c>
      <c r="AB73">
        <v>0.24122499999999999</v>
      </c>
      <c r="AC73">
        <v>0.5</v>
      </c>
      <c r="AD73">
        <v>0.8</v>
      </c>
      <c r="AE73">
        <v>167.662567</v>
      </c>
      <c r="AF73">
        <v>52.77</v>
      </c>
      <c r="AG73">
        <v>51.08</v>
      </c>
      <c r="AH73">
        <v>33</v>
      </c>
      <c r="AI73">
        <v>36.25</v>
      </c>
      <c r="AJ73">
        <v>95.67</v>
      </c>
      <c r="AK73">
        <v>156.80000000000001</v>
      </c>
      <c r="AL73">
        <v>156.1</v>
      </c>
      <c r="AM73">
        <v>0.5</v>
      </c>
      <c r="AN73">
        <v>1738</v>
      </c>
      <c r="AO73">
        <v>4.0469999999999997</v>
      </c>
      <c r="AP73">
        <v>55</v>
      </c>
      <c r="AQ73">
        <v>-15</v>
      </c>
      <c r="AR73">
        <v>280</v>
      </c>
      <c r="AS73">
        <v>14.89</v>
      </c>
      <c r="AT73">
        <v>96.64</v>
      </c>
      <c r="AU73">
        <v>56.36</v>
      </c>
      <c r="AV73">
        <v>-61.89</v>
      </c>
      <c r="AW73">
        <v>15.28</v>
      </c>
      <c r="AX73">
        <v>112.08</v>
      </c>
      <c r="AY73">
        <v>42.18</v>
      </c>
      <c r="AZ73" s="3">
        <v>0.39600694444444445</v>
      </c>
      <c r="BA73" s="1">
        <v>45149</v>
      </c>
      <c r="BB73">
        <v>38.493262999999999</v>
      </c>
      <c r="BC73">
        <v>-1.362552</v>
      </c>
      <c r="BD73">
        <v>566</v>
      </c>
      <c r="BE73">
        <v>9</v>
      </c>
      <c r="BF73">
        <v>1.03</v>
      </c>
      <c r="BG73" s="3">
        <v>0.1884837962962963</v>
      </c>
      <c r="BH73" s="1">
        <v>45149</v>
      </c>
      <c r="BI73">
        <v>-0.16</v>
      </c>
      <c r="BJ73">
        <v>2E-3</v>
      </c>
      <c r="BK73">
        <v>2E-3</v>
      </c>
      <c r="BL73">
        <v>0</v>
      </c>
      <c r="BM73">
        <v>-2.5019999999999998</v>
      </c>
      <c r="BN73">
        <v>-4.5469999999999997</v>
      </c>
      <c r="BO73">
        <v>-13.375999999999999</v>
      </c>
      <c r="BP73">
        <v>1</v>
      </c>
      <c r="BQ73">
        <v>150</v>
      </c>
      <c r="BR73">
        <v>5.0000000000000001E-3</v>
      </c>
      <c r="BS73">
        <v>2</v>
      </c>
      <c r="BT73">
        <v>0</v>
      </c>
      <c r="BU73" t="s">
        <v>200</v>
      </c>
      <c r="BV73">
        <v>7000</v>
      </c>
      <c r="BW73">
        <v>500</v>
      </c>
      <c r="BX73">
        <v>5</v>
      </c>
      <c r="BY73">
        <v>2</v>
      </c>
      <c r="BZ73">
        <v>300</v>
      </c>
      <c r="CA73">
        <v>300</v>
      </c>
      <c r="CB73">
        <v>300</v>
      </c>
      <c r="CC73">
        <v>295.20034800000002</v>
      </c>
      <c r="CD73">
        <v>25</v>
      </c>
      <c r="CE73">
        <v>-0.79790700000000003</v>
      </c>
      <c r="CF73">
        <v>298.62606799999998</v>
      </c>
      <c r="CG73">
        <v>295.34484900000001</v>
      </c>
      <c r="CH73">
        <v>3.2812190000000001</v>
      </c>
      <c r="CI73">
        <v>2.5178419999999999</v>
      </c>
      <c r="CJ73">
        <v>2.5289739999999998</v>
      </c>
      <c r="CK73">
        <v>1.6675899999999999</v>
      </c>
      <c r="CL73">
        <v>0.942581</v>
      </c>
      <c r="CM73">
        <v>0.19880999999999999</v>
      </c>
      <c r="CN73">
        <v>4.1555000000000002E-2</v>
      </c>
      <c r="CO73">
        <v>0.227906</v>
      </c>
      <c r="CP73">
        <v>1.6437740000000001</v>
      </c>
      <c r="CQ73">
        <v>224.96402</v>
      </c>
      <c r="CR73">
        <v>3.7800000000000003E-4</v>
      </c>
      <c r="CS73">
        <v>2.4333689999999999</v>
      </c>
      <c r="CT73">
        <v>-3.6000000000000001E-5</v>
      </c>
      <c r="CU73">
        <v>1</v>
      </c>
      <c r="CV73">
        <v>2.4396819999999999</v>
      </c>
      <c r="CW73">
        <v>1.1E-5</v>
      </c>
      <c r="CX73">
        <v>1</v>
      </c>
      <c r="CY73">
        <v>0.60025499999999998</v>
      </c>
      <c r="CZ73">
        <v>0.60245199999999999</v>
      </c>
      <c r="DA73">
        <v>0.106742</v>
      </c>
      <c r="DB73">
        <v>0</v>
      </c>
      <c r="DC73" t="s">
        <v>588</v>
      </c>
      <c r="DD73" t="s">
        <v>515</v>
      </c>
      <c r="DE73" t="s">
        <v>516</v>
      </c>
      <c r="DF73" t="s">
        <v>517</v>
      </c>
      <c r="DG73" t="s">
        <v>518</v>
      </c>
      <c r="DH73" t="s">
        <v>205</v>
      </c>
      <c r="DI73" t="s">
        <v>519</v>
      </c>
    </row>
    <row r="74" spans="1:113">
      <c r="A74">
        <v>14</v>
      </c>
      <c r="B74" s="3">
        <v>0.19137731481481482</v>
      </c>
      <c r="C74" s="1">
        <v>45149</v>
      </c>
      <c r="D74" t="s">
        <v>196</v>
      </c>
      <c r="E74" t="s">
        <v>197</v>
      </c>
      <c r="G74">
        <v>14</v>
      </c>
      <c r="J74">
        <v>5.1812999999999998E-2</v>
      </c>
      <c r="K74">
        <v>2.9208120000000002</v>
      </c>
      <c r="L74">
        <v>5.0909999999999997E-2</v>
      </c>
      <c r="M74">
        <v>2.1970079999999998</v>
      </c>
      <c r="N74">
        <v>2.542421</v>
      </c>
      <c r="O74">
        <v>2.4846870000000001</v>
      </c>
      <c r="P74">
        <v>6.4771570000000001</v>
      </c>
      <c r="Q74">
        <v>3.934736</v>
      </c>
      <c r="R74">
        <v>25.966747000000002</v>
      </c>
      <c r="S74">
        <v>26.570114</v>
      </c>
      <c r="T74">
        <v>67.690910000000002</v>
      </c>
      <c r="U74">
        <v>0.44178600000000001</v>
      </c>
      <c r="V74" t="s">
        <v>589</v>
      </c>
      <c r="W74">
        <v>0</v>
      </c>
      <c r="X74">
        <v>0</v>
      </c>
      <c r="Y74">
        <v>0</v>
      </c>
      <c r="Z74">
        <v>97.590926999999994</v>
      </c>
      <c r="AA74">
        <v>143.62600699999999</v>
      </c>
      <c r="AB74">
        <v>0.32052000000000003</v>
      </c>
      <c r="AC74">
        <v>0.5</v>
      </c>
      <c r="AD74">
        <v>0.8</v>
      </c>
      <c r="AE74">
        <v>226.49101300000001</v>
      </c>
      <c r="AF74">
        <v>49.08</v>
      </c>
      <c r="AG74">
        <v>47.97</v>
      </c>
      <c r="AH74">
        <v>33.450000000000003</v>
      </c>
      <c r="AI74">
        <v>37.49</v>
      </c>
      <c r="AJ74">
        <v>95.69</v>
      </c>
      <c r="AK74">
        <v>156.6</v>
      </c>
      <c r="AL74">
        <v>155.69999999999999</v>
      </c>
      <c r="AM74">
        <v>0.5</v>
      </c>
      <c r="AN74">
        <v>1767</v>
      </c>
      <c r="AO74">
        <v>4.0449999999999999</v>
      </c>
      <c r="AP74">
        <v>32</v>
      </c>
      <c r="AQ74">
        <v>-7</v>
      </c>
      <c r="AR74">
        <v>224</v>
      </c>
      <c r="AS74">
        <v>33.799999999999997</v>
      </c>
      <c r="AT74">
        <v>83.1</v>
      </c>
      <c r="AU74">
        <v>32.68</v>
      </c>
      <c r="AV74">
        <v>-122.95</v>
      </c>
      <c r="AW74">
        <v>15.28</v>
      </c>
      <c r="AX74">
        <v>112.8</v>
      </c>
      <c r="AY74">
        <v>41.63</v>
      </c>
      <c r="AZ74" s="3">
        <v>0.3982060185185185</v>
      </c>
      <c r="BA74" s="1">
        <v>45149</v>
      </c>
      <c r="BB74">
        <v>38.493279000000001</v>
      </c>
      <c r="BC74">
        <v>-1.36252</v>
      </c>
      <c r="BD74">
        <v>567.20001200000002</v>
      </c>
      <c r="BE74">
        <v>10</v>
      </c>
      <c r="BF74">
        <v>0.9</v>
      </c>
      <c r="BG74" s="3">
        <v>0.1884837962962963</v>
      </c>
      <c r="BH74" s="1">
        <v>45149</v>
      </c>
      <c r="BI74">
        <v>-0.16</v>
      </c>
      <c r="BJ74">
        <v>0</v>
      </c>
      <c r="BK74">
        <v>0</v>
      </c>
      <c r="BL74">
        <v>-9999</v>
      </c>
      <c r="BM74">
        <v>-0.121</v>
      </c>
      <c r="BN74">
        <v>1.2370000000000001</v>
      </c>
      <c r="BO74">
        <v>-9999</v>
      </c>
      <c r="BP74">
        <v>1</v>
      </c>
      <c r="BQ74">
        <v>150</v>
      </c>
      <c r="BR74">
        <v>5.0000000000000001E-3</v>
      </c>
      <c r="BS74">
        <v>2</v>
      </c>
      <c r="BT74">
        <v>0</v>
      </c>
      <c r="BU74" t="s">
        <v>200</v>
      </c>
      <c r="BV74">
        <v>7000</v>
      </c>
      <c r="BW74">
        <v>500</v>
      </c>
      <c r="BX74">
        <v>5</v>
      </c>
      <c r="BY74">
        <v>2</v>
      </c>
      <c r="BZ74">
        <v>300</v>
      </c>
      <c r="CA74">
        <v>300</v>
      </c>
      <c r="CB74">
        <v>300</v>
      </c>
      <c r="CC74">
        <v>132.189987</v>
      </c>
      <c r="CD74">
        <v>25</v>
      </c>
      <c r="CE74">
        <v>-8.2014209999999999</v>
      </c>
      <c r="CF74">
        <v>129.627579</v>
      </c>
      <c r="CG74">
        <v>131.926331</v>
      </c>
      <c r="CH74">
        <v>-2.2987519999999999</v>
      </c>
      <c r="CI74">
        <v>2.513191</v>
      </c>
      <c r="CJ74">
        <v>2.5234899999999998</v>
      </c>
      <c r="CK74">
        <v>1.6654450000000001</v>
      </c>
      <c r="CL74">
        <v>0.94177999999999995</v>
      </c>
      <c r="CM74">
        <v>0.19536899999999999</v>
      </c>
      <c r="CN74">
        <v>5.2128000000000001E-2</v>
      </c>
      <c r="CO74">
        <v>0.24768599999999999</v>
      </c>
      <c r="CP74">
        <v>1.6693990000000001</v>
      </c>
      <c r="CQ74">
        <v>97.590926999999994</v>
      </c>
      <c r="CR74">
        <v>3.77E-4</v>
      </c>
      <c r="CS74">
        <v>2.4333689999999999</v>
      </c>
      <c r="CT74">
        <v>-3.6000000000000001E-5</v>
      </c>
      <c r="CU74">
        <v>1</v>
      </c>
      <c r="CV74">
        <v>2.4396819999999999</v>
      </c>
      <c r="CW74">
        <v>1.1E-5</v>
      </c>
      <c r="CX74">
        <v>1</v>
      </c>
      <c r="CY74">
        <v>0.60025499999999998</v>
      </c>
      <c r="CZ74">
        <v>0.60245199999999999</v>
      </c>
      <c r="DA74">
        <v>0.106742</v>
      </c>
      <c r="DB74">
        <v>0</v>
      </c>
      <c r="DC74" t="s">
        <v>589</v>
      </c>
      <c r="DD74" t="s">
        <v>515</v>
      </c>
      <c r="DE74" t="s">
        <v>516</v>
      </c>
      <c r="DF74" t="s">
        <v>517</v>
      </c>
      <c r="DG74" t="s">
        <v>518</v>
      </c>
      <c r="DH74" t="s">
        <v>205</v>
      </c>
      <c r="DI74" t="s">
        <v>519</v>
      </c>
    </row>
    <row r="75" spans="1:113">
      <c r="A75">
        <v>15</v>
      </c>
      <c r="B75" s="3">
        <v>0.19155092592592593</v>
      </c>
      <c r="C75" s="1">
        <v>45149</v>
      </c>
      <c r="D75" t="s">
        <v>196</v>
      </c>
      <c r="E75" t="s">
        <v>197</v>
      </c>
      <c r="G75">
        <v>15</v>
      </c>
      <c r="J75">
        <v>0.17929300000000001</v>
      </c>
      <c r="K75">
        <v>2.9213360000000002</v>
      </c>
      <c r="L75">
        <v>0.16892499999999999</v>
      </c>
      <c r="M75">
        <v>4.6403179999999997</v>
      </c>
      <c r="N75">
        <v>2.674677</v>
      </c>
      <c r="O75">
        <v>2.5529570000000001</v>
      </c>
      <c r="P75">
        <v>5.1951260000000001</v>
      </c>
      <c r="Q75">
        <v>2.5204490000000002</v>
      </c>
      <c r="R75">
        <v>26.679801999999999</v>
      </c>
      <c r="S75">
        <v>27.951841000000002</v>
      </c>
      <c r="T75">
        <v>54.291916000000001</v>
      </c>
      <c r="U75">
        <v>0.44178600000000001</v>
      </c>
      <c r="V75" t="s">
        <v>590</v>
      </c>
      <c r="W75">
        <v>0</v>
      </c>
      <c r="X75">
        <v>0</v>
      </c>
      <c r="Y75">
        <v>0</v>
      </c>
      <c r="Z75">
        <v>89.807152000000002</v>
      </c>
      <c r="AA75">
        <v>272.970978</v>
      </c>
      <c r="AB75">
        <v>0.67100099999999996</v>
      </c>
      <c r="AC75">
        <v>0.5</v>
      </c>
      <c r="AD75">
        <v>0.8</v>
      </c>
      <c r="AE75">
        <v>464.61654700000003</v>
      </c>
      <c r="AF75">
        <v>51.52</v>
      </c>
      <c r="AG75">
        <v>49.18</v>
      </c>
      <c r="AH75">
        <v>33.479999999999997</v>
      </c>
      <c r="AI75">
        <v>33.5</v>
      </c>
      <c r="AJ75">
        <v>95.69</v>
      </c>
      <c r="AK75">
        <v>156.69999999999999</v>
      </c>
      <c r="AL75">
        <v>155.9</v>
      </c>
      <c r="AM75">
        <v>0.5</v>
      </c>
      <c r="AN75">
        <v>1731</v>
      </c>
      <c r="AO75">
        <v>4.0449999999999999</v>
      </c>
      <c r="AP75">
        <v>-6</v>
      </c>
      <c r="AQ75">
        <v>-14</v>
      </c>
      <c r="AR75">
        <v>183</v>
      </c>
      <c r="AS75">
        <v>26.45</v>
      </c>
      <c r="AT75">
        <v>89.53</v>
      </c>
      <c r="AU75">
        <v>15.21</v>
      </c>
      <c r="AV75">
        <v>-64.25</v>
      </c>
      <c r="AW75">
        <v>15.28</v>
      </c>
      <c r="AX75">
        <v>112.8</v>
      </c>
      <c r="AY75">
        <v>41.63</v>
      </c>
      <c r="AZ75" s="3">
        <v>0.39837962962962964</v>
      </c>
      <c r="BA75" s="1">
        <v>45149</v>
      </c>
      <c r="BB75">
        <v>38.493290000000002</v>
      </c>
      <c r="BC75">
        <v>-1.362528</v>
      </c>
      <c r="BD75">
        <v>566.5</v>
      </c>
      <c r="BE75">
        <v>10</v>
      </c>
      <c r="BF75">
        <v>0.9</v>
      </c>
      <c r="BG75" s="3">
        <v>0.1884837962962963</v>
      </c>
      <c r="BH75" s="1">
        <v>45149</v>
      </c>
      <c r="BI75">
        <v>-0.16</v>
      </c>
      <c r="BJ75">
        <v>0</v>
      </c>
      <c r="BK75">
        <v>-1E-3</v>
      </c>
      <c r="BL75">
        <v>5.0000000000000001E-3</v>
      </c>
      <c r="BM75">
        <v>6.2E-2</v>
      </c>
      <c r="BN75">
        <v>1.232</v>
      </c>
      <c r="BO75">
        <v>-5.8639999999999999</v>
      </c>
      <c r="BP75">
        <v>1</v>
      </c>
      <c r="BQ75">
        <v>150</v>
      </c>
      <c r="BR75">
        <v>5.0000000000000001E-3</v>
      </c>
      <c r="BS75">
        <v>2</v>
      </c>
      <c r="BT75">
        <v>0</v>
      </c>
      <c r="BU75" t="s">
        <v>200</v>
      </c>
      <c r="BV75">
        <v>7000</v>
      </c>
      <c r="BW75">
        <v>500</v>
      </c>
      <c r="BX75">
        <v>5</v>
      </c>
      <c r="BY75">
        <v>2</v>
      </c>
      <c r="BZ75">
        <v>300</v>
      </c>
      <c r="CA75">
        <v>300</v>
      </c>
      <c r="CB75">
        <v>300</v>
      </c>
      <c r="CC75">
        <v>245.036957</v>
      </c>
      <c r="CD75">
        <v>25</v>
      </c>
      <c r="CE75">
        <v>-20.048324999999998</v>
      </c>
      <c r="CF75">
        <v>246.572968</v>
      </c>
      <c r="CG75">
        <v>244.37120100000001</v>
      </c>
      <c r="CH75">
        <v>2.2017669999999998</v>
      </c>
      <c r="CI75">
        <v>2.5149590000000002</v>
      </c>
      <c r="CJ75">
        <v>2.527072</v>
      </c>
      <c r="CK75">
        <v>1.6659980000000001</v>
      </c>
      <c r="CL75">
        <v>0.942106</v>
      </c>
      <c r="CM75">
        <v>0.195075</v>
      </c>
      <c r="CN75">
        <v>7.36E-4</v>
      </c>
      <c r="CO75">
        <v>0.24910299999999999</v>
      </c>
      <c r="CP75">
        <v>1.6379710000000001</v>
      </c>
      <c r="CQ75">
        <v>89.807152000000002</v>
      </c>
      <c r="CR75">
        <v>3.7199999999999999E-4</v>
      </c>
      <c r="CS75">
        <v>2.4333689999999999</v>
      </c>
      <c r="CT75">
        <v>-3.6000000000000001E-5</v>
      </c>
      <c r="CU75">
        <v>1</v>
      </c>
      <c r="CV75">
        <v>2.4396819999999999</v>
      </c>
      <c r="CW75">
        <v>1.1E-5</v>
      </c>
      <c r="CX75">
        <v>1</v>
      </c>
      <c r="CY75">
        <v>0.60025499999999998</v>
      </c>
      <c r="CZ75">
        <v>0.60245199999999999</v>
      </c>
      <c r="DA75">
        <v>0.106742</v>
      </c>
      <c r="DB75">
        <v>0</v>
      </c>
      <c r="DC75" t="s">
        <v>590</v>
      </c>
      <c r="DD75" t="s">
        <v>515</v>
      </c>
      <c r="DE75" t="s">
        <v>516</v>
      </c>
      <c r="DF75" t="s">
        <v>517</v>
      </c>
      <c r="DG75" t="s">
        <v>518</v>
      </c>
      <c r="DH75" t="s">
        <v>205</v>
      </c>
      <c r="DI75" t="s">
        <v>519</v>
      </c>
    </row>
    <row r="76" spans="1:113">
      <c r="A76">
        <v>16</v>
      </c>
      <c r="B76" s="3">
        <v>0.1917824074074074</v>
      </c>
      <c r="C76" s="1">
        <v>45149</v>
      </c>
      <c r="D76" t="s">
        <v>196</v>
      </c>
      <c r="E76" t="s">
        <v>197</v>
      </c>
      <c r="G76">
        <v>16</v>
      </c>
      <c r="J76">
        <v>0.17754700000000001</v>
      </c>
      <c r="K76">
        <v>2.9199169999999999</v>
      </c>
      <c r="L76">
        <v>0.16736999999999999</v>
      </c>
      <c r="M76">
        <v>5.3344009999999997</v>
      </c>
      <c r="N76">
        <v>2.6309990000000001</v>
      </c>
      <c r="O76">
        <v>2.490863</v>
      </c>
      <c r="P76">
        <v>5.5501379999999996</v>
      </c>
      <c r="Q76">
        <v>2.9191389999999999</v>
      </c>
      <c r="R76">
        <v>26.033197000000001</v>
      </c>
      <c r="S76">
        <v>27.497827999999998</v>
      </c>
      <c r="T76">
        <v>58.007148999999998</v>
      </c>
      <c r="U76">
        <v>0.44178600000000001</v>
      </c>
      <c r="V76" t="s">
        <v>591</v>
      </c>
      <c r="W76">
        <v>0</v>
      </c>
      <c r="X76">
        <v>0</v>
      </c>
      <c r="Y76">
        <v>0</v>
      </c>
      <c r="Z76">
        <v>136.797302</v>
      </c>
      <c r="AA76">
        <v>275.16265900000002</v>
      </c>
      <c r="AB76">
        <v>0.50284899999999999</v>
      </c>
      <c r="AC76">
        <v>0.5</v>
      </c>
      <c r="AD76">
        <v>0.8</v>
      </c>
      <c r="AE76">
        <v>288.709137</v>
      </c>
      <c r="AF76">
        <v>50.56</v>
      </c>
      <c r="AG76">
        <v>47.87</v>
      </c>
      <c r="AH76">
        <v>33.53</v>
      </c>
      <c r="AI76">
        <v>34.68</v>
      </c>
      <c r="AJ76">
        <v>95.68</v>
      </c>
      <c r="AK76">
        <v>156.5</v>
      </c>
      <c r="AL76">
        <v>145.6</v>
      </c>
      <c r="AM76">
        <v>7</v>
      </c>
      <c r="AN76">
        <v>1435</v>
      </c>
      <c r="AO76">
        <v>4.0449999999999999</v>
      </c>
      <c r="AP76">
        <v>44</v>
      </c>
      <c r="AQ76">
        <v>-35</v>
      </c>
      <c r="AR76">
        <v>189</v>
      </c>
      <c r="AS76">
        <v>44.06</v>
      </c>
      <c r="AT76">
        <v>71.86</v>
      </c>
      <c r="AU76">
        <v>53.9</v>
      </c>
      <c r="AV76">
        <v>-125.77</v>
      </c>
      <c r="AW76">
        <v>15.28</v>
      </c>
      <c r="AX76">
        <v>113.04</v>
      </c>
      <c r="AY76">
        <v>41.45</v>
      </c>
      <c r="AZ76" s="3">
        <v>0.39861111111111108</v>
      </c>
      <c r="BA76" s="1">
        <v>45149</v>
      </c>
      <c r="BB76">
        <v>38.493304999999999</v>
      </c>
      <c r="BC76">
        <v>-1.3624780000000001</v>
      </c>
      <c r="BD76">
        <v>567.70001200000002</v>
      </c>
      <c r="BE76">
        <v>9</v>
      </c>
      <c r="BF76">
        <v>0.99</v>
      </c>
      <c r="BG76" s="3">
        <v>0.1884837962962963</v>
      </c>
      <c r="BH76" s="1">
        <v>45149</v>
      </c>
      <c r="BI76">
        <v>-0.16</v>
      </c>
      <c r="BJ76">
        <v>0</v>
      </c>
      <c r="BK76">
        <v>1E-3</v>
      </c>
      <c r="BL76">
        <v>-3.0000000000000001E-3</v>
      </c>
      <c r="BM76">
        <v>-2.3050000000000002</v>
      </c>
      <c r="BN76">
        <v>-0.39</v>
      </c>
      <c r="BO76">
        <v>10.867000000000001</v>
      </c>
      <c r="BP76">
        <v>1</v>
      </c>
      <c r="BQ76">
        <v>150</v>
      </c>
      <c r="BR76">
        <v>5.0000000000000001E-3</v>
      </c>
      <c r="BS76">
        <v>2</v>
      </c>
      <c r="BT76">
        <v>0</v>
      </c>
      <c r="BU76" t="s">
        <v>200</v>
      </c>
      <c r="BV76">
        <v>7000</v>
      </c>
      <c r="BW76">
        <v>500</v>
      </c>
      <c r="BX76">
        <v>5</v>
      </c>
      <c r="BY76">
        <v>2</v>
      </c>
      <c r="BZ76">
        <v>300</v>
      </c>
      <c r="CA76">
        <v>300</v>
      </c>
      <c r="CB76">
        <v>300</v>
      </c>
      <c r="CC76">
        <v>246.27435299999999</v>
      </c>
      <c r="CD76">
        <v>25</v>
      </c>
      <c r="CE76">
        <v>-20.998127</v>
      </c>
      <c r="CF76">
        <v>239.382858</v>
      </c>
      <c r="CG76">
        <v>245.20794699999999</v>
      </c>
      <c r="CH76">
        <v>-5.8250890000000002</v>
      </c>
      <c r="CI76">
        <v>2.5130249999999998</v>
      </c>
      <c r="CJ76">
        <v>2.525649</v>
      </c>
      <c r="CK76">
        <v>1.6645049999999999</v>
      </c>
      <c r="CL76">
        <v>0.91589100000000001</v>
      </c>
      <c r="CM76">
        <v>0.194742</v>
      </c>
      <c r="CN76">
        <v>1.5034E-2</v>
      </c>
      <c r="CO76">
        <v>0.25113000000000002</v>
      </c>
      <c r="CP76">
        <v>1.3764130000000001</v>
      </c>
      <c r="CQ76">
        <v>136.797302</v>
      </c>
      <c r="CR76">
        <v>3.7399999999999998E-4</v>
      </c>
      <c r="CS76">
        <v>2.4333689999999999</v>
      </c>
      <c r="CT76">
        <v>-3.6000000000000001E-5</v>
      </c>
      <c r="CU76">
        <v>1</v>
      </c>
      <c r="CV76">
        <v>2.4396819999999999</v>
      </c>
      <c r="CW76">
        <v>1.1E-5</v>
      </c>
      <c r="CX76">
        <v>1</v>
      </c>
      <c r="CY76">
        <v>0.60025499999999998</v>
      </c>
      <c r="CZ76">
        <v>0.60245199999999999</v>
      </c>
      <c r="DA76">
        <v>0.106742</v>
      </c>
      <c r="DB76">
        <v>0</v>
      </c>
      <c r="DC76" t="s">
        <v>591</v>
      </c>
      <c r="DD76" t="s">
        <v>515</v>
      </c>
      <c r="DE76" t="s">
        <v>516</v>
      </c>
      <c r="DF76" t="s">
        <v>517</v>
      </c>
      <c r="DG76" t="s">
        <v>518</v>
      </c>
      <c r="DH76" t="s">
        <v>205</v>
      </c>
      <c r="DI76" t="s">
        <v>519</v>
      </c>
    </row>
    <row r="77" spans="1:113">
      <c r="A77">
        <v>17</v>
      </c>
      <c r="B77" s="3">
        <v>0.19202546296296297</v>
      </c>
      <c r="C77" s="1">
        <v>45149</v>
      </c>
      <c r="D77" t="s">
        <v>196</v>
      </c>
      <c r="E77" t="s">
        <v>197</v>
      </c>
      <c r="G77">
        <v>17</v>
      </c>
      <c r="J77">
        <v>0.17194499999999999</v>
      </c>
      <c r="K77">
        <v>2.921532</v>
      </c>
      <c r="L77">
        <v>0.162388</v>
      </c>
      <c r="M77">
        <v>4.689063</v>
      </c>
      <c r="N77">
        <v>2.7179929999999999</v>
      </c>
      <c r="O77">
        <v>2.5950660000000001</v>
      </c>
      <c r="P77">
        <v>5.3644920000000003</v>
      </c>
      <c r="Q77">
        <v>2.6464989999999999</v>
      </c>
      <c r="R77">
        <v>27.118801000000001</v>
      </c>
      <c r="S77">
        <v>28.403406</v>
      </c>
      <c r="T77">
        <v>56.059691999999998</v>
      </c>
      <c r="U77">
        <v>0.44178600000000001</v>
      </c>
      <c r="V77" t="s">
        <v>592</v>
      </c>
      <c r="W77">
        <v>0</v>
      </c>
      <c r="X77">
        <v>0</v>
      </c>
      <c r="Y77">
        <v>0</v>
      </c>
      <c r="Z77">
        <v>119.689819</v>
      </c>
      <c r="AA77">
        <v>317.90219100000002</v>
      </c>
      <c r="AB77">
        <v>0.62350099999999997</v>
      </c>
      <c r="AC77">
        <v>0.5</v>
      </c>
      <c r="AD77">
        <v>0.8</v>
      </c>
      <c r="AE77">
        <v>405.66058299999997</v>
      </c>
      <c r="AF77">
        <v>52.14</v>
      </c>
      <c r="AG77">
        <v>49.79</v>
      </c>
      <c r="AH77">
        <v>33.56</v>
      </c>
      <c r="AI77">
        <v>34.07</v>
      </c>
      <c r="AJ77">
        <v>95.69</v>
      </c>
      <c r="AK77">
        <v>156.69999999999999</v>
      </c>
      <c r="AL77">
        <v>156</v>
      </c>
      <c r="AM77">
        <v>0.5</v>
      </c>
      <c r="AN77">
        <v>1627</v>
      </c>
      <c r="AO77">
        <v>4.0449999999999999</v>
      </c>
      <c r="AP77">
        <v>-5</v>
      </c>
      <c r="AQ77">
        <v>-17</v>
      </c>
      <c r="AR77">
        <v>240</v>
      </c>
      <c r="AS77">
        <v>33.33</v>
      </c>
      <c r="AT77">
        <v>83.55</v>
      </c>
      <c r="AU77">
        <v>17.7</v>
      </c>
      <c r="AV77">
        <v>-14.09</v>
      </c>
      <c r="AW77">
        <v>15.28</v>
      </c>
      <c r="AX77">
        <v>113.04</v>
      </c>
      <c r="AY77">
        <v>41.45</v>
      </c>
      <c r="AZ77" s="3">
        <v>0.39885416666666668</v>
      </c>
      <c r="BA77" s="1">
        <v>45149</v>
      </c>
      <c r="BB77">
        <v>38.493316999999998</v>
      </c>
      <c r="BC77">
        <v>-1.3624799999999999</v>
      </c>
      <c r="BD77">
        <v>569.59997599999997</v>
      </c>
      <c r="BE77">
        <v>9</v>
      </c>
      <c r="BF77">
        <v>1.03</v>
      </c>
      <c r="BG77" s="3">
        <v>0.1884837962962963</v>
      </c>
      <c r="BH77" s="1">
        <v>45149</v>
      </c>
      <c r="BI77">
        <v>-0.16</v>
      </c>
      <c r="BJ77">
        <v>3.0000000000000001E-3</v>
      </c>
      <c r="BK77">
        <v>4.0000000000000001E-3</v>
      </c>
      <c r="BL77">
        <v>8.0000000000000002E-3</v>
      </c>
      <c r="BM77">
        <v>-4.6079999999999997</v>
      </c>
      <c r="BN77">
        <v>-4.5309999999999997</v>
      </c>
      <c r="BO77">
        <v>-10.449</v>
      </c>
      <c r="BP77">
        <v>1</v>
      </c>
      <c r="BQ77">
        <v>150</v>
      </c>
      <c r="BR77">
        <v>5.0000000000000001E-3</v>
      </c>
      <c r="BS77">
        <v>2</v>
      </c>
      <c r="BT77">
        <v>0</v>
      </c>
      <c r="BU77" t="s">
        <v>200</v>
      </c>
      <c r="BV77">
        <v>7000</v>
      </c>
      <c r="BW77">
        <v>500</v>
      </c>
      <c r="BX77">
        <v>5</v>
      </c>
      <c r="BY77">
        <v>2</v>
      </c>
      <c r="BZ77">
        <v>300</v>
      </c>
      <c r="CA77">
        <v>300</v>
      </c>
      <c r="CB77">
        <v>300</v>
      </c>
      <c r="CC77">
        <v>297.00027499999999</v>
      </c>
      <c r="CD77">
        <v>25</v>
      </c>
      <c r="CE77">
        <v>-14.431865999999999</v>
      </c>
      <c r="CF77">
        <v>296.86724900000002</v>
      </c>
      <c r="CG77">
        <v>297.31454500000001</v>
      </c>
      <c r="CH77">
        <v>-0.44729600000000003</v>
      </c>
      <c r="CI77">
        <v>2.5158330000000002</v>
      </c>
      <c r="CJ77">
        <v>2.527971</v>
      </c>
      <c r="CK77">
        <v>1.6662049999999999</v>
      </c>
      <c r="CL77">
        <v>0.94233500000000003</v>
      </c>
      <c r="CM77">
        <v>0.194518</v>
      </c>
      <c r="CN77">
        <v>6.9870000000000002E-3</v>
      </c>
      <c r="CO77">
        <v>0.25316</v>
      </c>
      <c r="CP77">
        <v>1.5455209999999999</v>
      </c>
      <c r="CQ77">
        <v>119.689819</v>
      </c>
      <c r="CR77">
        <v>3.7599999999999998E-4</v>
      </c>
      <c r="CS77">
        <v>2.4333689999999999</v>
      </c>
      <c r="CT77">
        <v>-3.6000000000000001E-5</v>
      </c>
      <c r="CU77">
        <v>1</v>
      </c>
      <c r="CV77">
        <v>2.4396819999999999</v>
      </c>
      <c r="CW77">
        <v>1.1E-5</v>
      </c>
      <c r="CX77">
        <v>1</v>
      </c>
      <c r="CY77">
        <v>0.60025499999999998</v>
      </c>
      <c r="CZ77">
        <v>0.60245199999999999</v>
      </c>
      <c r="DA77">
        <v>0.106742</v>
      </c>
      <c r="DB77">
        <v>0</v>
      </c>
      <c r="DC77" t="s">
        <v>592</v>
      </c>
      <c r="DD77" t="s">
        <v>515</v>
      </c>
      <c r="DE77" t="s">
        <v>516</v>
      </c>
      <c r="DF77" t="s">
        <v>517</v>
      </c>
      <c r="DG77" t="s">
        <v>518</v>
      </c>
      <c r="DH77" t="s">
        <v>205</v>
      </c>
      <c r="DI77" t="s">
        <v>519</v>
      </c>
    </row>
    <row r="78" spans="1:113">
      <c r="A78">
        <v>1</v>
      </c>
      <c r="B78" s="3">
        <v>0.19710648148148149</v>
      </c>
      <c r="C78" s="1">
        <v>45149</v>
      </c>
      <c r="D78" t="s">
        <v>196</v>
      </c>
      <c r="E78" t="s">
        <v>197</v>
      </c>
      <c r="G78">
        <v>1</v>
      </c>
      <c r="J78">
        <v>0.19444900000000001</v>
      </c>
      <c r="K78">
        <v>2.9218479999999998</v>
      </c>
      <c r="L78">
        <v>0.18231600000000001</v>
      </c>
      <c r="M78">
        <v>5.2538150000000003</v>
      </c>
      <c r="N78">
        <v>2.6942119999999998</v>
      </c>
      <c r="O78">
        <v>2.5565359999999999</v>
      </c>
      <c r="P78">
        <v>5.334981</v>
      </c>
      <c r="Q78">
        <v>2.6407690000000001</v>
      </c>
      <c r="R78">
        <v>26.727053000000002</v>
      </c>
      <c r="S78">
        <v>28.166367000000001</v>
      </c>
      <c r="T78">
        <v>55.774025000000002</v>
      </c>
      <c r="U78">
        <v>0.44178600000000001</v>
      </c>
      <c r="V78" t="s">
        <v>593</v>
      </c>
      <c r="W78">
        <v>0</v>
      </c>
      <c r="X78">
        <v>0</v>
      </c>
      <c r="Y78">
        <v>0</v>
      </c>
      <c r="Z78">
        <v>91.862082999999998</v>
      </c>
      <c r="AA78">
        <v>290.96646099999998</v>
      </c>
      <c r="AB78">
        <v>0.68428599999999995</v>
      </c>
      <c r="AC78">
        <v>0.5</v>
      </c>
      <c r="AD78">
        <v>0.8</v>
      </c>
      <c r="AE78">
        <v>461.05258199999997</v>
      </c>
      <c r="AF78">
        <v>48.37</v>
      </c>
      <c r="AG78">
        <v>45.9</v>
      </c>
      <c r="AH78">
        <v>34.75</v>
      </c>
      <c r="AI78">
        <v>33.97</v>
      </c>
      <c r="AJ78">
        <v>95.65</v>
      </c>
      <c r="AK78">
        <v>156.69999999999999</v>
      </c>
      <c r="AL78">
        <v>155.80000000000001</v>
      </c>
      <c r="AM78">
        <v>0.6</v>
      </c>
      <c r="AN78">
        <v>1684</v>
      </c>
      <c r="AO78">
        <v>4.0460000000000003</v>
      </c>
      <c r="AP78">
        <v>8</v>
      </c>
      <c r="AQ78">
        <v>7</v>
      </c>
      <c r="AR78">
        <v>306</v>
      </c>
      <c r="AZ78" s="3">
        <v>0</v>
      </c>
      <c r="BA78" t="s">
        <v>513</v>
      </c>
      <c r="BB78" t="s">
        <v>514</v>
      </c>
      <c r="BC78" t="s">
        <v>514</v>
      </c>
      <c r="BD78" t="s">
        <v>514</v>
      </c>
      <c r="BE78">
        <v>0</v>
      </c>
      <c r="BF78" t="s">
        <v>514</v>
      </c>
      <c r="BG78" s="3">
        <v>0.19694444444444445</v>
      </c>
      <c r="BH78" s="1">
        <v>45149</v>
      </c>
      <c r="BI78">
        <v>0.03</v>
      </c>
      <c r="BJ78">
        <v>-1E-3</v>
      </c>
      <c r="BK78">
        <v>1E-3</v>
      </c>
      <c r="BL78">
        <v>1.6E-2</v>
      </c>
      <c r="BM78">
        <v>0.249</v>
      </c>
      <c r="BN78">
        <v>-3.2240000000000002</v>
      </c>
      <c r="BO78">
        <v>-1.6990000000000001</v>
      </c>
      <c r="BP78">
        <v>1</v>
      </c>
      <c r="BQ78">
        <v>150</v>
      </c>
      <c r="BR78">
        <v>5.0000000000000001E-3</v>
      </c>
      <c r="BS78">
        <v>2</v>
      </c>
      <c r="BT78">
        <v>0</v>
      </c>
      <c r="BU78" t="s">
        <v>200</v>
      </c>
      <c r="BV78">
        <v>7000</v>
      </c>
      <c r="BW78">
        <v>500</v>
      </c>
      <c r="BX78">
        <v>5</v>
      </c>
      <c r="BY78">
        <v>2</v>
      </c>
      <c r="BZ78">
        <v>300</v>
      </c>
      <c r="CA78">
        <v>300</v>
      </c>
      <c r="CB78">
        <v>300</v>
      </c>
      <c r="CC78">
        <v>262.91476399999999</v>
      </c>
      <c r="CD78">
        <v>25</v>
      </c>
      <c r="CE78">
        <v>-19.497477</v>
      </c>
      <c r="CF78">
        <v>264.31094400000001</v>
      </c>
      <c r="CG78">
        <v>263.15249599999999</v>
      </c>
      <c r="CH78">
        <v>1.158447</v>
      </c>
      <c r="CI78">
        <v>2.5098950000000002</v>
      </c>
      <c r="CJ78">
        <v>2.521963</v>
      </c>
      <c r="CK78">
        <v>1.6665380000000001</v>
      </c>
      <c r="CL78">
        <v>0.94192900000000002</v>
      </c>
      <c r="CM78">
        <v>0.185698</v>
      </c>
      <c r="CN78">
        <v>-9.1219999999999999E-3</v>
      </c>
      <c r="CO78">
        <v>0.12658700000000001</v>
      </c>
      <c r="CP78">
        <v>1.5967249999999999</v>
      </c>
      <c r="CQ78">
        <v>91.862082999999998</v>
      </c>
      <c r="CR78">
        <v>3.77E-4</v>
      </c>
      <c r="CS78">
        <v>2.4333689999999999</v>
      </c>
      <c r="CT78">
        <v>-3.6000000000000001E-5</v>
      </c>
      <c r="CU78">
        <v>1</v>
      </c>
      <c r="CV78">
        <v>2.4396819999999999</v>
      </c>
      <c r="CW78">
        <v>1.1E-5</v>
      </c>
      <c r="CX78">
        <v>1</v>
      </c>
      <c r="CY78">
        <v>0.60025499999999998</v>
      </c>
      <c r="CZ78">
        <v>0.60245199999999999</v>
      </c>
      <c r="DA78">
        <v>0.106742</v>
      </c>
      <c r="DB78">
        <v>0</v>
      </c>
      <c r="DC78" t="s">
        <v>593</v>
      </c>
      <c r="DD78" t="s">
        <v>515</v>
      </c>
      <c r="DE78" t="s">
        <v>516</v>
      </c>
      <c r="DF78" t="s">
        <v>517</v>
      </c>
      <c r="DG78" t="s">
        <v>518</v>
      </c>
      <c r="DH78" t="s">
        <v>205</v>
      </c>
      <c r="DI78" t="s">
        <v>519</v>
      </c>
    </row>
    <row r="79" spans="1:113">
      <c r="A79">
        <v>2</v>
      </c>
      <c r="B79" s="3">
        <v>0.19723379629629631</v>
      </c>
      <c r="C79" s="1">
        <v>45149</v>
      </c>
      <c r="D79" t="s">
        <v>196</v>
      </c>
      <c r="E79" t="s">
        <v>197</v>
      </c>
      <c r="G79">
        <v>2</v>
      </c>
      <c r="J79">
        <v>0.16255800000000001</v>
      </c>
      <c r="K79">
        <v>2.9216289999999998</v>
      </c>
      <c r="L79">
        <v>0.15398999999999999</v>
      </c>
      <c r="M79">
        <v>5.7478949999999998</v>
      </c>
      <c r="N79">
        <v>2.7242449999999998</v>
      </c>
      <c r="O79">
        <v>2.5736509999999999</v>
      </c>
      <c r="P79">
        <v>6.1292609999999996</v>
      </c>
      <c r="Q79">
        <v>3.4050159999999998</v>
      </c>
      <c r="R79">
        <v>26.907102999999999</v>
      </c>
      <c r="S79">
        <v>28.481535000000001</v>
      </c>
      <c r="T79">
        <v>64.080428999999995</v>
      </c>
      <c r="U79">
        <v>0.44178600000000001</v>
      </c>
      <c r="V79" t="s">
        <v>594</v>
      </c>
      <c r="W79">
        <v>0</v>
      </c>
      <c r="X79">
        <v>0</v>
      </c>
      <c r="Y79">
        <v>0</v>
      </c>
      <c r="Z79">
        <v>137.37809799999999</v>
      </c>
      <c r="AA79">
        <v>248.33496099999999</v>
      </c>
      <c r="AB79">
        <v>0.44680300000000001</v>
      </c>
      <c r="AC79">
        <v>0.5</v>
      </c>
      <c r="AD79">
        <v>0.8</v>
      </c>
      <c r="AE79">
        <v>329.37356599999998</v>
      </c>
      <c r="AF79">
        <v>48.8</v>
      </c>
      <c r="AG79">
        <v>46.1</v>
      </c>
      <c r="AH79">
        <v>34.79</v>
      </c>
      <c r="AI79">
        <v>36.479999999999997</v>
      </c>
      <c r="AJ79">
        <v>95.65</v>
      </c>
      <c r="AK79">
        <v>156.69999999999999</v>
      </c>
      <c r="AL79">
        <v>155.69999999999999</v>
      </c>
      <c r="AM79">
        <v>0.6</v>
      </c>
      <c r="AN79">
        <v>1843</v>
      </c>
      <c r="AO79">
        <v>4.0439999999999996</v>
      </c>
      <c r="AP79">
        <v>51</v>
      </c>
      <c r="AQ79">
        <v>-28</v>
      </c>
      <c r="AR79">
        <v>235</v>
      </c>
      <c r="AZ79" s="3">
        <v>0</v>
      </c>
      <c r="BA79" t="s">
        <v>513</v>
      </c>
      <c r="BB79" t="s">
        <v>514</v>
      </c>
      <c r="BC79" t="s">
        <v>514</v>
      </c>
      <c r="BD79" t="s">
        <v>514</v>
      </c>
      <c r="BE79">
        <v>0</v>
      </c>
      <c r="BF79" t="s">
        <v>514</v>
      </c>
      <c r="BG79" s="3">
        <v>0.19694444444444445</v>
      </c>
      <c r="BH79" s="1">
        <v>45149</v>
      </c>
      <c r="BI79">
        <v>0.03</v>
      </c>
      <c r="BJ79">
        <v>1E-3</v>
      </c>
      <c r="BK79">
        <v>1E-3</v>
      </c>
      <c r="BL79">
        <v>-9999</v>
      </c>
      <c r="BM79">
        <v>1.0629999999999999</v>
      </c>
      <c r="BN79">
        <v>2.8959999999999999</v>
      </c>
      <c r="BO79">
        <v>-9999</v>
      </c>
      <c r="BP79">
        <v>1</v>
      </c>
      <c r="BQ79">
        <v>150</v>
      </c>
      <c r="BR79">
        <v>5.0000000000000001E-3</v>
      </c>
      <c r="BS79">
        <v>2</v>
      </c>
      <c r="BT79">
        <v>0</v>
      </c>
      <c r="BU79" t="s">
        <v>200</v>
      </c>
      <c r="BV79">
        <v>7000</v>
      </c>
      <c r="BW79">
        <v>500</v>
      </c>
      <c r="BX79">
        <v>5</v>
      </c>
      <c r="BY79">
        <v>2</v>
      </c>
      <c r="BZ79">
        <v>300</v>
      </c>
      <c r="CA79">
        <v>300</v>
      </c>
      <c r="CB79">
        <v>300</v>
      </c>
      <c r="CC79">
        <v>232.719177</v>
      </c>
      <c r="CD79">
        <v>25</v>
      </c>
      <c r="CE79">
        <v>-10.746121</v>
      </c>
      <c r="CF79">
        <v>232.68985000000001</v>
      </c>
      <c r="CG79">
        <v>233.00517300000001</v>
      </c>
      <c r="CH79">
        <v>-0.31532300000000002</v>
      </c>
      <c r="CI79">
        <v>2.510189</v>
      </c>
      <c r="CJ79">
        <v>2.5225919999999999</v>
      </c>
      <c r="CK79">
        <v>1.666307</v>
      </c>
      <c r="CL79">
        <v>0.94166300000000003</v>
      </c>
      <c r="CM79">
        <v>0.18541099999999999</v>
      </c>
      <c r="CN79">
        <v>2.2141000000000001E-2</v>
      </c>
      <c r="CO79">
        <v>0.12851399999999999</v>
      </c>
      <c r="CP79">
        <v>1.736942</v>
      </c>
      <c r="CQ79">
        <v>137.37809799999999</v>
      </c>
      <c r="CR79">
        <v>3.7599999999999998E-4</v>
      </c>
      <c r="CS79">
        <v>2.4333689999999999</v>
      </c>
      <c r="CT79">
        <v>-3.6000000000000001E-5</v>
      </c>
      <c r="CU79">
        <v>1</v>
      </c>
      <c r="CV79">
        <v>2.4396819999999999</v>
      </c>
      <c r="CW79">
        <v>1.1E-5</v>
      </c>
      <c r="CX79">
        <v>1</v>
      </c>
      <c r="CY79">
        <v>0.60025499999999998</v>
      </c>
      <c r="CZ79">
        <v>0.60245199999999999</v>
      </c>
      <c r="DA79">
        <v>0.106742</v>
      </c>
      <c r="DB79">
        <v>0</v>
      </c>
      <c r="DC79" t="s">
        <v>594</v>
      </c>
      <c r="DD79" t="s">
        <v>515</v>
      </c>
      <c r="DE79" t="s">
        <v>516</v>
      </c>
      <c r="DF79" t="s">
        <v>517</v>
      </c>
      <c r="DG79" t="s">
        <v>518</v>
      </c>
      <c r="DH79" t="s">
        <v>205</v>
      </c>
      <c r="DI79" t="s">
        <v>519</v>
      </c>
    </row>
    <row r="80" spans="1:113">
      <c r="A80">
        <v>3</v>
      </c>
      <c r="B80" s="3">
        <v>0.19740740740740739</v>
      </c>
      <c r="C80" s="1">
        <v>45149</v>
      </c>
      <c r="D80" t="s">
        <v>196</v>
      </c>
      <c r="E80" t="s">
        <v>197</v>
      </c>
      <c r="G80">
        <v>3</v>
      </c>
      <c r="J80">
        <v>0.102741</v>
      </c>
      <c r="K80">
        <v>2.9225029999999999</v>
      </c>
      <c r="L80">
        <v>9.9252000000000007E-2</v>
      </c>
      <c r="M80">
        <v>4.0766489999999997</v>
      </c>
      <c r="N80">
        <v>2.6875770000000001</v>
      </c>
      <c r="O80">
        <v>2.580797</v>
      </c>
      <c r="P80">
        <v>6.4291720000000003</v>
      </c>
      <c r="Q80">
        <v>3.7415949999999998</v>
      </c>
      <c r="R80">
        <v>26.980829</v>
      </c>
      <c r="S80">
        <v>28.097151</v>
      </c>
      <c r="T80">
        <v>67.213486000000003</v>
      </c>
      <c r="U80">
        <v>0.44178600000000001</v>
      </c>
      <c r="V80" t="s">
        <v>595</v>
      </c>
      <c r="W80">
        <v>0</v>
      </c>
      <c r="X80">
        <v>0</v>
      </c>
      <c r="Y80">
        <v>0</v>
      </c>
      <c r="Z80">
        <v>124.315735</v>
      </c>
      <c r="AA80">
        <v>199.44966099999999</v>
      </c>
      <c r="AB80">
        <v>0.37670599999999999</v>
      </c>
      <c r="AC80">
        <v>0.5</v>
      </c>
      <c r="AD80">
        <v>0.8</v>
      </c>
      <c r="AE80">
        <v>293.82308999999998</v>
      </c>
      <c r="AF80">
        <v>48.02</v>
      </c>
      <c r="AG80">
        <v>46.11</v>
      </c>
      <c r="AH80">
        <v>34.83</v>
      </c>
      <c r="AI80">
        <v>37.36</v>
      </c>
      <c r="AJ80">
        <v>95.65</v>
      </c>
      <c r="AK80">
        <v>156.80000000000001</v>
      </c>
      <c r="AL80">
        <v>155.30000000000001</v>
      </c>
      <c r="AM80">
        <v>0.9</v>
      </c>
      <c r="AN80">
        <v>1950</v>
      </c>
      <c r="AO80">
        <v>4.0430000000000001</v>
      </c>
      <c r="AP80">
        <v>19</v>
      </c>
      <c r="AQ80">
        <v>-24</v>
      </c>
      <c r="AR80">
        <v>241</v>
      </c>
      <c r="AZ80" s="3">
        <v>0.40422453703703703</v>
      </c>
      <c r="BA80" s="1">
        <v>45149</v>
      </c>
      <c r="BB80" t="s">
        <v>514</v>
      </c>
      <c r="BC80" t="s">
        <v>514</v>
      </c>
      <c r="BD80" t="s">
        <v>514</v>
      </c>
      <c r="BE80">
        <v>0</v>
      </c>
      <c r="BF80" t="s">
        <v>514</v>
      </c>
      <c r="BG80" s="3">
        <v>0.19694444444444445</v>
      </c>
      <c r="BH80" s="1">
        <v>45149</v>
      </c>
      <c r="BI80">
        <v>0.03</v>
      </c>
      <c r="BJ80">
        <v>1E-3</v>
      </c>
      <c r="BK80">
        <v>4.0000000000000001E-3</v>
      </c>
      <c r="BL80">
        <v>-9999</v>
      </c>
      <c r="BM80">
        <v>-2.1890000000000001</v>
      </c>
      <c r="BN80">
        <v>0.40799999999999997</v>
      </c>
      <c r="BO80">
        <v>-9999</v>
      </c>
      <c r="BP80">
        <v>1</v>
      </c>
      <c r="BQ80">
        <v>150</v>
      </c>
      <c r="BR80">
        <v>5.0000000000000001E-3</v>
      </c>
      <c r="BS80">
        <v>2</v>
      </c>
      <c r="BT80">
        <v>0</v>
      </c>
      <c r="BU80" t="s">
        <v>200</v>
      </c>
      <c r="BV80">
        <v>7000</v>
      </c>
      <c r="BW80">
        <v>500</v>
      </c>
      <c r="BX80">
        <v>5</v>
      </c>
      <c r="BY80">
        <v>2</v>
      </c>
      <c r="BZ80">
        <v>300</v>
      </c>
      <c r="CA80">
        <v>300</v>
      </c>
      <c r="CB80">
        <v>300</v>
      </c>
      <c r="CC80">
        <v>177.31547499999999</v>
      </c>
      <c r="CD80">
        <v>25</v>
      </c>
      <c r="CE80">
        <v>-17.793690000000002</v>
      </c>
      <c r="CF80">
        <v>168.149475</v>
      </c>
      <c r="CG80">
        <v>174.06622300000001</v>
      </c>
      <c r="CH80">
        <v>-5.9167480000000001</v>
      </c>
      <c r="CI80">
        <v>2.5101960000000001</v>
      </c>
      <c r="CJ80">
        <v>2.521439</v>
      </c>
      <c r="CK80">
        <v>1.66723</v>
      </c>
      <c r="CL80">
        <v>0.94073700000000005</v>
      </c>
      <c r="CM80">
        <v>0.185082</v>
      </c>
      <c r="CN80">
        <v>3.2855000000000002E-2</v>
      </c>
      <c r="CO80">
        <v>0.13111400000000001</v>
      </c>
      <c r="CP80">
        <v>1.8315939999999999</v>
      </c>
      <c r="CQ80">
        <v>124.315735</v>
      </c>
      <c r="CR80">
        <v>3.7800000000000003E-4</v>
      </c>
      <c r="CS80">
        <v>2.4333689999999999</v>
      </c>
      <c r="CT80">
        <v>-3.6000000000000001E-5</v>
      </c>
      <c r="CU80">
        <v>1</v>
      </c>
      <c r="CV80">
        <v>2.4396819999999999</v>
      </c>
      <c r="CW80">
        <v>1.1E-5</v>
      </c>
      <c r="CX80">
        <v>1</v>
      </c>
      <c r="CY80">
        <v>0.60025499999999998</v>
      </c>
      <c r="CZ80">
        <v>0.60245199999999999</v>
      </c>
      <c r="DA80">
        <v>0.106742</v>
      </c>
      <c r="DB80">
        <v>0</v>
      </c>
      <c r="DC80" t="s">
        <v>595</v>
      </c>
      <c r="DD80" t="s">
        <v>515</v>
      </c>
      <c r="DE80" t="s">
        <v>516</v>
      </c>
      <c r="DF80" t="s">
        <v>517</v>
      </c>
      <c r="DG80" t="s">
        <v>518</v>
      </c>
      <c r="DH80" t="s">
        <v>205</v>
      </c>
      <c r="DI80" t="s">
        <v>519</v>
      </c>
    </row>
    <row r="81" spans="1:113">
      <c r="A81">
        <v>4</v>
      </c>
      <c r="B81" s="3">
        <v>0.1975462962962963</v>
      </c>
      <c r="C81" s="1">
        <v>45149</v>
      </c>
      <c r="D81" t="s">
        <v>196</v>
      </c>
      <c r="E81" t="s">
        <v>197</v>
      </c>
      <c r="G81">
        <v>4</v>
      </c>
      <c r="J81">
        <v>9.4866000000000006E-2</v>
      </c>
      <c r="K81">
        <v>2.9229780000000001</v>
      </c>
      <c r="L81">
        <v>9.1883999999999993E-2</v>
      </c>
      <c r="M81">
        <v>3.928674</v>
      </c>
      <c r="N81">
        <v>2.75061</v>
      </c>
      <c r="O81">
        <v>2.6478069999999998</v>
      </c>
      <c r="P81">
        <v>6.6399600000000003</v>
      </c>
      <c r="Q81">
        <v>3.8893499999999999</v>
      </c>
      <c r="R81">
        <v>27.679501999999999</v>
      </c>
      <c r="S81">
        <v>28.754173000000002</v>
      </c>
      <c r="T81">
        <v>69.412445000000005</v>
      </c>
      <c r="U81">
        <v>0.44178600000000001</v>
      </c>
      <c r="V81" t="s">
        <v>596</v>
      </c>
      <c r="W81">
        <v>0</v>
      </c>
      <c r="X81">
        <v>0</v>
      </c>
      <c r="Y81">
        <v>0</v>
      </c>
      <c r="Z81">
        <v>104.502441</v>
      </c>
      <c r="AA81">
        <v>179.46127300000001</v>
      </c>
      <c r="AB81">
        <v>0.417688</v>
      </c>
      <c r="AC81">
        <v>0.5</v>
      </c>
      <c r="AD81">
        <v>0.8</v>
      </c>
      <c r="AE81">
        <v>284.35333300000002</v>
      </c>
      <c r="AF81">
        <v>49.04</v>
      </c>
      <c r="AG81">
        <v>47.21</v>
      </c>
      <c r="AH81">
        <v>34.869999999999997</v>
      </c>
      <c r="AI81">
        <v>37.950000000000003</v>
      </c>
      <c r="AJ81">
        <v>95.66</v>
      </c>
      <c r="AK81">
        <v>156.9</v>
      </c>
      <c r="AL81">
        <v>155.6</v>
      </c>
      <c r="AM81">
        <v>0.8</v>
      </c>
      <c r="AN81">
        <v>1702</v>
      </c>
      <c r="AO81">
        <v>4.0439999999999996</v>
      </c>
      <c r="AP81">
        <v>-5</v>
      </c>
      <c r="AQ81">
        <v>-13</v>
      </c>
      <c r="AR81">
        <v>220</v>
      </c>
      <c r="AZ81" s="3">
        <v>0</v>
      </c>
      <c r="BA81" t="s">
        <v>513</v>
      </c>
      <c r="BB81">
        <v>38.492305999999999</v>
      </c>
      <c r="BC81">
        <v>-1.363253</v>
      </c>
      <c r="BD81">
        <v>583.20001200000002</v>
      </c>
      <c r="BE81">
        <v>6</v>
      </c>
      <c r="BF81">
        <v>1.3</v>
      </c>
      <c r="BG81" s="3">
        <v>0.19694444444444445</v>
      </c>
      <c r="BH81" s="1">
        <v>45149</v>
      </c>
      <c r="BI81">
        <v>0.03</v>
      </c>
      <c r="BJ81">
        <v>2E-3</v>
      </c>
      <c r="BK81">
        <v>3.0000000000000001E-3</v>
      </c>
      <c r="BL81">
        <v>-4.0000000000000001E-3</v>
      </c>
      <c r="BM81">
        <v>1.8779999999999999</v>
      </c>
      <c r="BN81">
        <v>3.972</v>
      </c>
      <c r="BO81">
        <v>18.315000000000001</v>
      </c>
      <c r="BP81">
        <v>1</v>
      </c>
      <c r="BQ81">
        <v>150</v>
      </c>
      <c r="BR81">
        <v>5.0000000000000001E-3</v>
      </c>
      <c r="BS81">
        <v>2</v>
      </c>
      <c r="BT81">
        <v>0</v>
      </c>
      <c r="BU81" t="s">
        <v>200</v>
      </c>
      <c r="BV81">
        <v>7000</v>
      </c>
      <c r="BW81">
        <v>500</v>
      </c>
      <c r="BX81">
        <v>5</v>
      </c>
      <c r="BY81">
        <v>2</v>
      </c>
      <c r="BZ81">
        <v>300</v>
      </c>
      <c r="CA81">
        <v>300</v>
      </c>
      <c r="CB81">
        <v>300</v>
      </c>
      <c r="CC81">
        <v>155.051346</v>
      </c>
      <c r="CD81">
        <v>25</v>
      </c>
      <c r="CE81">
        <v>-18.72702</v>
      </c>
      <c r="CF81">
        <v>145.725494</v>
      </c>
      <c r="CG81">
        <v>152.746399</v>
      </c>
      <c r="CH81">
        <v>-7.020905</v>
      </c>
      <c r="CI81">
        <v>2.5117959999999999</v>
      </c>
      <c r="CJ81">
        <v>2.5229339999999998</v>
      </c>
      <c r="CK81">
        <v>1.6677329999999999</v>
      </c>
      <c r="CL81">
        <v>0.94140000000000001</v>
      </c>
      <c r="CM81">
        <v>0.18480099999999999</v>
      </c>
      <c r="CN81">
        <v>4.0093999999999998E-2</v>
      </c>
      <c r="CO81">
        <v>0.133108</v>
      </c>
      <c r="CP81">
        <v>1.6122209999999999</v>
      </c>
      <c r="CQ81">
        <v>104.502441</v>
      </c>
      <c r="CR81">
        <v>3.8499999999999998E-4</v>
      </c>
      <c r="CS81">
        <v>2.4333689999999999</v>
      </c>
      <c r="CT81">
        <v>-3.6000000000000001E-5</v>
      </c>
      <c r="CU81">
        <v>1</v>
      </c>
      <c r="CV81">
        <v>2.4396819999999999</v>
      </c>
      <c r="CW81">
        <v>1.1E-5</v>
      </c>
      <c r="CX81">
        <v>1</v>
      </c>
      <c r="CY81">
        <v>0.60025499999999998</v>
      </c>
      <c r="CZ81">
        <v>0.60245199999999999</v>
      </c>
      <c r="DA81">
        <v>0.106742</v>
      </c>
      <c r="DB81">
        <v>0</v>
      </c>
      <c r="DC81" t="s">
        <v>596</v>
      </c>
      <c r="DD81" t="s">
        <v>515</v>
      </c>
      <c r="DE81" t="s">
        <v>516</v>
      </c>
      <c r="DF81" t="s">
        <v>517</v>
      </c>
      <c r="DG81" t="s">
        <v>518</v>
      </c>
      <c r="DH81" t="s">
        <v>205</v>
      </c>
      <c r="DI81" t="s">
        <v>519</v>
      </c>
    </row>
    <row r="82" spans="1:113">
      <c r="A82">
        <v>1</v>
      </c>
      <c r="B82" s="3">
        <v>0.20053240740740741</v>
      </c>
      <c r="C82" s="1">
        <v>45149</v>
      </c>
      <c r="D82" t="s">
        <v>196</v>
      </c>
      <c r="E82" t="s">
        <v>197</v>
      </c>
      <c r="G82">
        <v>1</v>
      </c>
      <c r="J82">
        <v>0.15797700000000001</v>
      </c>
      <c r="K82">
        <v>2.920668</v>
      </c>
      <c r="L82">
        <v>0.14987</v>
      </c>
      <c r="M82">
        <v>4.7701570000000002</v>
      </c>
      <c r="N82">
        <v>2.7078479999999998</v>
      </c>
      <c r="O82">
        <v>2.5827330000000002</v>
      </c>
      <c r="P82">
        <v>5.6201939999999997</v>
      </c>
      <c r="Q82">
        <v>2.9123459999999999</v>
      </c>
      <c r="R82">
        <v>26.997681</v>
      </c>
      <c r="S82">
        <v>28.305527000000001</v>
      </c>
      <c r="T82">
        <v>58.748699000000002</v>
      </c>
      <c r="U82">
        <v>0.44178600000000001</v>
      </c>
      <c r="V82" t="s">
        <v>597</v>
      </c>
      <c r="W82">
        <v>0</v>
      </c>
      <c r="X82">
        <v>0</v>
      </c>
      <c r="Y82">
        <v>0</v>
      </c>
      <c r="Z82">
        <v>187.31724500000001</v>
      </c>
      <c r="AA82">
        <v>377.90609699999999</v>
      </c>
      <c r="AB82">
        <v>0.50432900000000003</v>
      </c>
      <c r="AC82">
        <v>0.5</v>
      </c>
      <c r="AD82">
        <v>0.8</v>
      </c>
      <c r="AE82">
        <v>253.040436</v>
      </c>
      <c r="AF82">
        <v>47.6</v>
      </c>
      <c r="AG82">
        <v>45.4</v>
      </c>
      <c r="AH82">
        <v>35.130000000000003</v>
      </c>
      <c r="AI82">
        <v>34.909999999999997</v>
      </c>
      <c r="AJ82">
        <v>95.67</v>
      </c>
      <c r="AK82">
        <v>156.6</v>
      </c>
      <c r="AL82">
        <v>155.1</v>
      </c>
      <c r="AM82">
        <v>1</v>
      </c>
      <c r="AN82">
        <v>1254</v>
      </c>
      <c r="AO82">
        <v>4.0430000000000001</v>
      </c>
      <c r="AP82">
        <v>16</v>
      </c>
      <c r="AQ82">
        <v>2</v>
      </c>
      <c r="AR82">
        <v>27</v>
      </c>
      <c r="AZ82" s="3">
        <v>0</v>
      </c>
      <c r="BA82" t="s">
        <v>513</v>
      </c>
      <c r="BB82" t="s">
        <v>514</v>
      </c>
      <c r="BC82" t="s">
        <v>514</v>
      </c>
      <c r="BD82" t="s">
        <v>514</v>
      </c>
      <c r="BE82">
        <v>0</v>
      </c>
      <c r="BF82" t="s">
        <v>514</v>
      </c>
      <c r="BG82" s="3">
        <v>0.20038194444444443</v>
      </c>
      <c r="BH82" s="1">
        <v>45149</v>
      </c>
      <c r="BI82">
        <v>0.02</v>
      </c>
      <c r="BJ82">
        <v>2E-3</v>
      </c>
      <c r="BK82">
        <v>3.0000000000000001E-3</v>
      </c>
      <c r="BL82">
        <v>2.1999999999999999E-2</v>
      </c>
      <c r="BM82">
        <v>-0.70699999999999996</v>
      </c>
      <c r="BN82">
        <v>1.992</v>
      </c>
      <c r="BO82">
        <v>19.916</v>
      </c>
      <c r="BP82">
        <v>1</v>
      </c>
      <c r="BQ82">
        <v>150</v>
      </c>
      <c r="BR82">
        <v>5.0000000000000001E-3</v>
      </c>
      <c r="BS82">
        <v>2</v>
      </c>
      <c r="BT82">
        <v>0</v>
      </c>
      <c r="BU82" t="s">
        <v>200</v>
      </c>
      <c r="BV82">
        <v>7000</v>
      </c>
      <c r="BW82">
        <v>500</v>
      </c>
      <c r="BX82">
        <v>5</v>
      </c>
      <c r="BY82">
        <v>2</v>
      </c>
      <c r="BZ82">
        <v>300</v>
      </c>
      <c r="CA82">
        <v>300</v>
      </c>
      <c r="CB82">
        <v>300</v>
      </c>
      <c r="CC82">
        <v>357.87426799999997</v>
      </c>
      <c r="CD82">
        <v>25</v>
      </c>
      <c r="CE82">
        <v>-13.970691</v>
      </c>
      <c r="CF82">
        <v>356.463776</v>
      </c>
      <c r="CG82">
        <v>357.97631799999999</v>
      </c>
      <c r="CH82">
        <v>-1.512543</v>
      </c>
      <c r="CI82">
        <v>2.5090870000000001</v>
      </c>
      <c r="CJ82">
        <v>2.5207799999999998</v>
      </c>
      <c r="CK82">
        <v>1.6652940000000001</v>
      </c>
      <c r="CL82">
        <v>0.94000799999999995</v>
      </c>
      <c r="CM82">
        <v>0.18296599999999999</v>
      </c>
      <c r="CN82">
        <v>-2.176E-3</v>
      </c>
      <c r="CO82">
        <v>0.14278199999999999</v>
      </c>
      <c r="CP82">
        <v>1.2162869999999999</v>
      </c>
      <c r="CQ82">
        <v>187.31724500000001</v>
      </c>
      <c r="CR82">
        <v>3.8900000000000002E-4</v>
      </c>
      <c r="CS82">
        <v>2.4333689999999999</v>
      </c>
      <c r="CT82">
        <v>-3.6000000000000001E-5</v>
      </c>
      <c r="CU82">
        <v>1</v>
      </c>
      <c r="CV82">
        <v>2.4396819999999999</v>
      </c>
      <c r="CW82">
        <v>1.1E-5</v>
      </c>
      <c r="CX82">
        <v>1</v>
      </c>
      <c r="CY82">
        <v>0.60025499999999998</v>
      </c>
      <c r="CZ82">
        <v>0.60245199999999999</v>
      </c>
      <c r="DA82">
        <v>0.106742</v>
      </c>
      <c r="DB82">
        <v>0</v>
      </c>
      <c r="DC82" t="s">
        <v>597</v>
      </c>
      <c r="DD82" t="s">
        <v>515</v>
      </c>
      <c r="DE82" t="s">
        <v>516</v>
      </c>
      <c r="DF82" t="s">
        <v>517</v>
      </c>
      <c r="DG82" t="s">
        <v>518</v>
      </c>
      <c r="DH82" t="s">
        <v>205</v>
      </c>
      <c r="DI82" t="s">
        <v>519</v>
      </c>
    </row>
    <row r="83" spans="1:113">
      <c r="A83">
        <v>2</v>
      </c>
      <c r="B83" s="3">
        <v>0.2008912037037037</v>
      </c>
      <c r="C83" s="1">
        <v>45149</v>
      </c>
      <c r="D83" t="s">
        <v>196</v>
      </c>
      <c r="E83" t="s">
        <v>197</v>
      </c>
      <c r="G83">
        <v>2</v>
      </c>
      <c r="J83">
        <v>5.8889999999999998E-2</v>
      </c>
      <c r="K83">
        <v>2.9210880000000001</v>
      </c>
      <c r="L83">
        <v>5.7726E-2</v>
      </c>
      <c r="M83">
        <v>2.4811329999999998</v>
      </c>
      <c r="N83">
        <v>2.6438000000000001</v>
      </c>
      <c r="O83">
        <v>2.578697</v>
      </c>
      <c r="P83">
        <v>6.5580109999999996</v>
      </c>
      <c r="Q83">
        <v>3.9142100000000002</v>
      </c>
      <c r="R83">
        <v>26.954291999999999</v>
      </c>
      <c r="S83">
        <v>27.634796000000001</v>
      </c>
      <c r="T83">
        <v>68.548782000000003</v>
      </c>
      <c r="U83">
        <v>0.44178600000000001</v>
      </c>
      <c r="V83" t="s">
        <v>598</v>
      </c>
      <c r="W83">
        <v>0</v>
      </c>
      <c r="X83">
        <v>0</v>
      </c>
      <c r="Y83">
        <v>0</v>
      </c>
      <c r="Z83">
        <v>157.270432</v>
      </c>
      <c r="AA83">
        <v>248.698441</v>
      </c>
      <c r="AB83">
        <v>0.36762600000000001</v>
      </c>
      <c r="AC83">
        <v>0.5</v>
      </c>
      <c r="AD83">
        <v>0.8</v>
      </c>
      <c r="AE83">
        <v>230.154022</v>
      </c>
      <c r="AF83">
        <v>46.29</v>
      </c>
      <c r="AG83">
        <v>45.15</v>
      </c>
      <c r="AH83">
        <v>35.200000000000003</v>
      </c>
      <c r="AI83">
        <v>37.72</v>
      </c>
      <c r="AJ83">
        <v>95.67</v>
      </c>
      <c r="AK83">
        <v>156.6</v>
      </c>
      <c r="AL83">
        <v>131.30000000000001</v>
      </c>
      <c r="AM83">
        <v>16.100000000000001</v>
      </c>
      <c r="AN83">
        <v>1565</v>
      </c>
      <c r="AO83">
        <v>4.0430000000000001</v>
      </c>
      <c r="AP83">
        <v>26</v>
      </c>
      <c r="AQ83">
        <v>32</v>
      </c>
      <c r="AR83">
        <v>32</v>
      </c>
      <c r="AZ83" s="3">
        <v>0</v>
      </c>
      <c r="BA83" t="s">
        <v>513</v>
      </c>
      <c r="BB83">
        <v>38.492493000000003</v>
      </c>
      <c r="BC83">
        <v>-1.3629800000000001</v>
      </c>
      <c r="BD83">
        <v>579.40002400000003</v>
      </c>
      <c r="BE83">
        <v>4</v>
      </c>
      <c r="BF83">
        <v>2.31</v>
      </c>
      <c r="BG83" s="3">
        <v>0.20038194444444443</v>
      </c>
      <c r="BH83" s="1">
        <v>45149</v>
      </c>
      <c r="BI83">
        <v>0.02</v>
      </c>
      <c r="BJ83">
        <v>-1E-3</v>
      </c>
      <c r="BK83">
        <v>-1E-3</v>
      </c>
      <c r="BL83">
        <v>2E-3</v>
      </c>
      <c r="BM83">
        <v>0.92</v>
      </c>
      <c r="BN83">
        <v>2.645</v>
      </c>
      <c r="BO83">
        <v>10.614000000000001</v>
      </c>
      <c r="BP83">
        <v>1</v>
      </c>
      <c r="BQ83">
        <v>150</v>
      </c>
      <c r="BR83">
        <v>5.0000000000000001E-3</v>
      </c>
      <c r="BS83">
        <v>2</v>
      </c>
      <c r="BT83">
        <v>0</v>
      </c>
      <c r="BU83" t="s">
        <v>200</v>
      </c>
      <c r="BV83">
        <v>7000</v>
      </c>
      <c r="BW83">
        <v>500</v>
      </c>
      <c r="BX83">
        <v>5</v>
      </c>
      <c r="BY83">
        <v>2</v>
      </c>
      <c r="BZ83">
        <v>300</v>
      </c>
      <c r="CA83">
        <v>300</v>
      </c>
      <c r="CB83">
        <v>300</v>
      </c>
      <c r="CC83">
        <v>244.31097399999999</v>
      </c>
      <c r="CD83">
        <v>25</v>
      </c>
      <c r="CE83">
        <v>-2.8914970000000002</v>
      </c>
      <c r="CF83">
        <v>248.53062399999999</v>
      </c>
      <c r="CG83">
        <v>244.57359299999999</v>
      </c>
      <c r="CH83">
        <v>3.9570310000000002</v>
      </c>
      <c r="CI83">
        <v>2.5087120000000001</v>
      </c>
      <c r="CJ83">
        <v>2.5188449999999998</v>
      </c>
      <c r="CK83">
        <v>1.6657360000000001</v>
      </c>
      <c r="CL83">
        <v>0.88069299999999995</v>
      </c>
      <c r="CM83">
        <v>0.18246999999999999</v>
      </c>
      <c r="CN83">
        <v>3.2968999999999998E-2</v>
      </c>
      <c r="CO83">
        <v>0.147843</v>
      </c>
      <c r="CP83">
        <v>1.491204</v>
      </c>
      <c r="CQ83">
        <v>157.270432</v>
      </c>
      <c r="CR83">
        <v>3.9300000000000001E-4</v>
      </c>
      <c r="CS83">
        <v>2.4333689999999999</v>
      </c>
      <c r="CT83">
        <v>-3.6000000000000001E-5</v>
      </c>
      <c r="CU83">
        <v>1</v>
      </c>
      <c r="CV83">
        <v>2.4396819999999999</v>
      </c>
      <c r="CW83">
        <v>1.1E-5</v>
      </c>
      <c r="CX83">
        <v>1</v>
      </c>
      <c r="CY83">
        <v>0.60025499999999998</v>
      </c>
      <c r="CZ83">
        <v>0.60245199999999999</v>
      </c>
      <c r="DA83">
        <v>0.106742</v>
      </c>
      <c r="DB83">
        <v>0</v>
      </c>
      <c r="DC83" t="s">
        <v>598</v>
      </c>
      <c r="DD83" t="s">
        <v>515</v>
      </c>
      <c r="DE83" t="s">
        <v>516</v>
      </c>
      <c r="DF83" t="s">
        <v>517</v>
      </c>
      <c r="DG83" t="s">
        <v>518</v>
      </c>
      <c r="DH83" t="s">
        <v>205</v>
      </c>
      <c r="DI83" t="s">
        <v>519</v>
      </c>
    </row>
    <row r="84" spans="1:113">
      <c r="A84">
        <v>3</v>
      </c>
      <c r="B84" s="3">
        <v>0.20106481481481484</v>
      </c>
      <c r="C84" s="1">
        <v>45149</v>
      </c>
      <c r="D84" t="s">
        <v>196</v>
      </c>
      <c r="E84" t="s">
        <v>197</v>
      </c>
      <c r="G84">
        <v>3</v>
      </c>
      <c r="J84">
        <v>0.200794</v>
      </c>
      <c r="K84">
        <v>2.9220700000000002</v>
      </c>
      <c r="L84">
        <v>0.18788299999999999</v>
      </c>
      <c r="M84">
        <v>6.9672970000000003</v>
      </c>
      <c r="N84">
        <v>2.8032859999999999</v>
      </c>
      <c r="O84">
        <v>2.6209380000000002</v>
      </c>
      <c r="P84">
        <v>6.1841109999999997</v>
      </c>
      <c r="Q84">
        <v>3.3808250000000002</v>
      </c>
      <c r="R84">
        <v>27.397755</v>
      </c>
      <c r="S84">
        <v>29.303919</v>
      </c>
      <c r="T84">
        <v>64.645095999999995</v>
      </c>
      <c r="U84">
        <v>0.44178600000000001</v>
      </c>
      <c r="V84" t="s">
        <v>599</v>
      </c>
      <c r="W84">
        <v>0</v>
      </c>
      <c r="X84">
        <v>0</v>
      </c>
      <c r="Y84">
        <v>0</v>
      </c>
      <c r="Z84">
        <v>125.549553</v>
      </c>
      <c r="AA84">
        <v>240.69296299999999</v>
      </c>
      <c r="AB84">
        <v>0.478383</v>
      </c>
      <c r="AC84">
        <v>0.5</v>
      </c>
      <c r="AD84">
        <v>0.8</v>
      </c>
      <c r="AE84">
        <v>26.407302999999999</v>
      </c>
      <c r="AF84">
        <v>49.01</v>
      </c>
      <c r="AG84">
        <v>45.82</v>
      </c>
      <c r="AH84">
        <v>35.229999999999997</v>
      </c>
      <c r="AI84">
        <v>36.65</v>
      </c>
      <c r="AJ84">
        <v>95.66</v>
      </c>
      <c r="AK84">
        <v>156.69999999999999</v>
      </c>
      <c r="AL84">
        <v>155.80000000000001</v>
      </c>
      <c r="AM84">
        <v>0.6</v>
      </c>
      <c r="AN84">
        <v>138</v>
      </c>
      <c r="AO84">
        <v>4.04</v>
      </c>
      <c r="AP84">
        <v>53</v>
      </c>
      <c r="AQ84">
        <v>13</v>
      </c>
      <c r="AR84">
        <v>319</v>
      </c>
      <c r="AS84">
        <v>15.68</v>
      </c>
      <c r="AT84">
        <v>96.28</v>
      </c>
      <c r="AU84">
        <v>54.1</v>
      </c>
      <c r="AV84">
        <v>-57.12</v>
      </c>
      <c r="AW84">
        <v>15.28</v>
      </c>
      <c r="AX84">
        <v>116.32</v>
      </c>
      <c r="AY84">
        <v>39.14</v>
      </c>
      <c r="AZ84" s="3">
        <v>0.40789351851851857</v>
      </c>
      <c r="BA84" s="1">
        <v>45149</v>
      </c>
      <c r="BB84">
        <v>38.492469999999997</v>
      </c>
      <c r="BC84">
        <v>-1.3629</v>
      </c>
      <c r="BD84">
        <v>575.59997599999997</v>
      </c>
      <c r="BE84">
        <v>4</v>
      </c>
      <c r="BF84">
        <v>2.3199999999999998</v>
      </c>
      <c r="BG84" s="3">
        <v>0.20038194444444443</v>
      </c>
      <c r="BH84" s="1">
        <v>45149</v>
      </c>
      <c r="BI84">
        <v>0.02</v>
      </c>
      <c r="BJ84">
        <v>-1E-3</v>
      </c>
      <c r="BK84">
        <v>0</v>
      </c>
      <c r="BL84">
        <v>1E-3</v>
      </c>
      <c r="BM84">
        <v>-1.159</v>
      </c>
      <c r="BN84">
        <v>1.502</v>
      </c>
      <c r="BO84">
        <v>11.852</v>
      </c>
      <c r="BP84">
        <v>1</v>
      </c>
      <c r="BQ84">
        <v>150</v>
      </c>
      <c r="BR84">
        <v>5.0000000000000001E-3</v>
      </c>
      <c r="BS84">
        <v>2</v>
      </c>
      <c r="BT84">
        <v>0</v>
      </c>
      <c r="BU84" t="s">
        <v>200</v>
      </c>
      <c r="BV84">
        <v>7000</v>
      </c>
      <c r="BW84">
        <v>500</v>
      </c>
      <c r="BX84">
        <v>5</v>
      </c>
      <c r="BY84">
        <v>2</v>
      </c>
      <c r="BZ84">
        <v>300</v>
      </c>
      <c r="CA84">
        <v>300</v>
      </c>
      <c r="CB84">
        <v>300</v>
      </c>
      <c r="CC84">
        <v>215.793015</v>
      </c>
      <c r="CD84">
        <v>25</v>
      </c>
      <c r="CE84">
        <v>-18.300615000000001</v>
      </c>
      <c r="CF84">
        <v>209.92648299999999</v>
      </c>
      <c r="CG84">
        <v>214.586365</v>
      </c>
      <c r="CH84">
        <v>-4.6598819999999996</v>
      </c>
      <c r="CI84">
        <v>2.5096910000000001</v>
      </c>
      <c r="CJ84">
        <v>2.5228440000000001</v>
      </c>
      <c r="CK84">
        <v>1.6667719999999999</v>
      </c>
      <c r="CL84">
        <v>0.94193099999999996</v>
      </c>
      <c r="CM84">
        <v>0.18227299999999999</v>
      </c>
      <c r="CN84">
        <v>1.8685E-2</v>
      </c>
      <c r="CO84">
        <v>0.150115</v>
      </c>
      <c r="CP84">
        <v>0.22881399999999999</v>
      </c>
      <c r="CQ84">
        <v>125.549553</v>
      </c>
      <c r="CR84">
        <v>3.8400000000000001E-4</v>
      </c>
      <c r="CS84">
        <v>2.4333689999999999</v>
      </c>
      <c r="CT84">
        <v>-3.6000000000000001E-5</v>
      </c>
      <c r="CU84">
        <v>1</v>
      </c>
      <c r="CV84">
        <v>2.4396819999999999</v>
      </c>
      <c r="CW84">
        <v>1.1E-5</v>
      </c>
      <c r="CX84">
        <v>1</v>
      </c>
      <c r="CY84">
        <v>0.60025499999999998</v>
      </c>
      <c r="CZ84">
        <v>0.60245199999999999</v>
      </c>
      <c r="DA84">
        <v>0.106742</v>
      </c>
      <c r="DB84">
        <v>0</v>
      </c>
      <c r="DC84" t="s">
        <v>599</v>
      </c>
      <c r="DD84" t="s">
        <v>515</v>
      </c>
      <c r="DE84" t="s">
        <v>516</v>
      </c>
      <c r="DF84" t="s">
        <v>517</v>
      </c>
      <c r="DG84" t="s">
        <v>518</v>
      </c>
      <c r="DH84" t="s">
        <v>205</v>
      </c>
      <c r="DI84" t="s">
        <v>519</v>
      </c>
    </row>
    <row r="85" spans="1:113">
      <c r="A85">
        <v>4</v>
      </c>
      <c r="B85" s="3">
        <v>0.20129629629629631</v>
      </c>
      <c r="C85" s="1">
        <v>45149</v>
      </c>
      <c r="D85" t="s">
        <v>196</v>
      </c>
      <c r="E85" t="s">
        <v>197</v>
      </c>
      <c r="G85">
        <v>4</v>
      </c>
      <c r="J85">
        <v>0.181009</v>
      </c>
      <c r="K85">
        <v>2.9213179999999999</v>
      </c>
      <c r="L85">
        <v>0.17044799999999999</v>
      </c>
      <c r="M85">
        <v>6.4957739999999999</v>
      </c>
      <c r="N85">
        <v>2.7272400000000001</v>
      </c>
      <c r="O85">
        <v>2.5569980000000001</v>
      </c>
      <c r="P85">
        <v>6.2026620000000001</v>
      </c>
      <c r="Q85">
        <v>3.475422</v>
      </c>
      <c r="R85">
        <v>26.730276</v>
      </c>
      <c r="S85">
        <v>28.509951000000001</v>
      </c>
      <c r="T85">
        <v>64.841217</v>
      </c>
      <c r="U85">
        <v>0.44178600000000001</v>
      </c>
      <c r="V85" t="s">
        <v>600</v>
      </c>
      <c r="W85">
        <v>0</v>
      </c>
      <c r="X85">
        <v>0</v>
      </c>
      <c r="Y85">
        <v>0</v>
      </c>
      <c r="Z85">
        <v>132.735367</v>
      </c>
      <c r="AA85">
        <v>295.892517</v>
      </c>
      <c r="AB85">
        <v>0.55140699999999998</v>
      </c>
      <c r="AC85">
        <v>0.5</v>
      </c>
      <c r="AD85">
        <v>0.8</v>
      </c>
      <c r="AE85">
        <v>326.54995700000001</v>
      </c>
      <c r="AF85">
        <v>47.6</v>
      </c>
      <c r="AG85">
        <v>44.63</v>
      </c>
      <c r="AH85">
        <v>35.26</v>
      </c>
      <c r="AI85">
        <v>36.700000000000003</v>
      </c>
      <c r="AJ85">
        <v>95.66</v>
      </c>
      <c r="AK85">
        <v>156.69999999999999</v>
      </c>
      <c r="AL85">
        <v>136</v>
      </c>
      <c r="AM85">
        <v>13.2</v>
      </c>
      <c r="AN85">
        <v>1481</v>
      </c>
      <c r="AO85">
        <v>4.0389999999999997</v>
      </c>
      <c r="AP85">
        <v>17</v>
      </c>
      <c r="AQ85">
        <v>0</v>
      </c>
      <c r="AR85">
        <v>13</v>
      </c>
      <c r="AS85">
        <v>38.35</v>
      </c>
      <c r="AT85">
        <v>78.42</v>
      </c>
      <c r="AU85">
        <v>17</v>
      </c>
      <c r="AV85">
        <v>13</v>
      </c>
      <c r="AW85">
        <v>15.28</v>
      </c>
      <c r="AX85">
        <v>116.32</v>
      </c>
      <c r="AY85">
        <v>39.14</v>
      </c>
      <c r="AZ85" s="3">
        <v>0.40812500000000002</v>
      </c>
      <c r="BA85" s="1">
        <v>45149</v>
      </c>
      <c r="BB85">
        <v>38.492519000000001</v>
      </c>
      <c r="BC85">
        <v>-1.362957</v>
      </c>
      <c r="BD85">
        <v>580.20001200000002</v>
      </c>
      <c r="BE85">
        <v>7</v>
      </c>
      <c r="BF85">
        <v>1.0900000000000001</v>
      </c>
      <c r="BG85" s="3">
        <v>0.20038194444444443</v>
      </c>
      <c r="BH85" s="1">
        <v>45149</v>
      </c>
      <c r="BI85">
        <v>0.02</v>
      </c>
      <c r="BJ85">
        <v>1E-3</v>
      </c>
      <c r="BK85">
        <v>-1E-3</v>
      </c>
      <c r="BL85">
        <v>-9999</v>
      </c>
      <c r="BM85">
        <v>-2.7050000000000001</v>
      </c>
      <c r="BN85">
        <v>-4.3170000000000002</v>
      </c>
      <c r="BO85">
        <v>-9999</v>
      </c>
      <c r="BP85">
        <v>1</v>
      </c>
      <c r="BQ85">
        <v>150</v>
      </c>
      <c r="BR85">
        <v>5.0000000000000001E-3</v>
      </c>
      <c r="BS85">
        <v>2</v>
      </c>
      <c r="BT85">
        <v>0</v>
      </c>
      <c r="BU85" t="s">
        <v>200</v>
      </c>
      <c r="BV85">
        <v>7000</v>
      </c>
      <c r="BW85">
        <v>500</v>
      </c>
      <c r="BX85">
        <v>5</v>
      </c>
      <c r="BY85">
        <v>2</v>
      </c>
      <c r="BZ85">
        <v>300</v>
      </c>
      <c r="CA85">
        <v>300</v>
      </c>
      <c r="CB85">
        <v>300</v>
      </c>
      <c r="CC85">
        <v>269.60635400000001</v>
      </c>
      <c r="CD85">
        <v>25</v>
      </c>
      <c r="CE85">
        <v>-18.322576999999999</v>
      </c>
      <c r="CF85">
        <v>267.14480600000002</v>
      </c>
      <c r="CG85">
        <v>269.75460800000002</v>
      </c>
      <c r="CH85">
        <v>-2.6098020000000002</v>
      </c>
      <c r="CI85">
        <v>2.5079310000000001</v>
      </c>
      <c r="CJ85">
        <v>2.5207660000000001</v>
      </c>
      <c r="CK85">
        <v>1.6659790000000001</v>
      </c>
      <c r="CL85">
        <v>0.89213100000000001</v>
      </c>
      <c r="CM85">
        <v>0.18206</v>
      </c>
      <c r="CN85">
        <v>1.9008000000000001E-2</v>
      </c>
      <c r="CO85">
        <v>0.153055</v>
      </c>
      <c r="CP85">
        <v>1.416364</v>
      </c>
      <c r="CQ85">
        <v>132.735367</v>
      </c>
      <c r="CR85">
        <v>3.7300000000000001E-4</v>
      </c>
      <c r="CS85">
        <v>2.4333689999999999</v>
      </c>
      <c r="CT85">
        <v>-3.6000000000000001E-5</v>
      </c>
      <c r="CU85">
        <v>1</v>
      </c>
      <c r="CV85">
        <v>2.4396819999999999</v>
      </c>
      <c r="CW85">
        <v>1.1E-5</v>
      </c>
      <c r="CX85">
        <v>1</v>
      </c>
      <c r="CY85">
        <v>0.60025499999999998</v>
      </c>
      <c r="CZ85">
        <v>0.60245199999999999</v>
      </c>
      <c r="DA85">
        <v>0.106742</v>
      </c>
      <c r="DB85">
        <v>0</v>
      </c>
      <c r="DC85" t="s">
        <v>600</v>
      </c>
      <c r="DD85" t="s">
        <v>515</v>
      </c>
      <c r="DE85" t="s">
        <v>516</v>
      </c>
      <c r="DF85" t="s">
        <v>517</v>
      </c>
      <c r="DG85" t="s">
        <v>518</v>
      </c>
      <c r="DH85" t="s">
        <v>205</v>
      </c>
      <c r="DI85" t="s">
        <v>519</v>
      </c>
    </row>
    <row r="86" spans="1:113">
      <c r="A86">
        <v>1</v>
      </c>
      <c r="B86" s="3">
        <v>0.20806712962962962</v>
      </c>
      <c r="C86" s="1">
        <v>45149</v>
      </c>
      <c r="D86" t="s">
        <v>196</v>
      </c>
      <c r="E86" t="s">
        <v>197</v>
      </c>
      <c r="G86">
        <v>1</v>
      </c>
      <c r="J86">
        <v>7.2788000000000005E-2</v>
      </c>
      <c r="K86">
        <v>2.9200499999999998</v>
      </c>
      <c r="L86">
        <v>7.1017999999999998E-2</v>
      </c>
      <c r="M86">
        <v>3.8613249999999999</v>
      </c>
      <c r="N86">
        <v>2.6999279999999999</v>
      </c>
      <c r="O86">
        <v>2.5987200000000001</v>
      </c>
      <c r="P86">
        <v>7.6145990000000001</v>
      </c>
      <c r="Q86">
        <v>4.9146710000000002</v>
      </c>
      <c r="R86">
        <v>27.198059000000001</v>
      </c>
      <c r="S86">
        <v>28.257299</v>
      </c>
      <c r="T86">
        <v>79.693969999999993</v>
      </c>
      <c r="U86">
        <v>0.44178600000000001</v>
      </c>
      <c r="V86" t="s">
        <v>601</v>
      </c>
      <c r="W86">
        <v>0</v>
      </c>
      <c r="X86">
        <v>0</v>
      </c>
      <c r="Y86">
        <v>0</v>
      </c>
      <c r="Z86">
        <v>96.616744999999995</v>
      </c>
      <c r="AA86">
        <v>134.51348899999999</v>
      </c>
      <c r="AB86">
        <v>0.28173199999999998</v>
      </c>
      <c r="AC86">
        <v>0.5</v>
      </c>
      <c r="AD86">
        <v>0.8</v>
      </c>
      <c r="AE86">
        <v>215.13664199999999</v>
      </c>
      <c r="AF86">
        <v>43.57</v>
      </c>
      <c r="AG86">
        <v>41.93</v>
      </c>
      <c r="AH86">
        <v>36.68</v>
      </c>
      <c r="AI86">
        <v>40.5</v>
      </c>
      <c r="AJ86">
        <v>95.55</v>
      </c>
      <c r="AK86">
        <v>156.5</v>
      </c>
      <c r="AL86">
        <v>155.4</v>
      </c>
      <c r="AM86">
        <v>0.7</v>
      </c>
      <c r="AN86">
        <v>1909</v>
      </c>
      <c r="AO86">
        <v>4.0419999999999998</v>
      </c>
      <c r="AP86">
        <v>7</v>
      </c>
      <c r="AQ86">
        <v>25</v>
      </c>
      <c r="AR86">
        <v>27</v>
      </c>
      <c r="AZ86" s="3">
        <v>0</v>
      </c>
      <c r="BA86" t="s">
        <v>513</v>
      </c>
      <c r="BB86" t="s">
        <v>514</v>
      </c>
      <c r="BC86" t="s">
        <v>514</v>
      </c>
      <c r="BD86" t="s">
        <v>514</v>
      </c>
      <c r="BE86">
        <v>0</v>
      </c>
      <c r="BF86" t="s">
        <v>514</v>
      </c>
      <c r="BG86" s="3">
        <v>0.20792824074074076</v>
      </c>
      <c r="BH86" s="1">
        <v>45149</v>
      </c>
      <c r="BI86">
        <v>0.23</v>
      </c>
      <c r="BJ86">
        <v>0</v>
      </c>
      <c r="BK86">
        <v>1E-3</v>
      </c>
      <c r="BL86">
        <v>-9999</v>
      </c>
      <c r="BM86">
        <v>-0.71</v>
      </c>
      <c r="BN86">
        <v>-0.40699999999999997</v>
      </c>
      <c r="BO86">
        <v>-9999</v>
      </c>
      <c r="BP86">
        <v>1</v>
      </c>
      <c r="BQ86">
        <v>150</v>
      </c>
      <c r="BR86">
        <v>5.0000000000000001E-3</v>
      </c>
      <c r="BS86">
        <v>2</v>
      </c>
      <c r="BT86">
        <v>0</v>
      </c>
      <c r="BU86" t="s">
        <v>200</v>
      </c>
      <c r="BV86">
        <v>7000</v>
      </c>
      <c r="BW86">
        <v>500</v>
      </c>
      <c r="BX86">
        <v>5</v>
      </c>
      <c r="BY86">
        <v>2</v>
      </c>
      <c r="BZ86">
        <v>300</v>
      </c>
      <c r="CA86">
        <v>300</v>
      </c>
      <c r="CB86">
        <v>300</v>
      </c>
      <c r="CC86">
        <v>126.672867</v>
      </c>
      <c r="CD86">
        <v>25</v>
      </c>
      <c r="CE86">
        <v>-5.66221</v>
      </c>
      <c r="CF86">
        <v>124.914047</v>
      </c>
      <c r="CG86">
        <v>126.436111</v>
      </c>
      <c r="CH86">
        <v>-1.5220640000000001</v>
      </c>
      <c r="CI86">
        <v>2.5036849999999999</v>
      </c>
      <c r="CJ86">
        <v>2.5142959999999999</v>
      </c>
      <c r="CK86">
        <v>1.664644</v>
      </c>
      <c r="CL86">
        <v>0.94092500000000001</v>
      </c>
      <c r="CM86">
        <v>0.172268</v>
      </c>
      <c r="CN86">
        <v>5.0708999999999997E-2</v>
      </c>
      <c r="CO86">
        <v>0.107088</v>
      </c>
      <c r="CP86">
        <v>1.79542</v>
      </c>
      <c r="CQ86">
        <v>96.616744999999995</v>
      </c>
      <c r="CR86">
        <v>3.8099999999999999E-4</v>
      </c>
      <c r="CS86">
        <v>2.4333689999999999</v>
      </c>
      <c r="CT86">
        <v>-3.6000000000000001E-5</v>
      </c>
      <c r="CU86">
        <v>1</v>
      </c>
      <c r="CV86">
        <v>2.4396819999999999</v>
      </c>
      <c r="CW86">
        <v>1.1E-5</v>
      </c>
      <c r="CX86">
        <v>1</v>
      </c>
      <c r="CY86">
        <v>0.60025499999999998</v>
      </c>
      <c r="CZ86">
        <v>0.60245199999999999</v>
      </c>
      <c r="DA86">
        <v>0.106742</v>
      </c>
      <c r="DB86">
        <v>0</v>
      </c>
      <c r="DC86" t="s">
        <v>601</v>
      </c>
      <c r="DD86" t="s">
        <v>515</v>
      </c>
      <c r="DE86" t="s">
        <v>516</v>
      </c>
      <c r="DF86" t="s">
        <v>517</v>
      </c>
      <c r="DG86" t="s">
        <v>518</v>
      </c>
      <c r="DH86" t="s">
        <v>205</v>
      </c>
      <c r="DI86" t="s">
        <v>519</v>
      </c>
    </row>
    <row r="87" spans="1:113">
      <c r="A87">
        <v>2</v>
      </c>
      <c r="B87" s="3">
        <v>0.20829861111111111</v>
      </c>
      <c r="C87" s="1">
        <v>45149</v>
      </c>
      <c r="D87" t="s">
        <v>196</v>
      </c>
      <c r="E87" t="s">
        <v>197</v>
      </c>
      <c r="G87">
        <v>2</v>
      </c>
      <c r="J87">
        <v>4.8452000000000002E-2</v>
      </c>
      <c r="K87">
        <v>2.9214440000000002</v>
      </c>
      <c r="L87">
        <v>4.7662000000000003E-2</v>
      </c>
      <c r="M87">
        <v>2.559644</v>
      </c>
      <c r="N87">
        <v>2.7393770000000002</v>
      </c>
      <c r="O87">
        <v>2.6723889999999999</v>
      </c>
      <c r="P87">
        <v>7.5932459999999997</v>
      </c>
      <c r="Q87">
        <v>4.8538699999999997</v>
      </c>
      <c r="R87">
        <v>27.969072000000001</v>
      </c>
      <c r="S87">
        <v>28.670162000000001</v>
      </c>
      <c r="T87">
        <v>79.470489999999998</v>
      </c>
      <c r="U87">
        <v>0.44178600000000001</v>
      </c>
      <c r="V87" t="s">
        <v>602</v>
      </c>
      <c r="W87">
        <v>0</v>
      </c>
      <c r="X87">
        <v>0</v>
      </c>
      <c r="Y87">
        <v>0</v>
      </c>
      <c r="Z87">
        <v>240.90992700000001</v>
      </c>
      <c r="AA87">
        <v>288.03814699999998</v>
      </c>
      <c r="AB87">
        <v>0.16361800000000001</v>
      </c>
      <c r="AC87">
        <v>0.5</v>
      </c>
      <c r="AD87">
        <v>0.8</v>
      </c>
      <c r="AE87">
        <v>127.450974</v>
      </c>
      <c r="AF87">
        <v>44.05</v>
      </c>
      <c r="AG87">
        <v>42.97</v>
      </c>
      <c r="AH87">
        <v>36.75</v>
      </c>
      <c r="AI87">
        <v>40.450000000000003</v>
      </c>
      <c r="AJ87">
        <v>95.55</v>
      </c>
      <c r="AK87">
        <v>156.69999999999999</v>
      </c>
      <c r="AL87">
        <v>155.30000000000001</v>
      </c>
      <c r="AM87">
        <v>0.8</v>
      </c>
      <c r="AN87">
        <v>1947</v>
      </c>
      <c r="AO87">
        <v>4.0410000000000004</v>
      </c>
      <c r="AP87">
        <v>16</v>
      </c>
      <c r="AQ87">
        <v>17</v>
      </c>
      <c r="AR87">
        <v>335</v>
      </c>
      <c r="AZ87" s="3">
        <v>0</v>
      </c>
      <c r="BA87" t="s">
        <v>513</v>
      </c>
      <c r="BB87">
        <v>38.493167999999997</v>
      </c>
      <c r="BC87">
        <v>-1.3654500000000001</v>
      </c>
      <c r="BD87">
        <v>563.40002400000003</v>
      </c>
      <c r="BE87">
        <v>4</v>
      </c>
      <c r="BF87">
        <v>2.5299999999999998</v>
      </c>
      <c r="BG87" s="3">
        <v>0.20792824074074076</v>
      </c>
      <c r="BH87" s="1">
        <v>45149</v>
      </c>
      <c r="BI87">
        <v>0.23</v>
      </c>
      <c r="BJ87">
        <v>0</v>
      </c>
      <c r="BK87">
        <v>1E-3</v>
      </c>
      <c r="BL87">
        <v>1E-3</v>
      </c>
      <c r="BM87">
        <v>-1.27</v>
      </c>
      <c r="BN87">
        <v>-3.3279999999999998</v>
      </c>
      <c r="BO87">
        <v>-10.577</v>
      </c>
      <c r="BP87">
        <v>1</v>
      </c>
      <c r="BQ87">
        <v>150</v>
      </c>
      <c r="BR87">
        <v>5.0000000000000001E-3</v>
      </c>
      <c r="BS87">
        <v>2</v>
      </c>
      <c r="BT87">
        <v>0</v>
      </c>
      <c r="BU87" t="s">
        <v>200</v>
      </c>
      <c r="BV87">
        <v>7000</v>
      </c>
      <c r="BW87">
        <v>500</v>
      </c>
      <c r="BX87">
        <v>5</v>
      </c>
      <c r="BY87">
        <v>2</v>
      </c>
      <c r="BZ87">
        <v>300</v>
      </c>
      <c r="CA87">
        <v>300</v>
      </c>
      <c r="CB87">
        <v>300</v>
      </c>
      <c r="CC87">
        <v>288.03814699999998</v>
      </c>
      <c r="CD87">
        <v>25</v>
      </c>
      <c r="CE87">
        <v>5.872668</v>
      </c>
      <c r="CF87">
        <v>296.71597300000002</v>
      </c>
      <c r="CG87">
        <v>296.41574100000003</v>
      </c>
      <c r="CH87">
        <v>0.300232</v>
      </c>
      <c r="CI87">
        <v>2.5052080000000001</v>
      </c>
      <c r="CJ87">
        <v>2.515002</v>
      </c>
      <c r="CK87">
        <v>1.666112</v>
      </c>
      <c r="CL87">
        <v>0.94074599999999997</v>
      </c>
      <c r="CM87">
        <v>0.171843</v>
      </c>
      <c r="CN87">
        <v>4.9177999999999999E-2</v>
      </c>
      <c r="CO87">
        <v>0.110537</v>
      </c>
      <c r="CP87">
        <v>1.8293269999999999</v>
      </c>
      <c r="CQ87">
        <v>240.90992700000001</v>
      </c>
      <c r="CR87">
        <v>3.9199999999999999E-4</v>
      </c>
      <c r="CS87">
        <v>2.4333689999999999</v>
      </c>
      <c r="CT87">
        <v>-3.6000000000000001E-5</v>
      </c>
      <c r="CU87">
        <v>1</v>
      </c>
      <c r="CV87">
        <v>2.4396819999999999</v>
      </c>
      <c r="CW87">
        <v>1.1E-5</v>
      </c>
      <c r="CX87">
        <v>1</v>
      </c>
      <c r="CY87">
        <v>0.60025499999999998</v>
      </c>
      <c r="CZ87">
        <v>0.60245199999999999</v>
      </c>
      <c r="DA87">
        <v>0.106742</v>
      </c>
      <c r="DB87">
        <v>0</v>
      </c>
      <c r="DC87" t="s">
        <v>602</v>
      </c>
      <c r="DD87" t="s">
        <v>515</v>
      </c>
      <c r="DE87" t="s">
        <v>516</v>
      </c>
      <c r="DF87" t="s">
        <v>517</v>
      </c>
      <c r="DG87" t="s">
        <v>518</v>
      </c>
      <c r="DH87" t="s">
        <v>205</v>
      </c>
      <c r="DI87" t="s">
        <v>519</v>
      </c>
    </row>
    <row r="88" spans="1:113">
      <c r="A88">
        <v>3</v>
      </c>
      <c r="B88" s="3">
        <v>0.20851851851851852</v>
      </c>
      <c r="C88" s="1">
        <v>45149</v>
      </c>
      <c r="D88" t="s">
        <v>196</v>
      </c>
      <c r="E88" t="s">
        <v>197</v>
      </c>
      <c r="G88">
        <v>3</v>
      </c>
      <c r="J88">
        <v>2.6912999999999999E-2</v>
      </c>
      <c r="K88">
        <v>2.9215249999999999</v>
      </c>
      <c r="L88">
        <v>2.6668000000000001E-2</v>
      </c>
      <c r="M88">
        <v>1.482529</v>
      </c>
      <c r="N88">
        <v>2.7113420000000001</v>
      </c>
      <c r="O88">
        <v>2.6725300000000001</v>
      </c>
      <c r="P88">
        <v>7.7333230000000004</v>
      </c>
      <c r="Q88">
        <v>5.0219800000000001</v>
      </c>
      <c r="R88">
        <v>27.967918000000001</v>
      </c>
      <c r="S88">
        <v>28.374082999999999</v>
      </c>
      <c r="T88">
        <v>80.928901999999994</v>
      </c>
      <c r="U88">
        <v>0.44178600000000001</v>
      </c>
      <c r="V88" t="s">
        <v>603</v>
      </c>
      <c r="W88">
        <v>0</v>
      </c>
      <c r="X88">
        <v>0</v>
      </c>
      <c r="Y88">
        <v>0</v>
      </c>
      <c r="Z88">
        <v>91.321349999999995</v>
      </c>
      <c r="AA88">
        <v>121.250145</v>
      </c>
      <c r="AB88">
        <v>0.246835</v>
      </c>
      <c r="AC88">
        <v>0.5</v>
      </c>
      <c r="AD88">
        <v>0.8</v>
      </c>
      <c r="AE88">
        <v>171.19278</v>
      </c>
      <c r="AF88">
        <v>43.49</v>
      </c>
      <c r="AG88">
        <v>42.87</v>
      </c>
      <c r="AH88">
        <v>36.79</v>
      </c>
      <c r="AI88">
        <v>40.79</v>
      </c>
      <c r="AJ88">
        <v>95.56</v>
      </c>
      <c r="AK88">
        <v>156.69999999999999</v>
      </c>
      <c r="AL88">
        <v>155.30000000000001</v>
      </c>
      <c r="AM88">
        <v>0.9</v>
      </c>
      <c r="AN88">
        <v>1734</v>
      </c>
      <c r="AO88">
        <v>4.0389999999999997</v>
      </c>
      <c r="AP88">
        <v>0</v>
      </c>
      <c r="AQ88">
        <v>-7</v>
      </c>
      <c r="AR88">
        <v>209</v>
      </c>
      <c r="AS88">
        <v>30.24</v>
      </c>
      <c r="AT88">
        <v>86.39</v>
      </c>
      <c r="AU88">
        <v>7</v>
      </c>
      <c r="AV88">
        <v>-61</v>
      </c>
      <c r="AW88">
        <v>15.27</v>
      </c>
      <c r="AX88">
        <v>119.31</v>
      </c>
      <c r="AY88">
        <v>37.24</v>
      </c>
      <c r="AZ88" s="3">
        <v>0.41534722222222226</v>
      </c>
      <c r="BA88" s="1">
        <v>45149</v>
      </c>
      <c r="BB88">
        <v>38.493091999999997</v>
      </c>
      <c r="BC88">
        <v>-1.3651880000000001</v>
      </c>
      <c r="BD88">
        <v>592.59997599999997</v>
      </c>
      <c r="BE88">
        <v>5</v>
      </c>
      <c r="BF88">
        <v>1.54</v>
      </c>
      <c r="BG88" s="3">
        <v>0.20792824074074076</v>
      </c>
      <c r="BH88" s="1">
        <v>45149</v>
      </c>
      <c r="BI88">
        <v>0.23</v>
      </c>
      <c r="BJ88">
        <v>1E-3</v>
      </c>
      <c r="BK88">
        <v>4.0000000000000001E-3</v>
      </c>
      <c r="BL88">
        <v>-9999</v>
      </c>
      <c r="BM88">
        <v>-1.756</v>
      </c>
      <c r="BN88">
        <v>-3.8929999999999998</v>
      </c>
      <c r="BO88">
        <v>-9999</v>
      </c>
      <c r="BP88">
        <v>1</v>
      </c>
      <c r="BQ88">
        <v>150</v>
      </c>
      <c r="BR88">
        <v>5.0000000000000001E-3</v>
      </c>
      <c r="BS88">
        <v>2</v>
      </c>
      <c r="BT88">
        <v>0</v>
      </c>
      <c r="BU88" t="s">
        <v>200</v>
      </c>
      <c r="BV88">
        <v>7000</v>
      </c>
      <c r="BW88">
        <v>500</v>
      </c>
      <c r="BX88">
        <v>5</v>
      </c>
      <c r="BY88">
        <v>2</v>
      </c>
      <c r="BZ88">
        <v>300</v>
      </c>
      <c r="CA88">
        <v>300</v>
      </c>
      <c r="CB88">
        <v>300</v>
      </c>
      <c r="CC88">
        <v>117.276909</v>
      </c>
      <c r="CD88">
        <v>25</v>
      </c>
      <c r="CE88">
        <v>-2.7542430000000002</v>
      </c>
      <c r="CF88">
        <v>116.892815</v>
      </c>
      <c r="CG88">
        <v>117.321106</v>
      </c>
      <c r="CH88">
        <v>-0.42829099999999998</v>
      </c>
      <c r="CI88">
        <v>2.505045</v>
      </c>
      <c r="CJ88">
        <v>2.514167</v>
      </c>
      <c r="CK88">
        <v>1.6661969999999999</v>
      </c>
      <c r="CL88">
        <v>0.94062199999999996</v>
      </c>
      <c r="CM88">
        <v>0.171541</v>
      </c>
      <c r="CN88">
        <v>5.3206999999999997E-2</v>
      </c>
      <c r="CO88">
        <v>0.113749</v>
      </c>
      <c r="CP88">
        <v>1.6404650000000001</v>
      </c>
      <c r="CQ88">
        <v>91.321349999999995</v>
      </c>
      <c r="CR88">
        <v>3.8499999999999998E-4</v>
      </c>
      <c r="CS88">
        <v>2.4333689999999999</v>
      </c>
      <c r="CT88">
        <v>-3.6000000000000001E-5</v>
      </c>
      <c r="CU88">
        <v>1</v>
      </c>
      <c r="CV88">
        <v>2.4396819999999999</v>
      </c>
      <c r="CW88">
        <v>1.1E-5</v>
      </c>
      <c r="CX88">
        <v>1</v>
      </c>
      <c r="CY88">
        <v>0.60025499999999998</v>
      </c>
      <c r="CZ88">
        <v>0.60245199999999999</v>
      </c>
      <c r="DA88">
        <v>0.106742</v>
      </c>
      <c r="DB88">
        <v>0</v>
      </c>
      <c r="DC88" t="s">
        <v>603</v>
      </c>
      <c r="DD88" t="s">
        <v>515</v>
      </c>
      <c r="DE88" t="s">
        <v>516</v>
      </c>
      <c r="DF88" t="s">
        <v>517</v>
      </c>
      <c r="DG88" t="s">
        <v>518</v>
      </c>
      <c r="DH88" t="s">
        <v>205</v>
      </c>
      <c r="DI88" t="s">
        <v>519</v>
      </c>
    </row>
    <row r="89" spans="1:113">
      <c r="A89">
        <v>4</v>
      </c>
      <c r="B89" s="3">
        <v>0.20865740740740743</v>
      </c>
      <c r="C89" s="1">
        <v>45149</v>
      </c>
      <c r="D89" t="s">
        <v>196</v>
      </c>
      <c r="E89" t="s">
        <v>197</v>
      </c>
      <c r="G89">
        <v>4</v>
      </c>
      <c r="J89">
        <v>4.3761000000000001E-2</v>
      </c>
      <c r="K89">
        <v>2.9211510000000001</v>
      </c>
      <c r="L89">
        <v>4.3115000000000001E-2</v>
      </c>
      <c r="M89">
        <v>2.4751349999999999</v>
      </c>
      <c r="N89">
        <v>2.6514829999999998</v>
      </c>
      <c r="O89">
        <v>2.5866259999999999</v>
      </c>
      <c r="P89">
        <v>7.8359670000000001</v>
      </c>
      <c r="Q89">
        <v>5.1844840000000003</v>
      </c>
      <c r="R89">
        <v>27.069780000000002</v>
      </c>
      <c r="S89">
        <v>27.748525999999998</v>
      </c>
      <c r="T89">
        <v>82.005645999999999</v>
      </c>
      <c r="U89">
        <v>0.44178600000000001</v>
      </c>
      <c r="V89" t="s">
        <v>604</v>
      </c>
      <c r="W89">
        <v>0</v>
      </c>
      <c r="X89">
        <v>0</v>
      </c>
      <c r="Y89">
        <v>0</v>
      </c>
      <c r="Z89">
        <v>93.762519999999995</v>
      </c>
      <c r="AA89">
        <v>108.20174400000001</v>
      </c>
      <c r="AB89">
        <v>0.13344700000000001</v>
      </c>
      <c r="AC89">
        <v>0.5</v>
      </c>
      <c r="AD89">
        <v>0.8</v>
      </c>
      <c r="AE89">
        <v>93.678391000000005</v>
      </c>
      <c r="AF89">
        <v>42.46</v>
      </c>
      <c r="AG89">
        <v>41.42</v>
      </c>
      <c r="AH89">
        <v>36.83</v>
      </c>
      <c r="AI89">
        <v>41.04</v>
      </c>
      <c r="AJ89">
        <v>95.55</v>
      </c>
      <c r="AK89">
        <v>156.6</v>
      </c>
      <c r="AL89">
        <v>155.4</v>
      </c>
      <c r="AM89">
        <v>0.8</v>
      </c>
      <c r="AN89">
        <v>1755</v>
      </c>
      <c r="AO89">
        <v>4.0369999999999999</v>
      </c>
      <c r="AP89">
        <v>-8</v>
      </c>
      <c r="AQ89">
        <v>-10</v>
      </c>
      <c r="AR89">
        <v>217</v>
      </c>
      <c r="AZ89" s="3">
        <v>0.41548611111111106</v>
      </c>
      <c r="BA89" s="1">
        <v>45149</v>
      </c>
      <c r="BB89" t="s">
        <v>514</v>
      </c>
      <c r="BC89" t="s">
        <v>514</v>
      </c>
      <c r="BD89" t="s">
        <v>514</v>
      </c>
      <c r="BE89">
        <v>0</v>
      </c>
      <c r="BF89" t="s">
        <v>514</v>
      </c>
      <c r="BG89" s="3">
        <v>0.20792824074074076</v>
      </c>
      <c r="BH89" s="1">
        <v>45149</v>
      </c>
      <c r="BI89">
        <v>0.23</v>
      </c>
      <c r="BJ89">
        <v>1E-3</v>
      </c>
      <c r="BK89">
        <v>2E-3</v>
      </c>
      <c r="BL89">
        <v>-9999</v>
      </c>
      <c r="BM89">
        <v>0.124</v>
      </c>
      <c r="BN89">
        <v>0.28599999999999998</v>
      </c>
      <c r="BO89">
        <v>-9999</v>
      </c>
      <c r="BP89">
        <v>1</v>
      </c>
      <c r="BQ89">
        <v>150</v>
      </c>
      <c r="BR89">
        <v>5.0000000000000001E-3</v>
      </c>
      <c r="BS89">
        <v>2</v>
      </c>
      <c r="BT89">
        <v>0</v>
      </c>
      <c r="BU89" t="s">
        <v>200</v>
      </c>
      <c r="BV89">
        <v>7000</v>
      </c>
      <c r="BW89">
        <v>500</v>
      </c>
      <c r="BX89">
        <v>5</v>
      </c>
      <c r="BY89">
        <v>2</v>
      </c>
      <c r="BZ89">
        <v>300</v>
      </c>
      <c r="CA89">
        <v>300</v>
      </c>
      <c r="CB89">
        <v>300</v>
      </c>
      <c r="CC89">
        <v>108.20174400000001</v>
      </c>
      <c r="CD89">
        <v>25</v>
      </c>
      <c r="CE89">
        <v>1.1447039999999999</v>
      </c>
      <c r="CF89">
        <v>110.024574</v>
      </c>
      <c r="CG89">
        <v>109.834709</v>
      </c>
      <c r="CH89">
        <v>0.18986500000000001</v>
      </c>
      <c r="CI89">
        <v>2.5028980000000001</v>
      </c>
      <c r="CJ89">
        <v>2.5126300000000001</v>
      </c>
      <c r="CK89">
        <v>1.665802</v>
      </c>
      <c r="CL89">
        <v>0.94092900000000002</v>
      </c>
      <c r="CM89">
        <v>0.17133399999999999</v>
      </c>
      <c r="CN89">
        <v>5.6152000000000001E-2</v>
      </c>
      <c r="CO89">
        <v>0.11556</v>
      </c>
      <c r="CP89">
        <v>1.6591229999999999</v>
      </c>
      <c r="CQ89">
        <v>93.762519999999995</v>
      </c>
      <c r="CR89">
        <v>3.8999999999999999E-4</v>
      </c>
      <c r="CS89">
        <v>2.4333689999999999</v>
      </c>
      <c r="CT89">
        <v>-3.6000000000000001E-5</v>
      </c>
      <c r="CU89">
        <v>1</v>
      </c>
      <c r="CV89">
        <v>2.4396819999999999</v>
      </c>
      <c r="CW89">
        <v>1.1E-5</v>
      </c>
      <c r="CX89">
        <v>1</v>
      </c>
      <c r="CY89">
        <v>0.60025499999999998</v>
      </c>
      <c r="CZ89">
        <v>0.60245199999999999</v>
      </c>
      <c r="DA89">
        <v>0.106742</v>
      </c>
      <c r="DB89">
        <v>0</v>
      </c>
      <c r="DC89" t="s">
        <v>604</v>
      </c>
      <c r="DD89" t="s">
        <v>515</v>
      </c>
      <c r="DE89" t="s">
        <v>516</v>
      </c>
      <c r="DF89" t="s">
        <v>517</v>
      </c>
      <c r="DG89" t="s">
        <v>518</v>
      </c>
      <c r="DH89" t="s">
        <v>205</v>
      </c>
      <c r="DI89" t="s">
        <v>519</v>
      </c>
    </row>
    <row r="90" spans="1:113">
      <c r="A90">
        <v>5</v>
      </c>
      <c r="B90" s="3">
        <v>0.20930555555555555</v>
      </c>
      <c r="C90" s="1">
        <v>45149</v>
      </c>
      <c r="D90" t="s">
        <v>196</v>
      </c>
      <c r="E90" t="s">
        <v>197</v>
      </c>
      <c r="G90">
        <v>5</v>
      </c>
      <c r="J90">
        <v>7.4607000000000007E-2</v>
      </c>
      <c r="K90">
        <v>2.9222969999999999</v>
      </c>
      <c r="L90">
        <v>7.2748999999999994E-2</v>
      </c>
      <c r="M90">
        <v>3.4351180000000001</v>
      </c>
      <c r="N90">
        <v>2.6312709999999999</v>
      </c>
      <c r="O90">
        <v>2.5413220000000001</v>
      </c>
      <c r="P90">
        <v>6.917713</v>
      </c>
      <c r="Q90">
        <v>4.2864430000000002</v>
      </c>
      <c r="R90">
        <v>26.595870999999999</v>
      </c>
      <c r="S90">
        <v>27.537217999999999</v>
      </c>
      <c r="T90">
        <v>72.396422999999999</v>
      </c>
      <c r="U90">
        <v>0.44178600000000001</v>
      </c>
      <c r="V90" t="s">
        <v>605</v>
      </c>
      <c r="W90">
        <v>0</v>
      </c>
      <c r="X90">
        <v>0</v>
      </c>
      <c r="Y90">
        <v>0</v>
      </c>
      <c r="Z90">
        <v>87.949630999999997</v>
      </c>
      <c r="AA90">
        <v>190.18086199999999</v>
      </c>
      <c r="AB90">
        <v>0.537547</v>
      </c>
      <c r="AC90">
        <v>0.5</v>
      </c>
      <c r="AD90">
        <v>0.8</v>
      </c>
      <c r="AE90">
        <v>366.70703099999997</v>
      </c>
      <c r="AF90">
        <v>41.98</v>
      </c>
      <c r="AG90">
        <v>40.54</v>
      </c>
      <c r="AH90">
        <v>36.89</v>
      </c>
      <c r="AI90">
        <v>38.71</v>
      </c>
      <c r="AJ90">
        <v>95.55</v>
      </c>
      <c r="AK90">
        <v>156.80000000000001</v>
      </c>
      <c r="AL90">
        <v>155.19999999999999</v>
      </c>
      <c r="AM90">
        <v>1</v>
      </c>
      <c r="AN90">
        <v>1705</v>
      </c>
      <c r="AO90">
        <v>4.0369999999999999</v>
      </c>
      <c r="AP90">
        <v>30</v>
      </c>
      <c r="AQ90">
        <v>-17</v>
      </c>
      <c r="AR90">
        <v>205</v>
      </c>
      <c r="AZ90" s="3">
        <v>0</v>
      </c>
      <c r="BA90" t="s">
        <v>513</v>
      </c>
      <c r="BB90" t="s">
        <v>514</v>
      </c>
      <c r="BC90" t="s">
        <v>514</v>
      </c>
      <c r="BD90" t="s">
        <v>514</v>
      </c>
      <c r="BE90">
        <v>0</v>
      </c>
      <c r="BF90" t="s">
        <v>514</v>
      </c>
      <c r="BG90" s="3">
        <v>0.20792824074074076</v>
      </c>
      <c r="BH90" s="1">
        <v>45149</v>
      </c>
      <c r="BI90">
        <v>0.23</v>
      </c>
      <c r="BJ90">
        <v>0</v>
      </c>
      <c r="BK90">
        <v>-1E-3</v>
      </c>
      <c r="BL90">
        <v>-9999</v>
      </c>
      <c r="BM90">
        <v>-3.3740000000000001</v>
      </c>
      <c r="BN90">
        <v>-3.399</v>
      </c>
      <c r="BO90">
        <v>-9999</v>
      </c>
      <c r="BP90">
        <v>1</v>
      </c>
      <c r="BQ90">
        <v>150</v>
      </c>
      <c r="BR90">
        <v>5.0000000000000001E-3</v>
      </c>
      <c r="BS90">
        <v>2</v>
      </c>
      <c r="BT90">
        <v>0</v>
      </c>
      <c r="BU90" t="s">
        <v>200</v>
      </c>
      <c r="BV90">
        <v>7000</v>
      </c>
      <c r="BW90">
        <v>500</v>
      </c>
      <c r="BX90">
        <v>5</v>
      </c>
      <c r="BY90">
        <v>2</v>
      </c>
      <c r="BZ90">
        <v>300</v>
      </c>
      <c r="CA90">
        <v>300</v>
      </c>
      <c r="CB90">
        <v>300</v>
      </c>
      <c r="CC90">
        <v>176.23829699999999</v>
      </c>
      <c r="CD90">
        <v>25</v>
      </c>
      <c r="CE90">
        <v>-10.147691999999999</v>
      </c>
      <c r="CF90">
        <v>173.02929700000001</v>
      </c>
      <c r="CG90">
        <v>175.704758</v>
      </c>
      <c r="CH90">
        <v>-2.6754609999999999</v>
      </c>
      <c r="CI90">
        <v>2.5015839999999998</v>
      </c>
      <c r="CJ90">
        <v>2.5119050000000001</v>
      </c>
      <c r="CK90">
        <v>1.6670119999999999</v>
      </c>
      <c r="CL90">
        <v>0.94047000000000003</v>
      </c>
      <c r="CM90">
        <v>0.17088100000000001</v>
      </c>
      <c r="CN90">
        <v>2.4251000000000002E-2</v>
      </c>
      <c r="CO90">
        <v>0.123878</v>
      </c>
      <c r="CP90">
        <v>1.6153310000000001</v>
      </c>
      <c r="CQ90">
        <v>87.949630999999997</v>
      </c>
      <c r="CR90">
        <v>3.21E-4</v>
      </c>
      <c r="CS90">
        <v>2.4333689999999999</v>
      </c>
      <c r="CT90">
        <v>-3.6000000000000001E-5</v>
      </c>
      <c r="CU90">
        <v>1</v>
      </c>
      <c r="CV90">
        <v>2.4396819999999999</v>
      </c>
      <c r="CW90">
        <v>1.1E-5</v>
      </c>
      <c r="CX90">
        <v>1</v>
      </c>
      <c r="CY90">
        <v>0.60025499999999998</v>
      </c>
      <c r="CZ90">
        <v>0.60245199999999999</v>
      </c>
      <c r="DA90">
        <v>0.106742</v>
      </c>
      <c r="DB90">
        <v>0</v>
      </c>
      <c r="DC90" t="s">
        <v>605</v>
      </c>
      <c r="DD90" t="s">
        <v>515</v>
      </c>
      <c r="DE90" t="s">
        <v>516</v>
      </c>
      <c r="DF90" t="s">
        <v>517</v>
      </c>
      <c r="DG90" t="s">
        <v>518</v>
      </c>
      <c r="DH90" t="s">
        <v>205</v>
      </c>
      <c r="DI90" t="s">
        <v>519</v>
      </c>
    </row>
    <row r="91" spans="1:113">
      <c r="A91">
        <v>6</v>
      </c>
      <c r="B91" s="3">
        <v>0.20943287037037037</v>
      </c>
      <c r="C91" s="1">
        <v>45149</v>
      </c>
      <c r="D91" t="s">
        <v>196</v>
      </c>
      <c r="E91" t="s">
        <v>197</v>
      </c>
      <c r="G91">
        <v>6</v>
      </c>
      <c r="J91">
        <v>5.8278999999999997E-2</v>
      </c>
      <c r="K91">
        <v>2.9218060000000001</v>
      </c>
      <c r="L91">
        <v>5.7139000000000002E-2</v>
      </c>
      <c r="M91">
        <v>3.1499670000000002</v>
      </c>
      <c r="N91">
        <v>2.6602519999999998</v>
      </c>
      <c r="O91">
        <v>2.5777610000000002</v>
      </c>
      <c r="P91">
        <v>7.6440479999999997</v>
      </c>
      <c r="Q91">
        <v>4.9837959999999999</v>
      </c>
      <c r="R91">
        <v>26.976376999999999</v>
      </c>
      <c r="S91">
        <v>27.839646999999999</v>
      </c>
      <c r="T91">
        <v>79.995270000000005</v>
      </c>
      <c r="U91">
        <v>0.44178600000000001</v>
      </c>
      <c r="V91" t="s">
        <v>606</v>
      </c>
      <c r="W91">
        <v>0</v>
      </c>
      <c r="X91">
        <v>0</v>
      </c>
      <c r="Y91">
        <v>0</v>
      </c>
      <c r="Z91">
        <v>92.318054000000004</v>
      </c>
      <c r="AA91">
        <v>114.002022</v>
      </c>
      <c r="AB91">
        <v>0.19020699999999999</v>
      </c>
      <c r="AC91">
        <v>0.5</v>
      </c>
      <c r="AD91">
        <v>0.8</v>
      </c>
      <c r="AE91">
        <v>144.200729</v>
      </c>
      <c r="AF91">
        <v>42.41</v>
      </c>
      <c r="AG91">
        <v>41.09</v>
      </c>
      <c r="AH91">
        <v>36.909999999999997</v>
      </c>
      <c r="AI91">
        <v>40.57</v>
      </c>
      <c r="AJ91">
        <v>95.56</v>
      </c>
      <c r="AK91">
        <v>156.69999999999999</v>
      </c>
      <c r="AL91">
        <v>155.19999999999999</v>
      </c>
      <c r="AM91">
        <v>0.9</v>
      </c>
      <c r="AN91">
        <v>1895</v>
      </c>
      <c r="AO91">
        <v>4.0359999999999996</v>
      </c>
      <c r="AP91">
        <v>15</v>
      </c>
      <c r="AQ91">
        <v>-13</v>
      </c>
      <c r="AR91">
        <v>234</v>
      </c>
      <c r="AZ91" s="3">
        <v>0</v>
      </c>
      <c r="BA91" t="s">
        <v>513</v>
      </c>
      <c r="BB91">
        <v>38.493172000000001</v>
      </c>
      <c r="BC91">
        <v>-1.3651800000000001</v>
      </c>
      <c r="BD91">
        <v>579.29998799999998</v>
      </c>
      <c r="BE91">
        <v>4</v>
      </c>
      <c r="BF91">
        <v>14.51</v>
      </c>
      <c r="BG91" s="3">
        <v>0.20792824074074076</v>
      </c>
      <c r="BH91" s="1">
        <v>45149</v>
      </c>
      <c r="BI91">
        <v>0.23</v>
      </c>
      <c r="BJ91">
        <v>-1E-3</v>
      </c>
      <c r="BK91">
        <v>0</v>
      </c>
      <c r="BL91">
        <v>-9999</v>
      </c>
      <c r="BM91">
        <v>2.5000000000000001E-2</v>
      </c>
      <c r="BN91">
        <v>0.54800000000000004</v>
      </c>
      <c r="BO91">
        <v>-9999</v>
      </c>
      <c r="BP91">
        <v>1</v>
      </c>
      <c r="BQ91">
        <v>150</v>
      </c>
      <c r="BR91">
        <v>5.0000000000000001E-3</v>
      </c>
      <c r="BS91">
        <v>2</v>
      </c>
      <c r="BT91">
        <v>0</v>
      </c>
      <c r="BU91" t="s">
        <v>200</v>
      </c>
      <c r="BV91">
        <v>7000</v>
      </c>
      <c r="BW91">
        <v>500</v>
      </c>
      <c r="BX91">
        <v>5</v>
      </c>
      <c r="BY91">
        <v>2</v>
      </c>
      <c r="BZ91">
        <v>300</v>
      </c>
      <c r="CA91">
        <v>300</v>
      </c>
      <c r="CB91">
        <v>300</v>
      </c>
      <c r="CC91">
        <v>112.130646</v>
      </c>
      <c r="CD91">
        <v>25</v>
      </c>
      <c r="CE91">
        <v>-1.254507</v>
      </c>
      <c r="CF91">
        <v>112.40315200000001</v>
      </c>
      <c r="CG91">
        <v>112.212418</v>
      </c>
      <c r="CH91">
        <v>0.19073499999999999</v>
      </c>
      <c r="CI91">
        <v>2.5024000000000002</v>
      </c>
      <c r="CJ91">
        <v>2.5125449999999998</v>
      </c>
      <c r="CK91">
        <v>1.6664939999999999</v>
      </c>
      <c r="CL91">
        <v>0.94046200000000002</v>
      </c>
      <c r="CM91">
        <v>0.170794</v>
      </c>
      <c r="CN91">
        <v>4.8814999999999997E-2</v>
      </c>
      <c r="CO91">
        <v>0.12528600000000001</v>
      </c>
      <c r="CP91">
        <v>1.783266</v>
      </c>
      <c r="CQ91">
        <v>92.318054000000004</v>
      </c>
      <c r="CR91">
        <v>3.9100000000000002E-4</v>
      </c>
      <c r="CS91">
        <v>2.4333689999999999</v>
      </c>
      <c r="CT91">
        <v>-3.6000000000000001E-5</v>
      </c>
      <c r="CU91">
        <v>1</v>
      </c>
      <c r="CV91">
        <v>2.4396819999999999</v>
      </c>
      <c r="CW91">
        <v>1.1E-5</v>
      </c>
      <c r="CX91">
        <v>1</v>
      </c>
      <c r="CY91">
        <v>0.60025499999999998</v>
      </c>
      <c r="CZ91">
        <v>0.60245199999999999</v>
      </c>
      <c r="DA91">
        <v>0.106742</v>
      </c>
      <c r="DB91">
        <v>0</v>
      </c>
      <c r="DC91" t="s">
        <v>606</v>
      </c>
      <c r="DD91" t="s">
        <v>515</v>
      </c>
      <c r="DE91" t="s">
        <v>516</v>
      </c>
      <c r="DF91" t="s">
        <v>517</v>
      </c>
      <c r="DG91" t="s">
        <v>518</v>
      </c>
      <c r="DH91" t="s">
        <v>205</v>
      </c>
      <c r="DI91" t="s">
        <v>519</v>
      </c>
    </row>
    <row r="92" spans="1:113">
      <c r="A92">
        <v>7</v>
      </c>
      <c r="B92" s="3">
        <v>0.20965277777777777</v>
      </c>
      <c r="C92" s="1">
        <v>45149</v>
      </c>
      <c r="D92" t="s">
        <v>196</v>
      </c>
      <c r="E92" t="s">
        <v>197</v>
      </c>
      <c r="G92">
        <v>7</v>
      </c>
      <c r="J92">
        <v>6.1867999999999999E-2</v>
      </c>
      <c r="K92">
        <v>2.9216220000000002</v>
      </c>
      <c r="L92">
        <v>6.0585E-2</v>
      </c>
      <c r="M92">
        <v>2.9123329999999998</v>
      </c>
      <c r="N92">
        <v>2.6278809999999999</v>
      </c>
      <c r="O92">
        <v>2.5515690000000002</v>
      </c>
      <c r="P92">
        <v>6.9904320000000002</v>
      </c>
      <c r="Q92">
        <v>4.3625509999999998</v>
      </c>
      <c r="R92">
        <v>26.700247000000001</v>
      </c>
      <c r="S92">
        <v>27.498788999999999</v>
      </c>
      <c r="T92">
        <v>73.149597</v>
      </c>
      <c r="U92">
        <v>0.44178600000000001</v>
      </c>
      <c r="V92" t="s">
        <v>607</v>
      </c>
      <c r="W92">
        <v>0</v>
      </c>
      <c r="X92">
        <v>0</v>
      </c>
      <c r="Y92">
        <v>0</v>
      </c>
      <c r="Z92">
        <v>251.19816599999999</v>
      </c>
      <c r="AA92">
        <v>333.60742199999999</v>
      </c>
      <c r="AB92">
        <v>0.24702499999999999</v>
      </c>
      <c r="AC92">
        <v>0.5</v>
      </c>
      <c r="AD92">
        <v>0.8</v>
      </c>
      <c r="AE92">
        <v>147.48414600000001</v>
      </c>
      <c r="AF92">
        <v>41.87</v>
      </c>
      <c r="AG92">
        <v>40.65</v>
      </c>
      <c r="AH92">
        <v>36.92</v>
      </c>
      <c r="AI92">
        <v>38.9</v>
      </c>
      <c r="AJ92">
        <v>95.56</v>
      </c>
      <c r="AK92">
        <v>156.69999999999999</v>
      </c>
      <c r="AL92">
        <v>155.5</v>
      </c>
      <c r="AM92">
        <v>0.7</v>
      </c>
      <c r="AN92">
        <v>1493</v>
      </c>
      <c r="AO92">
        <v>4.0369999999999999</v>
      </c>
      <c r="AP92">
        <v>-21</v>
      </c>
      <c r="AQ92">
        <v>10</v>
      </c>
      <c r="AR92">
        <v>185</v>
      </c>
      <c r="AZ92" s="3">
        <v>0</v>
      </c>
      <c r="BA92" t="s">
        <v>513</v>
      </c>
      <c r="BB92">
        <v>38.493079999999999</v>
      </c>
      <c r="BC92">
        <v>-1.3651819999999999</v>
      </c>
      <c r="BD92">
        <v>590.20001200000002</v>
      </c>
      <c r="BE92">
        <v>6</v>
      </c>
      <c r="BF92">
        <v>1.55</v>
      </c>
      <c r="BG92" s="3">
        <v>0.20792824074074076</v>
      </c>
      <c r="BH92" s="1">
        <v>45149</v>
      </c>
      <c r="BI92">
        <v>0.23</v>
      </c>
      <c r="BJ92">
        <v>2E-3</v>
      </c>
      <c r="BK92">
        <v>1E-3</v>
      </c>
      <c r="BL92">
        <v>0</v>
      </c>
      <c r="BM92">
        <v>-18.030999999999999</v>
      </c>
      <c r="BN92">
        <v>-4.4660000000000002</v>
      </c>
      <c r="BO92">
        <v>-19.582999999999998</v>
      </c>
      <c r="BP92">
        <v>1</v>
      </c>
      <c r="BQ92">
        <v>150</v>
      </c>
      <c r="BR92">
        <v>5.0000000000000001E-3</v>
      </c>
      <c r="BS92">
        <v>2</v>
      </c>
      <c r="BT92">
        <v>0</v>
      </c>
      <c r="BU92" t="s">
        <v>200</v>
      </c>
      <c r="BV92">
        <v>7000</v>
      </c>
      <c r="BW92">
        <v>500</v>
      </c>
      <c r="BX92">
        <v>5</v>
      </c>
      <c r="BY92">
        <v>2</v>
      </c>
      <c r="BZ92">
        <v>300</v>
      </c>
      <c r="CA92">
        <v>300</v>
      </c>
      <c r="CB92">
        <v>300</v>
      </c>
      <c r="CC92">
        <v>333.60742199999999</v>
      </c>
      <c r="CD92">
        <v>25</v>
      </c>
      <c r="CE92">
        <v>1.3304549999999999</v>
      </c>
      <c r="CF92">
        <v>339.89883400000002</v>
      </c>
      <c r="CG92">
        <v>335.50537100000003</v>
      </c>
      <c r="CH92">
        <v>4.3934629999999997</v>
      </c>
      <c r="CI92">
        <v>2.501741</v>
      </c>
      <c r="CJ92">
        <v>2.5117370000000001</v>
      </c>
      <c r="CK92">
        <v>1.666299</v>
      </c>
      <c r="CL92">
        <v>0.94120499999999996</v>
      </c>
      <c r="CM92">
        <v>0.17071900000000001</v>
      </c>
      <c r="CN92">
        <v>2.6485000000000002E-2</v>
      </c>
      <c r="CO92">
        <v>0.12779799999999999</v>
      </c>
      <c r="CP92">
        <v>1.4270449999999999</v>
      </c>
      <c r="CQ92">
        <v>251.19816599999999</v>
      </c>
      <c r="CR92">
        <v>3.8200000000000002E-4</v>
      </c>
      <c r="CS92">
        <v>2.4333689999999999</v>
      </c>
      <c r="CT92">
        <v>-3.6000000000000001E-5</v>
      </c>
      <c r="CU92">
        <v>1</v>
      </c>
      <c r="CV92">
        <v>2.4396819999999999</v>
      </c>
      <c r="CW92">
        <v>1.1E-5</v>
      </c>
      <c r="CX92">
        <v>1</v>
      </c>
      <c r="CY92">
        <v>0.60025499999999998</v>
      </c>
      <c r="CZ92">
        <v>0.60245199999999999</v>
      </c>
      <c r="DA92">
        <v>0.106742</v>
      </c>
      <c r="DB92">
        <v>0</v>
      </c>
      <c r="DC92" t="s">
        <v>607</v>
      </c>
      <c r="DD92" t="s">
        <v>515</v>
      </c>
      <c r="DE92" t="s">
        <v>516</v>
      </c>
      <c r="DF92" t="s">
        <v>517</v>
      </c>
      <c r="DG92" t="s">
        <v>518</v>
      </c>
      <c r="DH92" t="s">
        <v>205</v>
      </c>
      <c r="DI92" t="s">
        <v>519</v>
      </c>
    </row>
    <row r="93" spans="1:113">
      <c r="A93">
        <v>8</v>
      </c>
      <c r="B93" s="3">
        <v>0.20986111111111114</v>
      </c>
      <c r="C93" s="1">
        <v>45149</v>
      </c>
      <c r="D93" t="s">
        <v>196</v>
      </c>
      <c r="E93" t="s">
        <v>197</v>
      </c>
      <c r="G93">
        <v>8</v>
      </c>
      <c r="J93">
        <v>4.4192000000000002E-2</v>
      </c>
      <c r="K93">
        <v>2.9204129999999999</v>
      </c>
      <c r="L93">
        <v>4.3533000000000002E-2</v>
      </c>
      <c r="M93">
        <v>2.4124059999999998</v>
      </c>
      <c r="N93">
        <v>2.5964770000000001</v>
      </c>
      <c r="O93">
        <v>2.5331860000000002</v>
      </c>
      <c r="P93">
        <v>7.6091389999999999</v>
      </c>
      <c r="Q93">
        <v>5.0126619999999997</v>
      </c>
      <c r="R93">
        <v>26.509066000000001</v>
      </c>
      <c r="S93">
        <v>27.171386999999999</v>
      </c>
      <c r="T93">
        <v>79.627448999999999</v>
      </c>
      <c r="U93">
        <v>0.44178600000000001</v>
      </c>
      <c r="V93" t="s">
        <v>608</v>
      </c>
      <c r="W93">
        <v>0</v>
      </c>
      <c r="X93">
        <v>0</v>
      </c>
      <c r="Y93">
        <v>0</v>
      </c>
      <c r="Z93">
        <v>75.140472000000003</v>
      </c>
      <c r="AA93">
        <v>140.61930799999999</v>
      </c>
      <c r="AB93">
        <v>0.465646</v>
      </c>
      <c r="AC93">
        <v>0.5</v>
      </c>
      <c r="AD93">
        <v>0.8</v>
      </c>
      <c r="AE93">
        <v>218.14042699999999</v>
      </c>
      <c r="AF93">
        <v>41.3</v>
      </c>
      <c r="AG93">
        <v>40.299999999999997</v>
      </c>
      <c r="AH93">
        <v>36.950000000000003</v>
      </c>
      <c r="AI93">
        <v>40.49</v>
      </c>
      <c r="AJ93">
        <v>95.56</v>
      </c>
      <c r="AK93">
        <v>156.5</v>
      </c>
      <c r="AL93">
        <v>155.1</v>
      </c>
      <c r="AM93">
        <v>0.9</v>
      </c>
      <c r="AN93">
        <v>1171</v>
      </c>
      <c r="AO93">
        <v>4.0339999999999998</v>
      </c>
      <c r="AP93">
        <v>23</v>
      </c>
      <c r="AQ93">
        <v>-13</v>
      </c>
      <c r="AR93">
        <v>203</v>
      </c>
      <c r="AS93">
        <v>34.520000000000003</v>
      </c>
      <c r="AT93">
        <v>82.4</v>
      </c>
      <c r="AU93">
        <v>26.24</v>
      </c>
      <c r="AV93">
        <v>-126.42</v>
      </c>
      <c r="AW93">
        <v>15.27</v>
      </c>
      <c r="AX93">
        <v>119.87</v>
      </c>
      <c r="AY93">
        <v>36.9</v>
      </c>
      <c r="AZ93" s="3">
        <v>0.41670138888888886</v>
      </c>
      <c r="BA93" s="1">
        <v>45149</v>
      </c>
      <c r="BB93">
        <v>38.493079999999999</v>
      </c>
      <c r="BC93">
        <v>-1.3652420000000001</v>
      </c>
      <c r="BD93" t="s">
        <v>514</v>
      </c>
      <c r="BE93">
        <v>0</v>
      </c>
      <c r="BF93" t="s">
        <v>514</v>
      </c>
      <c r="BG93" s="3">
        <v>0.20792824074074076</v>
      </c>
      <c r="BH93" s="1">
        <v>45149</v>
      </c>
      <c r="BI93">
        <v>0.23</v>
      </c>
      <c r="BJ93">
        <v>0</v>
      </c>
      <c r="BK93">
        <v>0</v>
      </c>
      <c r="BL93">
        <v>-9999</v>
      </c>
      <c r="BM93">
        <v>-0.97299999999999998</v>
      </c>
      <c r="BN93">
        <v>-2.258</v>
      </c>
      <c r="BO93">
        <v>-9999</v>
      </c>
      <c r="BP93">
        <v>1</v>
      </c>
      <c r="BQ93">
        <v>150</v>
      </c>
      <c r="BR93">
        <v>5.0000000000000001E-3</v>
      </c>
      <c r="BS93">
        <v>2</v>
      </c>
      <c r="BT93">
        <v>0</v>
      </c>
      <c r="BU93" t="s">
        <v>200</v>
      </c>
      <c r="BV93">
        <v>7000</v>
      </c>
      <c r="BW93">
        <v>500</v>
      </c>
      <c r="BX93">
        <v>5</v>
      </c>
      <c r="BY93">
        <v>2</v>
      </c>
      <c r="BZ93">
        <v>300</v>
      </c>
      <c r="CA93">
        <v>300</v>
      </c>
      <c r="CB93">
        <v>300</v>
      </c>
      <c r="CC93">
        <v>134.22524999999999</v>
      </c>
      <c r="CD93">
        <v>25</v>
      </c>
      <c r="CE93">
        <v>-4.4452199999999999</v>
      </c>
      <c r="CF93">
        <v>133.27145400000001</v>
      </c>
      <c r="CG93">
        <v>134.27801500000001</v>
      </c>
      <c r="CH93">
        <v>-1.006561</v>
      </c>
      <c r="CI93">
        <v>2.5012099999999999</v>
      </c>
      <c r="CJ93">
        <v>2.510894</v>
      </c>
      <c r="CK93">
        <v>1.6650259999999999</v>
      </c>
      <c r="CL93">
        <v>0.94001900000000005</v>
      </c>
      <c r="CM93">
        <v>0.17053499999999999</v>
      </c>
      <c r="CN93">
        <v>4.7154000000000001E-2</v>
      </c>
      <c r="CO93">
        <v>0.13028999999999999</v>
      </c>
      <c r="CP93">
        <v>1.1427160000000001</v>
      </c>
      <c r="CQ93">
        <v>75.140472000000003</v>
      </c>
      <c r="CR93">
        <v>3.1399999999999999E-4</v>
      </c>
      <c r="CS93">
        <v>2.4333689999999999</v>
      </c>
      <c r="CT93">
        <v>-3.6000000000000001E-5</v>
      </c>
      <c r="CU93">
        <v>1</v>
      </c>
      <c r="CV93">
        <v>2.4396819999999999</v>
      </c>
      <c r="CW93">
        <v>1.1E-5</v>
      </c>
      <c r="CX93">
        <v>1</v>
      </c>
      <c r="CY93">
        <v>0.60025499999999998</v>
      </c>
      <c r="CZ93">
        <v>0.60245199999999999</v>
      </c>
      <c r="DA93">
        <v>0.106742</v>
      </c>
      <c r="DB93">
        <v>0</v>
      </c>
      <c r="DC93" t="s">
        <v>608</v>
      </c>
      <c r="DD93" t="s">
        <v>515</v>
      </c>
      <c r="DE93" t="s">
        <v>516</v>
      </c>
      <c r="DF93" t="s">
        <v>517</v>
      </c>
      <c r="DG93" t="s">
        <v>518</v>
      </c>
      <c r="DH93" t="s">
        <v>205</v>
      </c>
      <c r="DI93" t="s">
        <v>519</v>
      </c>
    </row>
    <row r="94" spans="1:113">
      <c r="A94">
        <v>9</v>
      </c>
      <c r="B94" s="3">
        <v>0.2114236111111111</v>
      </c>
      <c r="C94" s="1">
        <v>45149</v>
      </c>
      <c r="D94" t="s">
        <v>196</v>
      </c>
      <c r="E94" t="s">
        <v>197</v>
      </c>
      <c r="G94">
        <v>9</v>
      </c>
      <c r="J94">
        <v>1.3717999999999999E-2</v>
      </c>
      <c r="K94">
        <v>2.9209689999999999</v>
      </c>
      <c r="L94">
        <v>1.3653999999999999E-2</v>
      </c>
      <c r="M94">
        <v>0.838924</v>
      </c>
      <c r="N94">
        <v>2.4801299999999999</v>
      </c>
      <c r="O94">
        <v>2.4581029999999999</v>
      </c>
      <c r="P94">
        <v>8.0286439999999999</v>
      </c>
      <c r="Q94">
        <v>5.5485129999999998</v>
      </c>
      <c r="R94">
        <v>25.723745000000001</v>
      </c>
      <c r="S94">
        <v>25.954257999999999</v>
      </c>
      <c r="T94">
        <v>84.018760999999998</v>
      </c>
      <c r="U94">
        <v>0.44178600000000001</v>
      </c>
      <c r="V94" t="s">
        <v>609</v>
      </c>
      <c r="W94">
        <v>0</v>
      </c>
      <c r="X94">
        <v>0</v>
      </c>
      <c r="Y94">
        <v>0</v>
      </c>
      <c r="Z94">
        <v>92.509749999999997</v>
      </c>
      <c r="AA94">
        <v>103.108406</v>
      </c>
      <c r="AB94">
        <v>0.10279099999999999</v>
      </c>
      <c r="AC94">
        <v>0.5</v>
      </c>
      <c r="AD94">
        <v>0.8</v>
      </c>
      <c r="AE94">
        <v>78.794112999999996</v>
      </c>
      <c r="AF94">
        <v>39.4</v>
      </c>
      <c r="AG94">
        <v>39.049999999999997</v>
      </c>
      <c r="AH94">
        <v>36.97</v>
      </c>
      <c r="AI94">
        <v>41.5</v>
      </c>
      <c r="AJ94">
        <v>95.56</v>
      </c>
      <c r="AK94">
        <v>156.6</v>
      </c>
      <c r="AL94">
        <v>155.30000000000001</v>
      </c>
      <c r="AM94">
        <v>0.8</v>
      </c>
      <c r="AN94">
        <v>1916</v>
      </c>
      <c r="AO94">
        <v>4.0339999999999998</v>
      </c>
      <c r="AP94">
        <v>17</v>
      </c>
      <c r="AQ94">
        <v>-20</v>
      </c>
      <c r="AR94">
        <v>209</v>
      </c>
      <c r="AZ94" s="3">
        <v>0</v>
      </c>
      <c r="BA94" t="s">
        <v>513</v>
      </c>
      <c r="BB94" t="s">
        <v>514</v>
      </c>
      <c r="BC94" t="s">
        <v>514</v>
      </c>
      <c r="BD94" t="s">
        <v>514</v>
      </c>
      <c r="BE94">
        <v>0</v>
      </c>
      <c r="BF94" t="s">
        <v>514</v>
      </c>
      <c r="BG94" s="3">
        <v>0.20792824074074076</v>
      </c>
      <c r="BH94" s="1">
        <v>45149</v>
      </c>
      <c r="BI94">
        <v>0.23</v>
      </c>
      <c r="BJ94">
        <v>0</v>
      </c>
      <c r="BK94">
        <v>1E-3</v>
      </c>
      <c r="BL94">
        <v>-9999</v>
      </c>
      <c r="BM94">
        <v>0.314</v>
      </c>
      <c r="BN94">
        <v>0.434</v>
      </c>
      <c r="BO94">
        <v>-9999</v>
      </c>
      <c r="BP94">
        <v>1</v>
      </c>
      <c r="BQ94">
        <v>150</v>
      </c>
      <c r="BR94">
        <v>5.0000000000000001E-3</v>
      </c>
      <c r="BS94">
        <v>2</v>
      </c>
      <c r="BT94">
        <v>0</v>
      </c>
      <c r="BU94" t="s">
        <v>200</v>
      </c>
      <c r="BV94">
        <v>7000</v>
      </c>
      <c r="BW94">
        <v>500</v>
      </c>
      <c r="BX94">
        <v>5</v>
      </c>
      <c r="BY94">
        <v>2</v>
      </c>
      <c r="BZ94">
        <v>300</v>
      </c>
      <c r="CA94">
        <v>300</v>
      </c>
      <c r="CB94">
        <v>300</v>
      </c>
      <c r="CC94">
        <v>103.108406</v>
      </c>
      <c r="CD94">
        <v>25</v>
      </c>
      <c r="CE94">
        <v>0.87202400000000002</v>
      </c>
      <c r="CF94">
        <v>104.35939</v>
      </c>
      <c r="CG94">
        <v>104.352386</v>
      </c>
      <c r="CH94">
        <v>7.0039999999999998E-3</v>
      </c>
      <c r="CI94">
        <v>2.4993439999999998</v>
      </c>
      <c r="CJ94">
        <v>2.508038</v>
      </c>
      <c r="CK94">
        <v>1.665611</v>
      </c>
      <c r="CL94">
        <v>0.94070100000000001</v>
      </c>
      <c r="CM94">
        <v>0.17036200000000001</v>
      </c>
      <c r="CN94">
        <v>6.0456999999999997E-2</v>
      </c>
      <c r="CO94">
        <v>0.14741699999999999</v>
      </c>
      <c r="CP94">
        <v>1.801882</v>
      </c>
      <c r="CQ94">
        <v>92.509749999999997</v>
      </c>
      <c r="CR94">
        <v>3.8900000000000002E-4</v>
      </c>
      <c r="CS94">
        <v>2.4333689999999999</v>
      </c>
      <c r="CT94">
        <v>-3.6000000000000001E-5</v>
      </c>
      <c r="CU94">
        <v>1</v>
      </c>
      <c r="CV94">
        <v>2.4396819999999999</v>
      </c>
      <c r="CW94">
        <v>1.1E-5</v>
      </c>
      <c r="CX94">
        <v>1</v>
      </c>
      <c r="CY94">
        <v>0.60025499999999998</v>
      </c>
      <c r="CZ94">
        <v>0.60245199999999999</v>
      </c>
      <c r="DA94">
        <v>0.106742</v>
      </c>
      <c r="DB94">
        <v>0</v>
      </c>
      <c r="DC94" t="s">
        <v>609</v>
      </c>
      <c r="DD94" t="s">
        <v>515</v>
      </c>
      <c r="DE94" t="s">
        <v>516</v>
      </c>
      <c r="DF94" t="s">
        <v>517</v>
      </c>
      <c r="DG94" t="s">
        <v>518</v>
      </c>
      <c r="DH94" t="s">
        <v>205</v>
      </c>
      <c r="DI94" t="s">
        <v>519</v>
      </c>
    </row>
    <row r="95" spans="1:113">
      <c r="A95">
        <v>10</v>
      </c>
      <c r="B95" s="3">
        <v>0.21160879629629628</v>
      </c>
      <c r="C95" s="1">
        <v>45149</v>
      </c>
      <c r="D95" t="s">
        <v>196</v>
      </c>
      <c r="E95" t="s">
        <v>197</v>
      </c>
      <c r="G95">
        <v>10</v>
      </c>
      <c r="J95">
        <v>7.3769999999999999E-3</v>
      </c>
      <c r="K95">
        <v>2.923025</v>
      </c>
      <c r="L95">
        <v>7.358E-3</v>
      </c>
      <c r="M95">
        <v>0.42274699999999998</v>
      </c>
      <c r="N95">
        <v>2.4616730000000002</v>
      </c>
      <c r="O95">
        <v>2.4505889999999999</v>
      </c>
      <c r="P95">
        <v>7.6609689999999997</v>
      </c>
      <c r="Q95">
        <v>5.1992960000000004</v>
      </c>
      <c r="R95">
        <v>25.645517000000002</v>
      </c>
      <c r="S95">
        <v>25.761509</v>
      </c>
      <c r="T95">
        <v>80.172355999999994</v>
      </c>
      <c r="U95">
        <v>0.44178600000000001</v>
      </c>
      <c r="V95" t="s">
        <v>610</v>
      </c>
      <c r="W95">
        <v>0</v>
      </c>
      <c r="X95">
        <v>0</v>
      </c>
      <c r="Y95">
        <v>0</v>
      </c>
      <c r="Z95">
        <v>88.512894000000003</v>
      </c>
      <c r="AA95">
        <v>96.536277999999996</v>
      </c>
      <c r="AB95">
        <v>8.3113000000000006E-2</v>
      </c>
      <c r="AC95">
        <v>0.5</v>
      </c>
      <c r="AD95">
        <v>0.8</v>
      </c>
      <c r="AE95">
        <v>61.692078000000002</v>
      </c>
      <c r="AF95">
        <v>39.049999999999997</v>
      </c>
      <c r="AG95">
        <v>38.869999999999997</v>
      </c>
      <c r="AH95">
        <v>37</v>
      </c>
      <c r="AI95">
        <v>40.619999999999997</v>
      </c>
      <c r="AJ95">
        <v>95.56</v>
      </c>
      <c r="AK95">
        <v>156.9</v>
      </c>
      <c r="AL95">
        <v>155.19999999999999</v>
      </c>
      <c r="AM95">
        <v>1.1000000000000001</v>
      </c>
      <c r="AN95">
        <v>1856</v>
      </c>
      <c r="AO95">
        <v>4.0330000000000004</v>
      </c>
      <c r="AP95">
        <v>24</v>
      </c>
      <c r="AQ95">
        <v>-18</v>
      </c>
      <c r="AR95">
        <v>203</v>
      </c>
      <c r="AZ95" s="3">
        <v>0</v>
      </c>
      <c r="BA95" t="s">
        <v>513</v>
      </c>
      <c r="BB95">
        <v>38.493068999999998</v>
      </c>
      <c r="BC95">
        <v>-1.365237</v>
      </c>
      <c r="BD95">
        <v>604.09997599999997</v>
      </c>
      <c r="BE95">
        <v>6</v>
      </c>
      <c r="BF95">
        <v>1.33</v>
      </c>
      <c r="BG95" s="3">
        <v>0.20792824074074076</v>
      </c>
      <c r="BH95" s="1">
        <v>45149</v>
      </c>
      <c r="BI95">
        <v>0.23</v>
      </c>
      <c r="BJ95">
        <v>0</v>
      </c>
      <c r="BK95">
        <v>0</v>
      </c>
      <c r="BL95">
        <v>-9999</v>
      </c>
      <c r="BM95">
        <v>2.1000000000000001E-2</v>
      </c>
      <c r="BN95">
        <v>-2.1000000000000001E-2</v>
      </c>
      <c r="BO95">
        <v>-9999</v>
      </c>
      <c r="BP95">
        <v>1</v>
      </c>
      <c r="BQ95">
        <v>150</v>
      </c>
      <c r="BR95">
        <v>5.0000000000000001E-3</v>
      </c>
      <c r="BS95">
        <v>2</v>
      </c>
      <c r="BT95">
        <v>0</v>
      </c>
      <c r="BU95" t="s">
        <v>200</v>
      </c>
      <c r="BV95">
        <v>7000</v>
      </c>
      <c r="BW95">
        <v>500</v>
      </c>
      <c r="BX95">
        <v>5</v>
      </c>
      <c r="BY95">
        <v>2</v>
      </c>
      <c r="BZ95">
        <v>300</v>
      </c>
      <c r="CA95">
        <v>300</v>
      </c>
      <c r="CB95">
        <v>300</v>
      </c>
      <c r="CC95">
        <v>96.536277999999996</v>
      </c>
      <c r="CD95">
        <v>25</v>
      </c>
      <c r="CE95">
        <v>8.6013000000000006E-2</v>
      </c>
      <c r="CF95">
        <v>96.817374999999998</v>
      </c>
      <c r="CG95">
        <v>96.658980999999997</v>
      </c>
      <c r="CH95">
        <v>0.15839400000000001</v>
      </c>
      <c r="CI95">
        <v>2.4990839999999999</v>
      </c>
      <c r="CJ95">
        <v>2.5075159999999999</v>
      </c>
      <c r="CK95">
        <v>1.6677820000000001</v>
      </c>
      <c r="CL95">
        <v>0.94038200000000005</v>
      </c>
      <c r="CM95">
        <v>0.17019999999999999</v>
      </c>
      <c r="CN95">
        <v>4.8207E-2</v>
      </c>
      <c r="CO95">
        <v>0.14929999999999999</v>
      </c>
      <c r="CP95">
        <v>1.7482040000000001</v>
      </c>
      <c r="CQ95">
        <v>88.512894000000003</v>
      </c>
      <c r="CR95">
        <v>3.79E-4</v>
      </c>
      <c r="CS95">
        <v>2.4333689999999999</v>
      </c>
      <c r="CT95">
        <v>-3.6000000000000001E-5</v>
      </c>
      <c r="CU95">
        <v>1</v>
      </c>
      <c r="CV95">
        <v>2.4396819999999999</v>
      </c>
      <c r="CW95">
        <v>1.1E-5</v>
      </c>
      <c r="CX95">
        <v>1</v>
      </c>
      <c r="CY95">
        <v>0.60025499999999998</v>
      </c>
      <c r="CZ95">
        <v>0.60245199999999999</v>
      </c>
      <c r="DA95">
        <v>0.106742</v>
      </c>
      <c r="DB95">
        <v>0</v>
      </c>
      <c r="DC95" t="s">
        <v>610</v>
      </c>
      <c r="DD95" t="s">
        <v>515</v>
      </c>
      <c r="DE95" t="s">
        <v>516</v>
      </c>
      <c r="DF95" t="s">
        <v>517</v>
      </c>
      <c r="DG95" t="s">
        <v>518</v>
      </c>
      <c r="DH95" t="s">
        <v>205</v>
      </c>
      <c r="DI95" t="s">
        <v>519</v>
      </c>
    </row>
    <row r="96" spans="1:113">
      <c r="A96">
        <v>11</v>
      </c>
      <c r="B96" s="3">
        <v>0.21179398148148146</v>
      </c>
      <c r="C96" s="1">
        <v>45149</v>
      </c>
      <c r="D96" t="s">
        <v>196</v>
      </c>
      <c r="E96" t="s">
        <v>197</v>
      </c>
      <c r="G96">
        <v>11</v>
      </c>
      <c r="J96">
        <v>5.5596E-2</v>
      </c>
      <c r="K96">
        <v>2.9199480000000002</v>
      </c>
      <c r="L96">
        <v>5.4557000000000001E-2</v>
      </c>
      <c r="M96">
        <v>3.0339510000000001</v>
      </c>
      <c r="N96">
        <v>2.6091679999999999</v>
      </c>
      <c r="O96">
        <v>2.5295529999999999</v>
      </c>
      <c r="P96">
        <v>7.6382779999999997</v>
      </c>
      <c r="Q96">
        <v>5.0291110000000003</v>
      </c>
      <c r="R96">
        <v>26.471316999999999</v>
      </c>
      <c r="S96">
        <v>27.304473999999999</v>
      </c>
      <c r="T96">
        <v>79.933220000000006</v>
      </c>
      <c r="U96">
        <v>0.44178600000000001</v>
      </c>
      <c r="V96" t="s">
        <v>611</v>
      </c>
      <c r="W96">
        <v>0</v>
      </c>
      <c r="X96">
        <v>0</v>
      </c>
      <c r="Y96">
        <v>0</v>
      </c>
      <c r="Z96">
        <v>267.00030500000003</v>
      </c>
      <c r="AA96">
        <v>327.84210200000001</v>
      </c>
      <c r="AB96">
        <v>0.185583</v>
      </c>
      <c r="AC96">
        <v>0.5</v>
      </c>
      <c r="AD96">
        <v>0.8</v>
      </c>
      <c r="AE96">
        <v>100.20869399999999</v>
      </c>
      <c r="AF96">
        <v>41.33</v>
      </c>
      <c r="AG96">
        <v>40.07</v>
      </c>
      <c r="AH96">
        <v>37.020000000000003</v>
      </c>
      <c r="AI96">
        <v>40.56</v>
      </c>
      <c r="AJ96">
        <v>95.56</v>
      </c>
      <c r="AK96">
        <v>156.5</v>
      </c>
      <c r="AL96">
        <v>154.9</v>
      </c>
      <c r="AM96">
        <v>1</v>
      </c>
      <c r="AN96">
        <v>1350</v>
      </c>
      <c r="AO96">
        <v>4.0330000000000004</v>
      </c>
      <c r="AP96">
        <v>-8</v>
      </c>
      <c r="AQ96">
        <v>-5</v>
      </c>
      <c r="AR96">
        <v>183</v>
      </c>
      <c r="AZ96" s="3">
        <v>0.41862268518518514</v>
      </c>
      <c r="BA96" s="1">
        <v>45149</v>
      </c>
      <c r="BB96" t="s">
        <v>514</v>
      </c>
      <c r="BC96" t="s">
        <v>514</v>
      </c>
      <c r="BD96" t="s">
        <v>514</v>
      </c>
      <c r="BE96">
        <v>0</v>
      </c>
      <c r="BF96" t="s">
        <v>514</v>
      </c>
      <c r="BG96" s="3">
        <v>0.20792824074074076</v>
      </c>
      <c r="BH96" s="1">
        <v>45149</v>
      </c>
      <c r="BI96">
        <v>0.23</v>
      </c>
      <c r="BJ96">
        <v>0</v>
      </c>
      <c r="BK96">
        <v>2E-3</v>
      </c>
      <c r="BL96">
        <v>2E-3</v>
      </c>
      <c r="BM96">
        <v>1.6060000000000001</v>
      </c>
      <c r="BN96">
        <v>-5.0000000000000001E-3</v>
      </c>
      <c r="BO96">
        <v>-15.071</v>
      </c>
      <c r="BP96">
        <v>1</v>
      </c>
      <c r="BQ96">
        <v>150</v>
      </c>
      <c r="BR96">
        <v>5.0000000000000001E-3</v>
      </c>
      <c r="BS96">
        <v>2</v>
      </c>
      <c r="BT96">
        <v>0</v>
      </c>
      <c r="BU96" t="s">
        <v>200</v>
      </c>
      <c r="BV96">
        <v>7000</v>
      </c>
      <c r="BW96">
        <v>500</v>
      </c>
      <c r="BX96">
        <v>5</v>
      </c>
      <c r="BY96">
        <v>2</v>
      </c>
      <c r="BZ96">
        <v>300</v>
      </c>
      <c r="CA96">
        <v>300</v>
      </c>
      <c r="CB96">
        <v>300</v>
      </c>
      <c r="CC96">
        <v>327.84210200000001</v>
      </c>
      <c r="CD96">
        <v>25</v>
      </c>
      <c r="CE96">
        <v>6.7675679999999998</v>
      </c>
      <c r="CF96">
        <v>335.933807</v>
      </c>
      <c r="CG96">
        <v>337.496307</v>
      </c>
      <c r="CH96">
        <v>-1.5625</v>
      </c>
      <c r="CI96">
        <v>2.5008539999999999</v>
      </c>
      <c r="CJ96">
        <v>2.51092</v>
      </c>
      <c r="CK96">
        <v>1.6645369999999999</v>
      </c>
      <c r="CL96">
        <v>0.93970699999999996</v>
      </c>
      <c r="CM96">
        <v>0.170019</v>
      </c>
      <c r="CN96">
        <v>4.7104E-2</v>
      </c>
      <c r="CO96">
        <v>0.151286</v>
      </c>
      <c r="CP96">
        <v>1.3008310000000001</v>
      </c>
      <c r="CQ96">
        <v>267.00030500000003</v>
      </c>
      <c r="CR96">
        <v>3.8299999999999999E-4</v>
      </c>
      <c r="CS96">
        <v>2.4333689999999999</v>
      </c>
      <c r="CT96">
        <v>-3.6000000000000001E-5</v>
      </c>
      <c r="CU96">
        <v>1</v>
      </c>
      <c r="CV96">
        <v>2.4396819999999999</v>
      </c>
      <c r="CW96">
        <v>1.1E-5</v>
      </c>
      <c r="CX96">
        <v>1</v>
      </c>
      <c r="CY96">
        <v>0.60025499999999998</v>
      </c>
      <c r="CZ96">
        <v>0.60245199999999999</v>
      </c>
      <c r="DA96">
        <v>0.106742</v>
      </c>
      <c r="DB96">
        <v>0</v>
      </c>
      <c r="DC96" t="s">
        <v>611</v>
      </c>
      <c r="DD96" t="s">
        <v>515</v>
      </c>
      <c r="DE96" t="s">
        <v>516</v>
      </c>
      <c r="DF96" t="s">
        <v>517</v>
      </c>
      <c r="DG96" t="s">
        <v>518</v>
      </c>
      <c r="DH96" t="s">
        <v>205</v>
      </c>
      <c r="DI96" t="s">
        <v>519</v>
      </c>
    </row>
    <row r="97" spans="1:113">
      <c r="A97">
        <v>12</v>
      </c>
      <c r="B97" s="3">
        <v>0.2119212962962963</v>
      </c>
      <c r="C97" s="1">
        <v>45149</v>
      </c>
      <c r="D97" t="s">
        <v>196</v>
      </c>
      <c r="E97" t="s">
        <v>197</v>
      </c>
      <c r="G97">
        <v>12</v>
      </c>
      <c r="J97">
        <v>3.7179999999999998E-2</v>
      </c>
      <c r="K97">
        <v>2.9217819999999999</v>
      </c>
      <c r="L97">
        <v>3.6713000000000003E-2</v>
      </c>
      <c r="M97">
        <v>2.3021289999999999</v>
      </c>
      <c r="N97">
        <v>2.611818</v>
      </c>
      <c r="O97">
        <v>2.5514969999999999</v>
      </c>
      <c r="P97">
        <v>8.2628920000000008</v>
      </c>
      <c r="Q97">
        <v>5.6510740000000004</v>
      </c>
      <c r="R97">
        <v>26.701450000000001</v>
      </c>
      <c r="S97">
        <v>27.332706000000002</v>
      </c>
      <c r="T97">
        <v>86.471267999999995</v>
      </c>
      <c r="U97">
        <v>0.44178600000000001</v>
      </c>
      <c r="V97" t="s">
        <v>612</v>
      </c>
      <c r="W97">
        <v>0</v>
      </c>
      <c r="X97">
        <v>0</v>
      </c>
      <c r="Y97">
        <v>0</v>
      </c>
      <c r="Z97">
        <v>88.069443000000007</v>
      </c>
      <c r="AA97">
        <v>105.685829</v>
      </c>
      <c r="AB97">
        <v>0.166686</v>
      </c>
      <c r="AC97">
        <v>0.5</v>
      </c>
      <c r="AD97">
        <v>0.8</v>
      </c>
      <c r="AE97">
        <v>117.663231</v>
      </c>
      <c r="AF97">
        <v>41.32</v>
      </c>
      <c r="AG97">
        <v>40.369999999999997</v>
      </c>
      <c r="AH97">
        <v>37.049999999999997</v>
      </c>
      <c r="AI97">
        <v>42.04</v>
      </c>
      <c r="AJ97">
        <v>95.56</v>
      </c>
      <c r="AK97">
        <v>156.69999999999999</v>
      </c>
      <c r="AL97">
        <v>155.30000000000001</v>
      </c>
      <c r="AM97">
        <v>0.9</v>
      </c>
      <c r="AN97">
        <v>1765</v>
      </c>
      <c r="AO97">
        <v>4.0330000000000004</v>
      </c>
      <c r="AP97">
        <v>22</v>
      </c>
      <c r="AQ97">
        <v>-38</v>
      </c>
      <c r="AR97">
        <v>181</v>
      </c>
      <c r="AZ97" s="3">
        <v>0</v>
      </c>
      <c r="BA97" t="s">
        <v>513</v>
      </c>
      <c r="BB97" t="s">
        <v>514</v>
      </c>
      <c r="BC97" t="s">
        <v>514</v>
      </c>
      <c r="BD97" t="s">
        <v>514</v>
      </c>
      <c r="BE97">
        <v>0</v>
      </c>
      <c r="BF97" t="s">
        <v>514</v>
      </c>
      <c r="BG97" s="3">
        <v>0.20792824074074076</v>
      </c>
      <c r="BH97" s="1">
        <v>45149</v>
      </c>
      <c r="BI97">
        <v>0.23</v>
      </c>
      <c r="BJ97">
        <v>1E-3</v>
      </c>
      <c r="BK97">
        <v>1E-3</v>
      </c>
      <c r="BL97">
        <v>-9999</v>
      </c>
      <c r="BM97">
        <v>0.54</v>
      </c>
      <c r="BN97">
        <v>0.755</v>
      </c>
      <c r="BO97">
        <v>-9999</v>
      </c>
      <c r="BP97">
        <v>1</v>
      </c>
      <c r="BQ97">
        <v>150</v>
      </c>
      <c r="BR97">
        <v>5.0000000000000001E-3</v>
      </c>
      <c r="BS97">
        <v>2</v>
      </c>
      <c r="BT97">
        <v>0</v>
      </c>
      <c r="BU97" t="s">
        <v>200</v>
      </c>
      <c r="BV97">
        <v>7000</v>
      </c>
      <c r="BW97">
        <v>500</v>
      </c>
      <c r="BX97">
        <v>5</v>
      </c>
      <c r="BY97">
        <v>2</v>
      </c>
      <c r="BZ97">
        <v>300</v>
      </c>
      <c r="CA97">
        <v>300</v>
      </c>
      <c r="CB97">
        <v>300</v>
      </c>
      <c r="CC97">
        <v>105.685829</v>
      </c>
      <c r="CD97">
        <v>25</v>
      </c>
      <c r="CE97">
        <v>0.37882300000000002</v>
      </c>
      <c r="CF97">
        <v>106.910347</v>
      </c>
      <c r="CG97">
        <v>106.22623400000001</v>
      </c>
      <c r="CH97">
        <v>0.68411299999999997</v>
      </c>
      <c r="CI97">
        <v>2.501296</v>
      </c>
      <c r="CJ97">
        <v>2.510907</v>
      </c>
      <c r="CK97">
        <v>1.6664680000000001</v>
      </c>
      <c r="CL97">
        <v>0.94056200000000001</v>
      </c>
      <c r="CM97">
        <v>0.169876</v>
      </c>
      <c r="CN97">
        <v>6.6919999999999993E-2</v>
      </c>
      <c r="CO97">
        <v>0.15256600000000001</v>
      </c>
      <c r="CP97">
        <v>1.6677649999999999</v>
      </c>
      <c r="CQ97">
        <v>88.069443000000007</v>
      </c>
      <c r="CR97">
        <v>3.8400000000000001E-4</v>
      </c>
      <c r="CS97">
        <v>2.4333689999999999</v>
      </c>
      <c r="CT97">
        <v>-3.6000000000000001E-5</v>
      </c>
      <c r="CU97">
        <v>1</v>
      </c>
      <c r="CV97">
        <v>2.4396819999999999</v>
      </c>
      <c r="CW97">
        <v>1.1E-5</v>
      </c>
      <c r="CX97">
        <v>1</v>
      </c>
      <c r="CY97">
        <v>0.60025499999999998</v>
      </c>
      <c r="CZ97">
        <v>0.60245199999999999</v>
      </c>
      <c r="DA97">
        <v>0.106742</v>
      </c>
      <c r="DB97">
        <v>0</v>
      </c>
      <c r="DC97" t="s">
        <v>612</v>
      </c>
      <c r="DD97" t="s">
        <v>515</v>
      </c>
      <c r="DE97" t="s">
        <v>516</v>
      </c>
      <c r="DF97" t="s">
        <v>517</v>
      </c>
      <c r="DG97" t="s">
        <v>518</v>
      </c>
      <c r="DH97" t="s">
        <v>205</v>
      </c>
      <c r="DI97" t="s">
        <v>519</v>
      </c>
    </row>
    <row r="98" spans="1:113">
      <c r="A98">
        <v>1</v>
      </c>
      <c r="B98" s="3">
        <v>0.27879629629629626</v>
      </c>
      <c r="C98" s="1">
        <v>45149</v>
      </c>
      <c r="D98" t="s">
        <v>196</v>
      </c>
      <c r="E98" t="s">
        <v>197</v>
      </c>
      <c r="G98">
        <v>1</v>
      </c>
      <c r="J98">
        <v>6.2861E-2</v>
      </c>
      <c r="K98">
        <v>2.920058</v>
      </c>
      <c r="L98">
        <v>6.1536E-2</v>
      </c>
      <c r="M98">
        <v>3.0619160000000001</v>
      </c>
      <c r="N98">
        <v>2.4057539999999999</v>
      </c>
      <c r="O98">
        <v>2.325196</v>
      </c>
      <c r="P98">
        <v>6.9305479999999999</v>
      </c>
      <c r="Q98">
        <v>4.524794</v>
      </c>
      <c r="R98">
        <v>24.321118999999999</v>
      </c>
      <c r="S98">
        <v>25.163734000000002</v>
      </c>
      <c r="T98">
        <v>72.492241000000007</v>
      </c>
      <c r="U98">
        <v>0.44178600000000001</v>
      </c>
      <c r="V98" t="s">
        <v>613</v>
      </c>
      <c r="W98">
        <v>0</v>
      </c>
      <c r="X98">
        <v>0</v>
      </c>
      <c r="Y98">
        <v>0</v>
      </c>
      <c r="Z98">
        <v>92.560531999999995</v>
      </c>
      <c r="AA98">
        <v>127.565994</v>
      </c>
      <c r="AB98">
        <v>0.27441100000000002</v>
      </c>
      <c r="AC98">
        <v>0.5</v>
      </c>
      <c r="AD98">
        <v>0.8</v>
      </c>
      <c r="AE98">
        <v>199.25552400000001</v>
      </c>
      <c r="AF98">
        <v>42.93</v>
      </c>
      <c r="AG98">
        <v>41.49</v>
      </c>
      <c r="AH98">
        <v>34.86</v>
      </c>
      <c r="AI98">
        <v>38.74</v>
      </c>
      <c r="AJ98">
        <v>95.6</v>
      </c>
      <c r="AK98">
        <v>156.5</v>
      </c>
      <c r="AL98">
        <v>155.80000000000001</v>
      </c>
      <c r="AM98">
        <v>0.5</v>
      </c>
      <c r="AN98">
        <v>1815</v>
      </c>
      <c r="AO98">
        <v>4.0330000000000004</v>
      </c>
      <c r="AP98">
        <v>22</v>
      </c>
      <c r="AQ98">
        <v>-5</v>
      </c>
      <c r="AR98">
        <v>34</v>
      </c>
      <c r="AZ98" s="3">
        <v>0</v>
      </c>
      <c r="BA98" t="s">
        <v>513</v>
      </c>
      <c r="BB98" t="s">
        <v>514</v>
      </c>
      <c r="BC98" t="s">
        <v>514</v>
      </c>
      <c r="BD98" t="s">
        <v>514</v>
      </c>
      <c r="BE98">
        <v>0</v>
      </c>
      <c r="BF98" t="s">
        <v>514</v>
      </c>
      <c r="BG98" s="3">
        <v>0.27868055555555554</v>
      </c>
      <c r="BH98" s="1">
        <v>45149</v>
      </c>
      <c r="BI98">
        <v>-0.21</v>
      </c>
      <c r="BJ98">
        <v>1E-3</v>
      </c>
      <c r="BK98">
        <v>2E-3</v>
      </c>
      <c r="BL98">
        <v>-9999</v>
      </c>
      <c r="BM98">
        <v>0.17199999999999999</v>
      </c>
      <c r="BN98">
        <v>1.4059999999999999</v>
      </c>
      <c r="BO98">
        <v>-9999</v>
      </c>
      <c r="BP98">
        <v>1</v>
      </c>
      <c r="BQ98">
        <v>150</v>
      </c>
      <c r="BR98">
        <v>5.0000000000000001E-3</v>
      </c>
      <c r="BS98">
        <v>2</v>
      </c>
      <c r="BT98">
        <v>0</v>
      </c>
      <c r="BU98" t="s">
        <v>200</v>
      </c>
      <c r="BV98">
        <v>7000</v>
      </c>
      <c r="BW98">
        <v>500</v>
      </c>
      <c r="BX98">
        <v>5</v>
      </c>
      <c r="BY98">
        <v>2</v>
      </c>
      <c r="BZ98">
        <v>300</v>
      </c>
      <c r="CA98">
        <v>300</v>
      </c>
      <c r="CB98">
        <v>300</v>
      </c>
      <c r="CC98">
        <v>121.33884399999999</v>
      </c>
      <c r="CD98">
        <v>25</v>
      </c>
      <c r="CE98">
        <v>-4.5129320000000002</v>
      </c>
      <c r="CF98">
        <v>120.14329499999999</v>
      </c>
      <c r="CG98">
        <v>121.12810500000001</v>
      </c>
      <c r="CH98">
        <v>-0.98480999999999996</v>
      </c>
      <c r="CI98">
        <v>2.5033590000000001</v>
      </c>
      <c r="CJ98">
        <v>2.514246</v>
      </c>
      <c r="CK98">
        <v>1.6646529999999999</v>
      </c>
      <c r="CL98">
        <v>0.94189199999999995</v>
      </c>
      <c r="CM98">
        <v>0.18490599999999999</v>
      </c>
      <c r="CN98">
        <v>5.0688999999999998E-2</v>
      </c>
      <c r="CO98">
        <v>8.0404000000000003E-2</v>
      </c>
      <c r="CP98">
        <v>1.7124919999999999</v>
      </c>
      <c r="CQ98">
        <v>92.560531999999995</v>
      </c>
      <c r="CR98">
        <v>3.8299999999999999E-4</v>
      </c>
      <c r="CS98">
        <v>2.4333689999999999</v>
      </c>
      <c r="CT98">
        <v>-3.6000000000000001E-5</v>
      </c>
      <c r="CU98">
        <v>1</v>
      </c>
      <c r="CV98">
        <v>2.4396819999999999</v>
      </c>
      <c r="CW98">
        <v>1.1E-5</v>
      </c>
      <c r="CX98">
        <v>1</v>
      </c>
      <c r="CY98">
        <v>0.60025499999999998</v>
      </c>
      <c r="CZ98">
        <v>0.60245199999999999</v>
      </c>
      <c r="DA98">
        <v>0.106742</v>
      </c>
      <c r="DB98">
        <v>0</v>
      </c>
      <c r="DC98" t="s">
        <v>613</v>
      </c>
      <c r="DD98" t="s">
        <v>515</v>
      </c>
      <c r="DE98" t="s">
        <v>516</v>
      </c>
      <c r="DF98" t="s">
        <v>517</v>
      </c>
      <c r="DG98" t="s">
        <v>518</v>
      </c>
      <c r="DH98" t="s">
        <v>205</v>
      </c>
      <c r="DI98" t="s">
        <v>519</v>
      </c>
    </row>
    <row r="99" spans="1:113">
      <c r="A99">
        <v>2</v>
      </c>
      <c r="B99" s="3">
        <v>0.27907407407407409</v>
      </c>
      <c r="C99" s="1">
        <v>45149</v>
      </c>
      <c r="D99" t="s">
        <v>196</v>
      </c>
      <c r="E99" t="s">
        <v>197</v>
      </c>
      <c r="G99">
        <v>2</v>
      </c>
      <c r="J99">
        <v>0.130574</v>
      </c>
      <c r="K99">
        <v>2.9210389999999999</v>
      </c>
      <c r="L99">
        <v>0.124987</v>
      </c>
      <c r="M99">
        <v>5.1882109999999999</v>
      </c>
      <c r="N99">
        <v>2.5297429999999999</v>
      </c>
      <c r="O99">
        <v>2.3935399999999998</v>
      </c>
      <c r="P99">
        <v>6.3144600000000004</v>
      </c>
      <c r="Q99">
        <v>3.7847170000000001</v>
      </c>
      <c r="R99">
        <v>25.037486999999999</v>
      </c>
      <c r="S99">
        <v>26.462233999999999</v>
      </c>
      <c r="T99">
        <v>66.052047999999999</v>
      </c>
      <c r="U99">
        <v>0.44178600000000001</v>
      </c>
      <c r="V99" t="s">
        <v>614</v>
      </c>
      <c r="W99">
        <v>0</v>
      </c>
      <c r="X99">
        <v>0</v>
      </c>
      <c r="Y99">
        <v>0</v>
      </c>
      <c r="Z99">
        <v>184.492706</v>
      </c>
      <c r="AA99">
        <v>343.24456800000002</v>
      </c>
      <c r="AB99">
        <v>0.46250400000000003</v>
      </c>
      <c r="AC99">
        <v>0.5</v>
      </c>
      <c r="AD99">
        <v>0.8</v>
      </c>
      <c r="AE99">
        <v>19.152598999999999</v>
      </c>
      <c r="AF99">
        <v>44.92</v>
      </c>
      <c r="AG99">
        <v>42.5</v>
      </c>
      <c r="AH99">
        <v>34.950000000000003</v>
      </c>
      <c r="AI99">
        <v>37.03</v>
      </c>
      <c r="AJ99">
        <v>95.6</v>
      </c>
      <c r="AK99">
        <v>156.6</v>
      </c>
      <c r="AL99">
        <v>155.9</v>
      </c>
      <c r="AM99">
        <v>0.5</v>
      </c>
      <c r="AN99">
        <v>104</v>
      </c>
      <c r="AO99">
        <v>4.032</v>
      </c>
      <c r="AP99">
        <v>23</v>
      </c>
      <c r="AQ99">
        <v>-16</v>
      </c>
      <c r="AR99">
        <v>198</v>
      </c>
      <c r="AZ99" s="3">
        <v>0</v>
      </c>
      <c r="BA99" t="s">
        <v>513</v>
      </c>
      <c r="BB99" t="s">
        <v>514</v>
      </c>
      <c r="BC99" t="s">
        <v>514</v>
      </c>
      <c r="BD99" t="s">
        <v>514</v>
      </c>
      <c r="BE99">
        <v>0</v>
      </c>
      <c r="BF99" t="s">
        <v>514</v>
      </c>
      <c r="BG99" s="3">
        <v>0.27868055555555554</v>
      </c>
      <c r="BH99" s="1">
        <v>45149</v>
      </c>
      <c r="BI99">
        <v>-0.21</v>
      </c>
      <c r="BJ99">
        <v>0</v>
      </c>
      <c r="BK99">
        <v>-2E-3</v>
      </c>
      <c r="BL99">
        <v>1E-3</v>
      </c>
      <c r="BM99">
        <v>-2.7029999999999998</v>
      </c>
      <c r="BN99">
        <v>3.5009999999999999</v>
      </c>
      <c r="BO99">
        <v>-5.3780000000000001</v>
      </c>
      <c r="BP99">
        <v>1</v>
      </c>
      <c r="BQ99">
        <v>150</v>
      </c>
      <c r="BR99">
        <v>5.0000000000000001E-3</v>
      </c>
      <c r="BS99">
        <v>2</v>
      </c>
      <c r="BT99">
        <v>0</v>
      </c>
      <c r="BU99" t="s">
        <v>200</v>
      </c>
      <c r="BV99">
        <v>7000</v>
      </c>
      <c r="BW99">
        <v>500</v>
      </c>
      <c r="BX99">
        <v>5</v>
      </c>
      <c r="BY99">
        <v>2</v>
      </c>
      <c r="BZ99">
        <v>300</v>
      </c>
      <c r="CA99">
        <v>300</v>
      </c>
      <c r="CB99">
        <v>300</v>
      </c>
      <c r="CC99">
        <v>324.84768700000001</v>
      </c>
      <c r="CD99">
        <v>25</v>
      </c>
      <c r="CE99">
        <v>-12.662196</v>
      </c>
      <c r="CF99">
        <v>324.44320699999997</v>
      </c>
      <c r="CG99">
        <v>325.18142699999999</v>
      </c>
      <c r="CH99">
        <v>-0.73821999999999999</v>
      </c>
      <c r="CI99">
        <v>2.5048409999999999</v>
      </c>
      <c r="CJ99">
        <v>2.5171890000000001</v>
      </c>
      <c r="CK99">
        <v>1.6656839999999999</v>
      </c>
      <c r="CL99">
        <v>0.942048</v>
      </c>
      <c r="CM99">
        <v>0.18426699999999999</v>
      </c>
      <c r="CN99">
        <v>2.7143E-2</v>
      </c>
      <c r="CO99">
        <v>8.4502999999999995E-2</v>
      </c>
      <c r="CP99">
        <v>0.19831799999999999</v>
      </c>
      <c r="CQ99">
        <v>184.492706</v>
      </c>
      <c r="CR99">
        <v>3.86E-4</v>
      </c>
      <c r="CS99">
        <v>2.4333689999999999</v>
      </c>
      <c r="CT99">
        <v>-3.6000000000000001E-5</v>
      </c>
      <c r="CU99">
        <v>1</v>
      </c>
      <c r="CV99">
        <v>2.4396819999999999</v>
      </c>
      <c r="CW99">
        <v>1.1E-5</v>
      </c>
      <c r="CX99">
        <v>1</v>
      </c>
      <c r="CY99">
        <v>0.60025499999999998</v>
      </c>
      <c r="CZ99">
        <v>0.60245199999999999</v>
      </c>
      <c r="DA99">
        <v>0.106742</v>
      </c>
      <c r="DB99">
        <v>0</v>
      </c>
      <c r="DC99" t="s">
        <v>614</v>
      </c>
      <c r="DD99" t="s">
        <v>515</v>
      </c>
      <c r="DE99" t="s">
        <v>516</v>
      </c>
      <c r="DF99" t="s">
        <v>517</v>
      </c>
      <c r="DG99" t="s">
        <v>518</v>
      </c>
      <c r="DH99" t="s">
        <v>205</v>
      </c>
      <c r="DI99" t="s">
        <v>519</v>
      </c>
    </row>
    <row r="100" spans="1:113">
      <c r="A100">
        <v>3</v>
      </c>
      <c r="B100" s="3">
        <v>0.27922453703703703</v>
      </c>
      <c r="C100" s="1">
        <v>45149</v>
      </c>
      <c r="D100" t="s">
        <v>196</v>
      </c>
      <c r="E100" t="s">
        <v>197</v>
      </c>
      <c r="G100">
        <v>3</v>
      </c>
      <c r="J100">
        <v>8.1153000000000003E-2</v>
      </c>
      <c r="K100">
        <v>2.9215429999999998</v>
      </c>
      <c r="L100">
        <v>7.8959000000000001E-2</v>
      </c>
      <c r="M100">
        <v>4.2778049999999999</v>
      </c>
      <c r="N100">
        <v>2.5527289999999998</v>
      </c>
      <c r="O100">
        <v>2.4404940000000002</v>
      </c>
      <c r="P100">
        <v>7.4609300000000003</v>
      </c>
      <c r="Q100">
        <v>4.908201</v>
      </c>
      <c r="R100">
        <v>25.527645</v>
      </c>
      <c r="S100">
        <v>26.701626000000001</v>
      </c>
      <c r="T100">
        <v>78.041565000000006</v>
      </c>
      <c r="U100">
        <v>0.44178600000000001</v>
      </c>
      <c r="V100" t="s">
        <v>615</v>
      </c>
      <c r="W100">
        <v>0</v>
      </c>
      <c r="X100">
        <v>0</v>
      </c>
      <c r="Y100">
        <v>0</v>
      </c>
      <c r="Z100">
        <v>84.660888999999997</v>
      </c>
      <c r="AA100">
        <v>109.050293</v>
      </c>
      <c r="AB100">
        <v>0.22365299999999999</v>
      </c>
      <c r="AC100">
        <v>0.5</v>
      </c>
      <c r="AD100">
        <v>0.8</v>
      </c>
      <c r="AE100">
        <v>180.92555200000001</v>
      </c>
      <c r="AF100">
        <v>45.19</v>
      </c>
      <c r="AG100">
        <v>43.2</v>
      </c>
      <c r="AH100">
        <v>35</v>
      </c>
      <c r="AI100">
        <v>40.119999999999997</v>
      </c>
      <c r="AJ100">
        <v>95.6</v>
      </c>
      <c r="AK100">
        <v>156.69999999999999</v>
      </c>
      <c r="AL100">
        <v>155.69999999999999</v>
      </c>
      <c r="AM100">
        <v>0.6</v>
      </c>
      <c r="AN100">
        <v>2022</v>
      </c>
      <c r="AO100">
        <v>4.032</v>
      </c>
      <c r="AP100">
        <v>-14</v>
      </c>
      <c r="AQ100">
        <v>-20</v>
      </c>
      <c r="AR100">
        <v>206</v>
      </c>
      <c r="AZ100" s="3">
        <v>0</v>
      </c>
      <c r="BA100" t="s">
        <v>513</v>
      </c>
      <c r="BB100" t="s">
        <v>514</v>
      </c>
      <c r="BC100" t="s">
        <v>514</v>
      </c>
      <c r="BD100" t="s">
        <v>514</v>
      </c>
      <c r="BE100">
        <v>0</v>
      </c>
      <c r="BF100" t="s">
        <v>514</v>
      </c>
      <c r="BG100" s="3">
        <v>0.27868055555555554</v>
      </c>
      <c r="BH100" s="1">
        <v>45149</v>
      </c>
      <c r="BI100">
        <v>-0.21</v>
      </c>
      <c r="BJ100">
        <v>0</v>
      </c>
      <c r="BK100">
        <v>0</v>
      </c>
      <c r="BL100">
        <v>-9999</v>
      </c>
      <c r="BM100">
        <v>-5.0000000000000001E-3</v>
      </c>
      <c r="BN100">
        <v>5.8999999999999997E-2</v>
      </c>
      <c r="BO100">
        <v>-9999</v>
      </c>
      <c r="BP100">
        <v>1</v>
      </c>
      <c r="BQ100">
        <v>150</v>
      </c>
      <c r="BR100">
        <v>5.0000000000000001E-3</v>
      </c>
      <c r="BS100">
        <v>2</v>
      </c>
      <c r="BT100">
        <v>0</v>
      </c>
      <c r="BU100" t="s">
        <v>200</v>
      </c>
      <c r="BV100">
        <v>7000</v>
      </c>
      <c r="BW100">
        <v>500</v>
      </c>
      <c r="BX100">
        <v>5</v>
      </c>
      <c r="BY100">
        <v>2</v>
      </c>
      <c r="BZ100">
        <v>300</v>
      </c>
      <c r="CA100">
        <v>300</v>
      </c>
      <c r="CB100">
        <v>300</v>
      </c>
      <c r="CC100">
        <v>105.28993199999999</v>
      </c>
      <c r="CD100">
        <v>25</v>
      </c>
      <c r="CE100">
        <v>-2.6499290000000002</v>
      </c>
      <c r="CF100">
        <v>104.849693</v>
      </c>
      <c r="CG100">
        <v>105.27005800000001</v>
      </c>
      <c r="CH100">
        <v>-0.42036400000000002</v>
      </c>
      <c r="CI100">
        <v>2.5058720000000001</v>
      </c>
      <c r="CJ100">
        <v>2.5175830000000001</v>
      </c>
      <c r="CK100">
        <v>1.6662159999999999</v>
      </c>
      <c r="CL100">
        <v>0.94178399999999995</v>
      </c>
      <c r="CM100">
        <v>0.18387700000000001</v>
      </c>
      <c r="CN100">
        <v>6.7166000000000003E-2</v>
      </c>
      <c r="CO100">
        <v>8.6635000000000004E-2</v>
      </c>
      <c r="CP100">
        <v>1.895675</v>
      </c>
      <c r="CQ100">
        <v>84.660888999999997</v>
      </c>
      <c r="CR100">
        <v>3.79E-4</v>
      </c>
      <c r="CS100">
        <v>2.4333689999999999</v>
      </c>
      <c r="CT100">
        <v>-3.6000000000000001E-5</v>
      </c>
      <c r="CU100">
        <v>1</v>
      </c>
      <c r="CV100">
        <v>2.4396819999999999</v>
      </c>
      <c r="CW100">
        <v>1.1E-5</v>
      </c>
      <c r="CX100">
        <v>1</v>
      </c>
      <c r="CY100">
        <v>0.60025499999999998</v>
      </c>
      <c r="CZ100">
        <v>0.60245199999999999</v>
      </c>
      <c r="DA100">
        <v>0.106742</v>
      </c>
      <c r="DB100">
        <v>0</v>
      </c>
      <c r="DC100" t="s">
        <v>615</v>
      </c>
      <c r="DD100" t="s">
        <v>515</v>
      </c>
      <c r="DE100" t="s">
        <v>516</v>
      </c>
      <c r="DF100" t="s">
        <v>517</v>
      </c>
      <c r="DG100" t="s">
        <v>518</v>
      </c>
      <c r="DH100" t="s">
        <v>205</v>
      </c>
      <c r="DI100" t="s">
        <v>519</v>
      </c>
    </row>
    <row r="101" spans="1:113">
      <c r="A101">
        <v>4</v>
      </c>
      <c r="B101" s="3">
        <v>0.27949074074074076</v>
      </c>
      <c r="C101" s="1">
        <v>45149</v>
      </c>
      <c r="D101" t="s">
        <v>196</v>
      </c>
      <c r="E101" t="s">
        <v>197</v>
      </c>
      <c r="G101">
        <v>4</v>
      </c>
      <c r="J101">
        <v>0.13542899999999999</v>
      </c>
      <c r="K101">
        <v>2.921017</v>
      </c>
      <c r="L101">
        <v>0.12942899999999999</v>
      </c>
      <c r="M101">
        <v>4.6450449999999996</v>
      </c>
      <c r="N101">
        <v>2.5917919999999999</v>
      </c>
      <c r="O101">
        <v>2.4699209999999998</v>
      </c>
      <c r="P101">
        <v>5.8710060000000004</v>
      </c>
      <c r="Q101">
        <v>3.2792140000000001</v>
      </c>
      <c r="R101">
        <v>25.835251</v>
      </c>
      <c r="S101">
        <v>27.110009999999999</v>
      </c>
      <c r="T101">
        <v>61.410423000000002</v>
      </c>
      <c r="U101">
        <v>0.44178600000000001</v>
      </c>
      <c r="V101" t="s">
        <v>616</v>
      </c>
      <c r="W101">
        <v>0</v>
      </c>
      <c r="X101">
        <v>0</v>
      </c>
      <c r="Y101">
        <v>0</v>
      </c>
      <c r="Z101">
        <v>72.380302</v>
      </c>
      <c r="AA101">
        <v>134.18727100000001</v>
      </c>
      <c r="AB101">
        <v>0.46060200000000001</v>
      </c>
      <c r="AC101">
        <v>0.5</v>
      </c>
      <c r="AD101">
        <v>0.8</v>
      </c>
      <c r="AE101">
        <v>50.435585000000003</v>
      </c>
      <c r="AF101">
        <v>45.59</v>
      </c>
      <c r="AG101">
        <v>43.45</v>
      </c>
      <c r="AH101">
        <v>35.119999999999997</v>
      </c>
      <c r="AI101">
        <v>35.700000000000003</v>
      </c>
      <c r="AJ101">
        <v>95.6</v>
      </c>
      <c r="AK101">
        <v>156.6</v>
      </c>
      <c r="AL101">
        <v>155.69999999999999</v>
      </c>
      <c r="AM101">
        <v>0.6</v>
      </c>
      <c r="AN101">
        <v>274</v>
      </c>
      <c r="AO101">
        <v>4.0309999999999997</v>
      </c>
      <c r="AP101">
        <v>42</v>
      </c>
      <c r="AQ101">
        <v>-54</v>
      </c>
      <c r="AR101">
        <v>45</v>
      </c>
      <c r="AZ101" s="3">
        <v>0</v>
      </c>
      <c r="BA101" t="s">
        <v>513</v>
      </c>
      <c r="BB101" t="s">
        <v>514</v>
      </c>
      <c r="BC101" t="s">
        <v>514</v>
      </c>
      <c r="BD101" t="s">
        <v>514</v>
      </c>
      <c r="BE101">
        <v>0</v>
      </c>
      <c r="BF101" t="s">
        <v>514</v>
      </c>
      <c r="BG101" s="3">
        <v>0.27868055555555554</v>
      </c>
      <c r="BH101" s="1">
        <v>45149</v>
      </c>
      <c r="BI101">
        <v>-0.21</v>
      </c>
      <c r="BJ101">
        <v>0</v>
      </c>
      <c r="BK101">
        <v>2E-3</v>
      </c>
      <c r="BL101">
        <v>-9999</v>
      </c>
      <c r="BM101">
        <v>0.51600000000000001</v>
      </c>
      <c r="BN101">
        <v>1.0109999999999999</v>
      </c>
      <c r="BO101">
        <v>-9999</v>
      </c>
      <c r="BP101">
        <v>1</v>
      </c>
      <c r="BQ101">
        <v>150</v>
      </c>
      <c r="BR101">
        <v>5.0000000000000001E-3</v>
      </c>
      <c r="BS101">
        <v>2</v>
      </c>
      <c r="BT101">
        <v>0</v>
      </c>
      <c r="BU101" t="s">
        <v>200</v>
      </c>
      <c r="BV101">
        <v>7000</v>
      </c>
      <c r="BW101">
        <v>500</v>
      </c>
      <c r="BX101">
        <v>5</v>
      </c>
      <c r="BY101">
        <v>2</v>
      </c>
      <c r="BZ101">
        <v>300</v>
      </c>
      <c r="CA101">
        <v>300</v>
      </c>
      <c r="CB101">
        <v>300</v>
      </c>
      <c r="CC101">
        <v>125.88286600000001</v>
      </c>
      <c r="CD101">
        <v>25</v>
      </c>
      <c r="CE101">
        <v>-6.0355429999999997</v>
      </c>
      <c r="CF101">
        <v>125.394699</v>
      </c>
      <c r="CG101">
        <v>125.577316</v>
      </c>
      <c r="CH101">
        <v>-0.182617</v>
      </c>
      <c r="CI101">
        <v>2.506211</v>
      </c>
      <c r="CJ101">
        <v>2.5181589999999998</v>
      </c>
      <c r="CK101">
        <v>1.665662</v>
      </c>
      <c r="CL101">
        <v>0.94175399999999998</v>
      </c>
      <c r="CM101">
        <v>0.183058</v>
      </c>
      <c r="CN101">
        <v>7.986E-3</v>
      </c>
      <c r="CO101">
        <v>9.06E-2</v>
      </c>
      <c r="CP101">
        <v>0.348889</v>
      </c>
      <c r="CQ101">
        <v>72.380302</v>
      </c>
      <c r="CR101">
        <v>3.6900000000000002E-4</v>
      </c>
      <c r="CS101">
        <v>2.4333689999999999</v>
      </c>
      <c r="CT101">
        <v>-3.6000000000000001E-5</v>
      </c>
      <c r="CU101">
        <v>1</v>
      </c>
      <c r="CV101">
        <v>2.4396819999999999</v>
      </c>
      <c r="CW101">
        <v>1.1E-5</v>
      </c>
      <c r="CX101">
        <v>1</v>
      </c>
      <c r="CY101">
        <v>0.60025499999999998</v>
      </c>
      <c r="CZ101">
        <v>0.60245199999999999</v>
      </c>
      <c r="DA101">
        <v>0.106742</v>
      </c>
      <c r="DB101">
        <v>0</v>
      </c>
      <c r="DC101" t="s">
        <v>616</v>
      </c>
      <c r="DD101" t="s">
        <v>515</v>
      </c>
      <c r="DE101" t="s">
        <v>516</v>
      </c>
      <c r="DF101" t="s">
        <v>517</v>
      </c>
      <c r="DG101" t="s">
        <v>518</v>
      </c>
      <c r="DH101" t="s">
        <v>205</v>
      </c>
      <c r="DI101" t="s">
        <v>519</v>
      </c>
    </row>
    <row r="102" spans="1:113">
      <c r="A102">
        <v>1</v>
      </c>
      <c r="B102" s="3">
        <v>0.2824652777777778</v>
      </c>
      <c r="C102" s="1">
        <v>45149</v>
      </c>
      <c r="D102" t="s">
        <v>196</v>
      </c>
      <c r="E102" t="s">
        <v>197</v>
      </c>
      <c r="G102">
        <v>1</v>
      </c>
      <c r="J102">
        <v>4.7098000000000001E-2</v>
      </c>
      <c r="K102">
        <v>2.9193539999999998</v>
      </c>
      <c r="L102">
        <v>4.6350000000000002E-2</v>
      </c>
      <c r="M102">
        <v>2.3398349999999999</v>
      </c>
      <c r="N102">
        <v>2.5093040000000002</v>
      </c>
      <c r="O102">
        <v>2.4477850000000001</v>
      </c>
      <c r="P102">
        <v>7.0927239999999996</v>
      </c>
      <c r="Q102">
        <v>4.5834210000000004</v>
      </c>
      <c r="R102">
        <v>25.60605</v>
      </c>
      <c r="S102">
        <v>26.249596</v>
      </c>
      <c r="T102">
        <v>74.196335000000005</v>
      </c>
      <c r="U102">
        <v>0.44178600000000001</v>
      </c>
      <c r="V102" t="s">
        <v>617</v>
      </c>
      <c r="W102">
        <v>0</v>
      </c>
      <c r="X102">
        <v>0</v>
      </c>
      <c r="Y102">
        <v>0</v>
      </c>
      <c r="Z102">
        <v>159.92439300000001</v>
      </c>
      <c r="AA102">
        <v>225.96839900000001</v>
      </c>
      <c r="AB102">
        <v>0.292271</v>
      </c>
      <c r="AC102">
        <v>0.5</v>
      </c>
      <c r="AD102">
        <v>0.8</v>
      </c>
      <c r="AE102">
        <v>227.07534799999999</v>
      </c>
      <c r="AF102">
        <v>42.91</v>
      </c>
      <c r="AG102">
        <v>41.86</v>
      </c>
      <c r="AH102">
        <v>35.630000000000003</v>
      </c>
      <c r="AI102">
        <v>39.17</v>
      </c>
      <c r="AJ102">
        <v>95.59</v>
      </c>
      <c r="AK102">
        <v>156.4</v>
      </c>
      <c r="AL102">
        <v>155.5</v>
      </c>
      <c r="AM102">
        <v>0.6</v>
      </c>
      <c r="AN102">
        <v>1942</v>
      </c>
      <c r="AO102">
        <v>4.0309999999999997</v>
      </c>
      <c r="AP102">
        <v>23</v>
      </c>
      <c r="AQ102">
        <v>-1</v>
      </c>
      <c r="AR102">
        <v>28</v>
      </c>
      <c r="AZ102" s="3">
        <v>0</v>
      </c>
      <c r="BA102" t="s">
        <v>513</v>
      </c>
      <c r="BB102" t="s">
        <v>514</v>
      </c>
      <c r="BC102" t="s">
        <v>514</v>
      </c>
      <c r="BD102" t="s">
        <v>514</v>
      </c>
      <c r="BE102">
        <v>0</v>
      </c>
      <c r="BF102" t="s">
        <v>514</v>
      </c>
      <c r="BG102" s="3">
        <v>0.28237268518518516</v>
      </c>
      <c r="BH102" s="1">
        <v>45149</v>
      </c>
      <c r="BI102">
        <v>-0.19</v>
      </c>
      <c r="BJ102">
        <v>1E-3</v>
      </c>
      <c r="BK102">
        <v>2E-3</v>
      </c>
      <c r="BL102">
        <v>-9999</v>
      </c>
      <c r="BM102">
        <v>-0.85599999999999998</v>
      </c>
      <c r="BN102">
        <v>-4.0490000000000004</v>
      </c>
      <c r="BO102">
        <v>-9999</v>
      </c>
      <c r="BP102">
        <v>1</v>
      </c>
      <c r="BQ102">
        <v>150</v>
      </c>
      <c r="BR102">
        <v>5.0000000000000001E-3</v>
      </c>
      <c r="BS102">
        <v>2</v>
      </c>
      <c r="BT102">
        <v>0</v>
      </c>
      <c r="BU102" t="s">
        <v>200</v>
      </c>
      <c r="BV102">
        <v>7000</v>
      </c>
      <c r="BW102">
        <v>500</v>
      </c>
      <c r="BX102">
        <v>5</v>
      </c>
      <c r="BY102">
        <v>2</v>
      </c>
      <c r="BZ102">
        <v>300</v>
      </c>
      <c r="CA102">
        <v>300</v>
      </c>
      <c r="CB102">
        <v>300</v>
      </c>
      <c r="CC102">
        <v>214.23232999999999</v>
      </c>
      <c r="CD102">
        <v>25</v>
      </c>
      <c r="CE102">
        <v>-9.2930530000000005</v>
      </c>
      <c r="CF102">
        <v>210.005157</v>
      </c>
      <c r="CG102">
        <v>212.71147199999999</v>
      </c>
      <c r="CH102">
        <v>-2.7063139999999999</v>
      </c>
      <c r="CI102">
        <v>2.503771</v>
      </c>
      <c r="CJ102">
        <v>2.5140929999999999</v>
      </c>
      <c r="CK102">
        <v>1.663913</v>
      </c>
      <c r="CL102">
        <v>0.94115499999999996</v>
      </c>
      <c r="CM102">
        <v>0.17947099999999999</v>
      </c>
      <c r="CN102">
        <v>4.6588999999999998E-2</v>
      </c>
      <c r="CO102">
        <v>0.14827599999999999</v>
      </c>
      <c r="CP102">
        <v>1.824859</v>
      </c>
      <c r="CQ102">
        <v>159.92439300000001</v>
      </c>
      <c r="CR102">
        <v>3.8099999999999999E-4</v>
      </c>
      <c r="CS102">
        <v>2.4333689999999999</v>
      </c>
      <c r="CT102">
        <v>-3.6000000000000001E-5</v>
      </c>
      <c r="CU102">
        <v>1</v>
      </c>
      <c r="CV102">
        <v>2.4396819999999999</v>
      </c>
      <c r="CW102">
        <v>1.1E-5</v>
      </c>
      <c r="CX102">
        <v>1</v>
      </c>
      <c r="CY102">
        <v>0.60025499999999998</v>
      </c>
      <c r="CZ102">
        <v>0.60245199999999999</v>
      </c>
      <c r="DA102">
        <v>0.106742</v>
      </c>
      <c r="DB102">
        <v>0</v>
      </c>
      <c r="DC102" t="s">
        <v>617</v>
      </c>
      <c r="DD102" t="s">
        <v>515</v>
      </c>
      <c r="DE102" t="s">
        <v>516</v>
      </c>
      <c r="DF102" t="s">
        <v>517</v>
      </c>
      <c r="DG102" t="s">
        <v>518</v>
      </c>
      <c r="DH102" t="s">
        <v>205</v>
      </c>
      <c r="DI102" t="s">
        <v>519</v>
      </c>
    </row>
    <row r="103" spans="1:113">
      <c r="A103">
        <v>2</v>
      </c>
      <c r="B103" s="3">
        <v>0.28270833333333334</v>
      </c>
      <c r="C103" s="1">
        <v>45149</v>
      </c>
      <c r="D103" t="s">
        <v>196</v>
      </c>
      <c r="E103" t="s">
        <v>197</v>
      </c>
      <c r="G103">
        <v>2</v>
      </c>
      <c r="J103">
        <v>3.4469E-2</v>
      </c>
      <c r="K103">
        <v>2.9206479999999999</v>
      </c>
      <c r="L103">
        <v>3.4067E-2</v>
      </c>
      <c r="M103">
        <v>2.0102060000000002</v>
      </c>
      <c r="N103">
        <v>2.5163389999999999</v>
      </c>
      <c r="O103">
        <v>2.463546</v>
      </c>
      <c r="P103">
        <v>7.8510939999999998</v>
      </c>
      <c r="Q103">
        <v>5.3347550000000004</v>
      </c>
      <c r="R103">
        <v>25.771529999999998</v>
      </c>
      <c r="S103">
        <v>26.323806999999999</v>
      </c>
      <c r="T103">
        <v>82.131500000000003</v>
      </c>
      <c r="U103">
        <v>0.44178600000000001</v>
      </c>
      <c r="V103" t="s">
        <v>618</v>
      </c>
      <c r="W103">
        <v>0</v>
      </c>
      <c r="X103">
        <v>0</v>
      </c>
      <c r="Y103">
        <v>0</v>
      </c>
      <c r="Z103">
        <v>104.35438499999999</v>
      </c>
      <c r="AA103">
        <v>154.55143699999999</v>
      </c>
      <c r="AB103">
        <v>0.32479200000000003</v>
      </c>
      <c r="AC103">
        <v>0.5</v>
      </c>
      <c r="AD103">
        <v>0.8</v>
      </c>
      <c r="AE103">
        <v>259.60504200000003</v>
      </c>
      <c r="AF103">
        <v>42.84</v>
      </c>
      <c r="AG103">
        <v>41.94</v>
      </c>
      <c r="AH103">
        <v>35.71</v>
      </c>
      <c r="AI103">
        <v>41.08</v>
      </c>
      <c r="AJ103">
        <v>95.59</v>
      </c>
      <c r="AK103">
        <v>156.6</v>
      </c>
      <c r="AL103">
        <v>155.69999999999999</v>
      </c>
      <c r="AM103">
        <v>0.5</v>
      </c>
      <c r="AN103">
        <v>1998</v>
      </c>
      <c r="AO103">
        <v>4.03</v>
      </c>
      <c r="AP103">
        <v>28</v>
      </c>
      <c r="AQ103">
        <v>-16</v>
      </c>
      <c r="AR103">
        <v>300</v>
      </c>
      <c r="AZ103" s="3">
        <v>0</v>
      </c>
      <c r="BA103" t="s">
        <v>513</v>
      </c>
      <c r="BB103" t="s">
        <v>514</v>
      </c>
      <c r="BC103" t="s">
        <v>514</v>
      </c>
      <c r="BD103" t="s">
        <v>514</v>
      </c>
      <c r="BE103">
        <v>0</v>
      </c>
      <c r="BF103" t="s">
        <v>514</v>
      </c>
      <c r="BG103" s="3">
        <v>0.28237268518518516</v>
      </c>
      <c r="BH103" s="1">
        <v>45149</v>
      </c>
      <c r="BI103">
        <v>-0.19</v>
      </c>
      <c r="BJ103">
        <v>0</v>
      </c>
      <c r="BK103">
        <v>2E-3</v>
      </c>
      <c r="BL103">
        <v>-9999</v>
      </c>
      <c r="BM103">
        <v>1.9870000000000001</v>
      </c>
      <c r="BN103">
        <v>3.5640000000000001</v>
      </c>
      <c r="BO103">
        <v>-9999</v>
      </c>
      <c r="BP103">
        <v>1</v>
      </c>
      <c r="BQ103">
        <v>150</v>
      </c>
      <c r="BR103">
        <v>5.0000000000000001E-3</v>
      </c>
      <c r="BS103">
        <v>2</v>
      </c>
      <c r="BT103">
        <v>0</v>
      </c>
      <c r="BU103" t="s">
        <v>200</v>
      </c>
      <c r="BV103">
        <v>7000</v>
      </c>
      <c r="BW103">
        <v>500</v>
      </c>
      <c r="BX103">
        <v>5</v>
      </c>
      <c r="BY103">
        <v>2</v>
      </c>
      <c r="BZ103">
        <v>300</v>
      </c>
      <c r="CA103">
        <v>300</v>
      </c>
      <c r="CB103">
        <v>300</v>
      </c>
      <c r="CC103">
        <v>141.26371800000001</v>
      </c>
      <c r="CD103">
        <v>25</v>
      </c>
      <c r="CE103">
        <v>-10.585076000000001</v>
      </c>
      <c r="CF103">
        <v>135.84852599999999</v>
      </c>
      <c r="CG103">
        <v>139.45138499999999</v>
      </c>
      <c r="CH103">
        <v>-3.602859</v>
      </c>
      <c r="CI103">
        <v>2.5038670000000001</v>
      </c>
      <c r="CJ103">
        <v>2.5139649999999998</v>
      </c>
      <c r="CK103">
        <v>1.665273</v>
      </c>
      <c r="CL103">
        <v>0.94172900000000004</v>
      </c>
      <c r="CM103">
        <v>0.17888799999999999</v>
      </c>
      <c r="CN103">
        <v>7.1012000000000006E-2</v>
      </c>
      <c r="CO103">
        <v>0.152008</v>
      </c>
      <c r="CP103">
        <v>1.874312</v>
      </c>
      <c r="CQ103">
        <v>104.35438499999999</v>
      </c>
      <c r="CR103">
        <v>3.8200000000000002E-4</v>
      </c>
      <c r="CS103">
        <v>2.4333689999999999</v>
      </c>
      <c r="CT103">
        <v>-3.6000000000000001E-5</v>
      </c>
      <c r="CU103">
        <v>1</v>
      </c>
      <c r="CV103">
        <v>2.4396819999999999</v>
      </c>
      <c r="CW103">
        <v>1.1E-5</v>
      </c>
      <c r="CX103">
        <v>1</v>
      </c>
      <c r="CY103">
        <v>0.60025499999999998</v>
      </c>
      <c r="CZ103">
        <v>0.60245199999999999</v>
      </c>
      <c r="DA103">
        <v>0.106742</v>
      </c>
      <c r="DB103">
        <v>0</v>
      </c>
      <c r="DC103" t="s">
        <v>618</v>
      </c>
      <c r="DD103" t="s">
        <v>515</v>
      </c>
      <c r="DE103" t="s">
        <v>516</v>
      </c>
      <c r="DF103" t="s">
        <v>517</v>
      </c>
      <c r="DG103" t="s">
        <v>518</v>
      </c>
      <c r="DH103" t="s">
        <v>205</v>
      </c>
      <c r="DI103" t="s">
        <v>519</v>
      </c>
    </row>
    <row r="104" spans="1:113">
      <c r="A104">
        <v>3</v>
      </c>
      <c r="B104" s="3">
        <v>0.28285879629629629</v>
      </c>
      <c r="C104" s="1">
        <v>45149</v>
      </c>
      <c r="D104" t="s">
        <v>196</v>
      </c>
      <c r="E104" t="s">
        <v>197</v>
      </c>
      <c r="G104">
        <v>3</v>
      </c>
      <c r="J104">
        <v>3.1725999999999997E-2</v>
      </c>
      <c r="K104">
        <v>2.921618</v>
      </c>
      <c r="L104">
        <v>3.1385000000000003E-2</v>
      </c>
      <c r="M104">
        <v>1.296681</v>
      </c>
      <c r="N104">
        <v>2.4489670000000001</v>
      </c>
      <c r="O104">
        <v>2.4149159999999998</v>
      </c>
      <c r="P104">
        <v>6.2190890000000003</v>
      </c>
      <c r="Q104">
        <v>3.7701220000000002</v>
      </c>
      <c r="R104">
        <v>25.264133000000001</v>
      </c>
      <c r="S104">
        <v>25.620360999999999</v>
      </c>
      <c r="T104">
        <v>65.062256000000005</v>
      </c>
      <c r="U104">
        <v>0.44178600000000001</v>
      </c>
      <c r="V104" t="s">
        <v>619</v>
      </c>
      <c r="W104">
        <v>0</v>
      </c>
      <c r="X104">
        <v>0</v>
      </c>
      <c r="Y104">
        <v>0</v>
      </c>
      <c r="Z104">
        <v>109.864357</v>
      </c>
      <c r="AA104">
        <v>340.47857699999997</v>
      </c>
      <c r="AB104">
        <v>0.67732400000000004</v>
      </c>
      <c r="AC104">
        <v>0.5</v>
      </c>
      <c r="AD104">
        <v>0.8</v>
      </c>
      <c r="AE104">
        <v>246.81179800000001</v>
      </c>
      <c r="AF104">
        <v>41.58</v>
      </c>
      <c r="AG104">
        <v>41</v>
      </c>
      <c r="AH104">
        <v>35.76</v>
      </c>
      <c r="AI104">
        <v>36.75</v>
      </c>
      <c r="AJ104">
        <v>95.59</v>
      </c>
      <c r="AK104">
        <v>156.69999999999999</v>
      </c>
      <c r="AL104">
        <v>155.30000000000001</v>
      </c>
      <c r="AM104">
        <v>0.9</v>
      </c>
      <c r="AN104">
        <v>911</v>
      </c>
      <c r="AO104">
        <v>4.0289999999999999</v>
      </c>
      <c r="AP104">
        <v>20</v>
      </c>
      <c r="AQ104">
        <v>-72</v>
      </c>
      <c r="AR104">
        <v>333</v>
      </c>
      <c r="AZ104" s="3">
        <v>0</v>
      </c>
      <c r="BA104" t="s">
        <v>513</v>
      </c>
      <c r="BB104" t="s">
        <v>514</v>
      </c>
      <c r="BC104" t="s">
        <v>514</v>
      </c>
      <c r="BD104" t="s">
        <v>514</v>
      </c>
      <c r="BE104">
        <v>0</v>
      </c>
      <c r="BF104" t="s">
        <v>514</v>
      </c>
      <c r="BG104" s="3">
        <v>0.28237268518518516</v>
      </c>
      <c r="BH104" s="1">
        <v>45149</v>
      </c>
      <c r="BI104">
        <v>-0.19</v>
      </c>
      <c r="BJ104">
        <v>0</v>
      </c>
      <c r="BK104">
        <v>-1E-3</v>
      </c>
      <c r="BL104">
        <v>1E-3</v>
      </c>
      <c r="BM104">
        <v>3.4260000000000002</v>
      </c>
      <c r="BN104">
        <v>0.52300000000000002</v>
      </c>
      <c r="BO104">
        <v>-2.6989999999999998</v>
      </c>
      <c r="BP104">
        <v>1</v>
      </c>
      <c r="BQ104">
        <v>150</v>
      </c>
      <c r="BR104">
        <v>5.0000000000000001E-3</v>
      </c>
      <c r="BS104">
        <v>2</v>
      </c>
      <c r="BT104">
        <v>0</v>
      </c>
      <c r="BU104" t="s">
        <v>200</v>
      </c>
      <c r="BV104">
        <v>7000</v>
      </c>
      <c r="BW104">
        <v>500</v>
      </c>
      <c r="BX104">
        <v>5</v>
      </c>
      <c r="BY104">
        <v>2</v>
      </c>
      <c r="BZ104">
        <v>300</v>
      </c>
      <c r="CA104">
        <v>300</v>
      </c>
      <c r="CB104">
        <v>300</v>
      </c>
      <c r="CC104">
        <v>323.31668100000002</v>
      </c>
      <c r="CD104">
        <v>25</v>
      </c>
      <c r="CE104">
        <v>-11.562329</v>
      </c>
      <c r="CF104">
        <v>324.519745</v>
      </c>
      <c r="CG104">
        <v>323.98443600000002</v>
      </c>
      <c r="CH104">
        <v>0.53530900000000003</v>
      </c>
      <c r="CI104">
        <v>2.5024690000000001</v>
      </c>
      <c r="CJ104">
        <v>2.5120870000000002</v>
      </c>
      <c r="CK104">
        <v>1.666296</v>
      </c>
      <c r="CL104">
        <v>0.94064400000000004</v>
      </c>
      <c r="CM104">
        <v>0.17855599999999999</v>
      </c>
      <c r="CN104">
        <v>1.3283E-2</v>
      </c>
      <c r="CO104">
        <v>0.15406700000000001</v>
      </c>
      <c r="CP104">
        <v>0.91256199999999998</v>
      </c>
      <c r="CQ104">
        <v>109.864357</v>
      </c>
      <c r="CR104">
        <v>3.8000000000000002E-4</v>
      </c>
      <c r="CS104">
        <v>2.4333689999999999</v>
      </c>
      <c r="CT104">
        <v>-3.6000000000000001E-5</v>
      </c>
      <c r="CU104">
        <v>1</v>
      </c>
      <c r="CV104">
        <v>2.4396819999999999</v>
      </c>
      <c r="CW104">
        <v>1.1E-5</v>
      </c>
      <c r="CX104">
        <v>1</v>
      </c>
      <c r="CY104">
        <v>0.60025499999999998</v>
      </c>
      <c r="CZ104">
        <v>0.60245199999999999</v>
      </c>
      <c r="DA104">
        <v>0.106742</v>
      </c>
      <c r="DB104">
        <v>0</v>
      </c>
      <c r="DC104" t="s">
        <v>619</v>
      </c>
      <c r="DD104" t="s">
        <v>515</v>
      </c>
      <c r="DE104" t="s">
        <v>516</v>
      </c>
      <c r="DF104" t="s">
        <v>517</v>
      </c>
      <c r="DG104" t="s">
        <v>518</v>
      </c>
      <c r="DH104" t="s">
        <v>205</v>
      </c>
      <c r="DI104" t="s">
        <v>519</v>
      </c>
    </row>
    <row r="105" spans="1:113">
      <c r="A105">
        <v>4</v>
      </c>
      <c r="B105" s="3">
        <v>0.2830671296296296</v>
      </c>
      <c r="C105" s="1">
        <v>45149</v>
      </c>
      <c r="D105" t="s">
        <v>196</v>
      </c>
      <c r="E105" t="s">
        <v>197</v>
      </c>
      <c r="G105">
        <v>4</v>
      </c>
      <c r="J105">
        <v>6.2052000000000003E-2</v>
      </c>
      <c r="K105">
        <v>2.921503</v>
      </c>
      <c r="L105">
        <v>6.0761000000000003E-2</v>
      </c>
      <c r="M105">
        <v>2.5263779999999998</v>
      </c>
      <c r="N105">
        <v>2.5546799999999998</v>
      </c>
      <c r="O105">
        <v>2.4884040000000001</v>
      </c>
      <c r="P105">
        <v>6.3442069999999999</v>
      </c>
      <c r="Q105">
        <v>3.7895270000000001</v>
      </c>
      <c r="R105">
        <v>26.031918000000001</v>
      </c>
      <c r="S105">
        <v>26.725249999999999</v>
      </c>
      <c r="T105">
        <v>66.368590999999995</v>
      </c>
      <c r="U105">
        <v>0.44178600000000001</v>
      </c>
      <c r="V105" t="s">
        <v>620</v>
      </c>
      <c r="W105">
        <v>0</v>
      </c>
      <c r="X105">
        <v>0</v>
      </c>
      <c r="Y105">
        <v>0</v>
      </c>
      <c r="Z105">
        <v>86.179016000000004</v>
      </c>
      <c r="AA105">
        <v>195.88253800000001</v>
      </c>
      <c r="AB105">
        <v>0.56004799999999999</v>
      </c>
      <c r="AC105">
        <v>0.5</v>
      </c>
      <c r="AD105">
        <v>0.8</v>
      </c>
      <c r="AE105">
        <v>30.86112</v>
      </c>
      <c r="AF105">
        <v>43.24</v>
      </c>
      <c r="AG105">
        <v>42.12</v>
      </c>
      <c r="AH105">
        <v>35.82</v>
      </c>
      <c r="AI105">
        <v>37.11</v>
      </c>
      <c r="AJ105">
        <v>95.59</v>
      </c>
      <c r="AK105">
        <v>156.69999999999999</v>
      </c>
      <c r="AL105">
        <v>155.6</v>
      </c>
      <c r="AM105">
        <v>0.7</v>
      </c>
      <c r="AN105">
        <v>138</v>
      </c>
      <c r="AO105">
        <v>4.0190000000000001</v>
      </c>
      <c r="AP105">
        <v>0</v>
      </c>
      <c r="AQ105">
        <v>0</v>
      </c>
      <c r="AR105">
        <v>307</v>
      </c>
      <c r="AZ105" s="3">
        <v>0</v>
      </c>
      <c r="BA105" t="s">
        <v>513</v>
      </c>
      <c r="BB105">
        <v>38.492393</v>
      </c>
      <c r="BC105">
        <v>-1.3633230000000001</v>
      </c>
      <c r="BD105">
        <v>591.59997599999997</v>
      </c>
      <c r="BE105">
        <v>6</v>
      </c>
      <c r="BF105">
        <v>1.56</v>
      </c>
      <c r="BG105" s="3">
        <v>0.28237268518518516</v>
      </c>
      <c r="BH105" s="1">
        <v>45149</v>
      </c>
      <c r="BI105">
        <v>-0.19</v>
      </c>
      <c r="BJ105">
        <v>-2E-3</v>
      </c>
      <c r="BK105">
        <v>-3.0000000000000001E-3</v>
      </c>
      <c r="BL105">
        <v>6.0000000000000001E-3</v>
      </c>
      <c r="BM105">
        <v>0.58299999999999996</v>
      </c>
      <c r="BN105">
        <v>0.93799999999999994</v>
      </c>
      <c r="BO105">
        <v>-5.3680000000000003</v>
      </c>
      <c r="BP105">
        <v>1</v>
      </c>
      <c r="BQ105">
        <v>150</v>
      </c>
      <c r="BR105">
        <v>5.0000000000000001E-3</v>
      </c>
      <c r="BS105">
        <v>2</v>
      </c>
      <c r="BT105">
        <v>0</v>
      </c>
      <c r="BU105" t="s">
        <v>200</v>
      </c>
      <c r="BV105">
        <v>7000</v>
      </c>
      <c r="BW105">
        <v>500</v>
      </c>
      <c r="BX105">
        <v>5</v>
      </c>
      <c r="BY105">
        <v>2</v>
      </c>
      <c r="BZ105">
        <v>300</v>
      </c>
      <c r="CA105">
        <v>300</v>
      </c>
      <c r="CB105">
        <v>300</v>
      </c>
      <c r="CC105">
        <v>186.17892499999999</v>
      </c>
      <c r="CD105">
        <v>25</v>
      </c>
      <c r="CE105">
        <v>-6.4271760000000002</v>
      </c>
      <c r="CF105">
        <v>187.40450999999999</v>
      </c>
      <c r="CG105">
        <v>186.713898</v>
      </c>
      <c r="CH105">
        <v>0.69061300000000003</v>
      </c>
      <c r="CI105">
        <v>2.5041129999999998</v>
      </c>
      <c r="CJ105">
        <v>2.514548</v>
      </c>
      <c r="CK105">
        <v>1.666174</v>
      </c>
      <c r="CL105">
        <v>0.94137400000000004</v>
      </c>
      <c r="CM105">
        <v>0.17816100000000001</v>
      </c>
      <c r="CN105">
        <v>1.7255E-2</v>
      </c>
      <c r="CO105">
        <v>0.15682699999999999</v>
      </c>
      <c r="CP105">
        <v>0.2286</v>
      </c>
      <c r="CQ105">
        <v>86.179016000000004</v>
      </c>
      <c r="CR105">
        <v>3.7500000000000001E-4</v>
      </c>
      <c r="CS105">
        <v>2.4333689999999999</v>
      </c>
      <c r="CT105">
        <v>-3.6000000000000001E-5</v>
      </c>
      <c r="CU105">
        <v>1</v>
      </c>
      <c r="CV105">
        <v>2.4396819999999999</v>
      </c>
      <c r="CW105">
        <v>1.1E-5</v>
      </c>
      <c r="CX105">
        <v>1</v>
      </c>
      <c r="CY105">
        <v>0.60025499999999998</v>
      </c>
      <c r="CZ105">
        <v>0.60245199999999999</v>
      </c>
      <c r="DA105">
        <v>0.106742</v>
      </c>
      <c r="DB105">
        <v>0</v>
      </c>
      <c r="DC105" t="s">
        <v>620</v>
      </c>
      <c r="DD105" t="s">
        <v>515</v>
      </c>
      <c r="DE105" t="s">
        <v>516</v>
      </c>
      <c r="DF105" t="s">
        <v>517</v>
      </c>
      <c r="DG105" t="s">
        <v>518</v>
      </c>
      <c r="DH105" t="s">
        <v>205</v>
      </c>
      <c r="DI105" t="s">
        <v>519</v>
      </c>
    </row>
    <row r="106" spans="1:113">
      <c r="A106">
        <v>5</v>
      </c>
      <c r="B106" s="3">
        <v>0.28700231481481481</v>
      </c>
      <c r="C106" s="1">
        <v>45149</v>
      </c>
      <c r="D106" t="s">
        <v>196</v>
      </c>
      <c r="E106" t="s">
        <v>197</v>
      </c>
      <c r="G106">
        <v>5</v>
      </c>
      <c r="J106">
        <v>3.3204999999999998E-2</v>
      </c>
      <c r="K106">
        <v>2.9211130000000001</v>
      </c>
      <c r="L106">
        <v>3.2830999999999999E-2</v>
      </c>
      <c r="M106">
        <v>2.1390820000000001</v>
      </c>
      <c r="N106">
        <v>2.4579140000000002</v>
      </c>
      <c r="O106">
        <v>2.4017300000000001</v>
      </c>
      <c r="P106">
        <v>8.3336799999999993</v>
      </c>
      <c r="Q106">
        <v>5.8757659999999996</v>
      </c>
      <c r="R106">
        <v>25.128215999999998</v>
      </c>
      <c r="S106">
        <v>25.716049000000002</v>
      </c>
      <c r="T106">
        <v>87.191535999999999</v>
      </c>
      <c r="U106">
        <v>0.44178600000000001</v>
      </c>
      <c r="V106" t="s">
        <v>621</v>
      </c>
      <c r="W106">
        <v>0</v>
      </c>
      <c r="X106">
        <v>0</v>
      </c>
      <c r="Y106">
        <v>0</v>
      </c>
      <c r="Z106">
        <v>86.673614999999998</v>
      </c>
      <c r="AA106">
        <v>100.616455</v>
      </c>
      <c r="AB106">
        <v>0.138574</v>
      </c>
      <c r="AC106">
        <v>0.5</v>
      </c>
      <c r="AD106">
        <v>0.8</v>
      </c>
      <c r="AE106">
        <v>106.15561700000001</v>
      </c>
      <c r="AF106">
        <v>38.71</v>
      </c>
      <c r="AG106">
        <v>37.83</v>
      </c>
      <c r="AH106">
        <v>37.130000000000003</v>
      </c>
      <c r="AI106">
        <v>42.21</v>
      </c>
      <c r="AJ106">
        <v>95.58</v>
      </c>
      <c r="AK106">
        <v>156.6</v>
      </c>
      <c r="AL106">
        <v>155.1</v>
      </c>
      <c r="AM106">
        <v>1</v>
      </c>
      <c r="AN106">
        <v>1915</v>
      </c>
      <c r="AO106">
        <v>4.0190000000000001</v>
      </c>
      <c r="AP106">
        <v>8</v>
      </c>
      <c r="AQ106">
        <v>-7</v>
      </c>
      <c r="AR106">
        <v>14</v>
      </c>
      <c r="AS106">
        <v>21.73</v>
      </c>
      <c r="AT106">
        <v>92.89</v>
      </c>
      <c r="AU106">
        <v>10.62</v>
      </c>
      <c r="AV106">
        <v>55.42</v>
      </c>
      <c r="AW106">
        <v>15.25</v>
      </c>
      <c r="AX106">
        <v>168.08</v>
      </c>
      <c r="AY106">
        <v>23.63</v>
      </c>
      <c r="AZ106" s="3">
        <v>0.49383101851851857</v>
      </c>
      <c r="BA106" s="1">
        <v>45149</v>
      </c>
      <c r="BB106">
        <v>38.492378000000002</v>
      </c>
      <c r="BC106">
        <v>-1.363332</v>
      </c>
      <c r="BD106">
        <v>591.70001200000002</v>
      </c>
      <c r="BE106">
        <v>5</v>
      </c>
      <c r="BF106">
        <v>1.65</v>
      </c>
      <c r="BG106" s="3">
        <v>0.28237268518518516</v>
      </c>
      <c r="BH106" s="1">
        <v>45149</v>
      </c>
      <c r="BI106">
        <v>-0.19</v>
      </c>
      <c r="BJ106">
        <v>0</v>
      </c>
      <c r="BK106">
        <v>1E-3</v>
      </c>
      <c r="BL106">
        <v>-9999</v>
      </c>
      <c r="BM106">
        <v>-0.17199999999999999</v>
      </c>
      <c r="BN106">
        <v>-0.51900000000000002</v>
      </c>
      <c r="BO106">
        <v>-9999</v>
      </c>
      <c r="BP106">
        <v>1</v>
      </c>
      <c r="BQ106">
        <v>150</v>
      </c>
      <c r="BR106">
        <v>5.0000000000000001E-3</v>
      </c>
      <c r="BS106">
        <v>2</v>
      </c>
      <c r="BT106">
        <v>0</v>
      </c>
      <c r="BU106" t="s">
        <v>200</v>
      </c>
      <c r="BV106">
        <v>7000</v>
      </c>
      <c r="BW106">
        <v>500</v>
      </c>
      <c r="BX106">
        <v>5</v>
      </c>
      <c r="BY106">
        <v>2</v>
      </c>
      <c r="BZ106">
        <v>300</v>
      </c>
      <c r="CA106">
        <v>300</v>
      </c>
      <c r="CB106">
        <v>300</v>
      </c>
      <c r="CC106">
        <v>100.616455</v>
      </c>
      <c r="CD106">
        <v>25</v>
      </c>
      <c r="CE106">
        <v>1.2316320000000001</v>
      </c>
      <c r="CF106">
        <v>102.63097399999999</v>
      </c>
      <c r="CG106">
        <v>102.373428</v>
      </c>
      <c r="CH106">
        <v>0.25754500000000002</v>
      </c>
      <c r="CI106">
        <v>2.4975010000000002</v>
      </c>
      <c r="CJ106">
        <v>2.5076260000000001</v>
      </c>
      <c r="CK106">
        <v>1.665762</v>
      </c>
      <c r="CL106">
        <v>0.94016100000000002</v>
      </c>
      <c r="CM106">
        <v>0.169349</v>
      </c>
      <c r="CN106">
        <v>6.8088999999999997E-2</v>
      </c>
      <c r="CO106">
        <v>0.19993900000000001</v>
      </c>
      <c r="CP106">
        <v>1.8008040000000001</v>
      </c>
      <c r="CQ106">
        <v>86.673614999999998</v>
      </c>
      <c r="CR106">
        <v>3.9399999999999998E-4</v>
      </c>
      <c r="CS106">
        <v>2.4333689999999999</v>
      </c>
      <c r="CT106">
        <v>-3.6000000000000001E-5</v>
      </c>
      <c r="CU106">
        <v>1</v>
      </c>
      <c r="CV106">
        <v>2.4396819999999999</v>
      </c>
      <c r="CW106">
        <v>1.1E-5</v>
      </c>
      <c r="CX106">
        <v>1</v>
      </c>
      <c r="CY106">
        <v>0.60025499999999998</v>
      </c>
      <c r="CZ106">
        <v>0.60245199999999999</v>
      </c>
      <c r="DA106">
        <v>0.106742</v>
      </c>
      <c r="DB106">
        <v>0</v>
      </c>
      <c r="DC106" t="s">
        <v>621</v>
      </c>
      <c r="DD106" t="s">
        <v>515</v>
      </c>
      <c r="DE106" t="s">
        <v>516</v>
      </c>
      <c r="DF106" t="s">
        <v>517</v>
      </c>
      <c r="DG106" t="s">
        <v>518</v>
      </c>
      <c r="DH106" t="s">
        <v>205</v>
      </c>
      <c r="DI106" t="s">
        <v>519</v>
      </c>
    </row>
    <row r="107" spans="1:113">
      <c r="A107">
        <v>6</v>
      </c>
      <c r="B107" s="3">
        <v>0.28711805555555553</v>
      </c>
      <c r="C107" s="1">
        <v>45149</v>
      </c>
      <c r="D107" t="s">
        <v>196</v>
      </c>
      <c r="E107" t="s">
        <v>197</v>
      </c>
      <c r="G107">
        <v>6</v>
      </c>
      <c r="J107">
        <v>1.3913999999999999E-2</v>
      </c>
      <c r="K107">
        <v>2.9226030000000001</v>
      </c>
      <c r="L107">
        <v>1.3847999999999999E-2</v>
      </c>
      <c r="M107">
        <v>0.905277</v>
      </c>
      <c r="N107">
        <v>2.5066380000000001</v>
      </c>
      <c r="O107">
        <v>2.4829029999999999</v>
      </c>
      <c r="P107">
        <v>8.3977059999999994</v>
      </c>
      <c r="Q107">
        <v>5.8910679999999997</v>
      </c>
      <c r="R107">
        <v>25.980350000000001</v>
      </c>
      <c r="S107">
        <v>26.228702999999999</v>
      </c>
      <c r="T107">
        <v>87.871071000000001</v>
      </c>
      <c r="U107">
        <v>0.44178600000000001</v>
      </c>
      <c r="V107" t="s">
        <v>622</v>
      </c>
      <c r="W107">
        <v>0</v>
      </c>
      <c r="X107">
        <v>0</v>
      </c>
      <c r="Y107">
        <v>0</v>
      </c>
      <c r="Z107">
        <v>92.350600999999997</v>
      </c>
      <c r="AA107">
        <v>107.360962</v>
      </c>
      <c r="AB107">
        <v>0.13981199999999999</v>
      </c>
      <c r="AC107">
        <v>0.5</v>
      </c>
      <c r="AD107">
        <v>0.8</v>
      </c>
      <c r="AE107">
        <v>106.92242400000001</v>
      </c>
      <c r="AF107">
        <v>39.4</v>
      </c>
      <c r="AG107">
        <v>39.03</v>
      </c>
      <c r="AH107">
        <v>37.159999999999997</v>
      </c>
      <c r="AI107">
        <v>42.35</v>
      </c>
      <c r="AJ107">
        <v>95.57</v>
      </c>
      <c r="AK107">
        <v>156.80000000000001</v>
      </c>
      <c r="AL107">
        <v>155.4</v>
      </c>
      <c r="AM107">
        <v>0.9</v>
      </c>
      <c r="AN107">
        <v>1912</v>
      </c>
      <c r="AO107">
        <v>4.0190000000000001</v>
      </c>
      <c r="AP107">
        <v>27</v>
      </c>
      <c r="AQ107">
        <v>-21</v>
      </c>
      <c r="AR107">
        <v>281</v>
      </c>
      <c r="AS107">
        <v>16.149999999999999</v>
      </c>
      <c r="AT107">
        <v>96.05</v>
      </c>
      <c r="AU107">
        <v>33.71</v>
      </c>
      <c r="AV107">
        <v>-38.78</v>
      </c>
      <c r="AW107">
        <v>15.25</v>
      </c>
      <c r="AX107">
        <v>168.08</v>
      </c>
      <c r="AY107">
        <v>23.63</v>
      </c>
      <c r="AZ107" s="3">
        <v>0.49394675925925924</v>
      </c>
      <c r="BA107" s="1">
        <v>45149</v>
      </c>
      <c r="BB107">
        <v>38.492370999999999</v>
      </c>
      <c r="BC107">
        <v>-1.3633630000000001</v>
      </c>
      <c r="BD107">
        <v>590.79998799999998</v>
      </c>
      <c r="BE107">
        <v>6</v>
      </c>
      <c r="BF107">
        <v>1.56</v>
      </c>
      <c r="BG107" s="3">
        <v>0.28237268518518516</v>
      </c>
      <c r="BH107" s="1">
        <v>45149</v>
      </c>
      <c r="BI107">
        <v>-0.19</v>
      </c>
      <c r="BJ107">
        <v>1E-3</v>
      </c>
      <c r="BK107">
        <v>3.0000000000000001E-3</v>
      </c>
      <c r="BL107">
        <v>-9999</v>
      </c>
      <c r="BM107">
        <v>-0.46200000000000002</v>
      </c>
      <c r="BN107">
        <v>-1.087</v>
      </c>
      <c r="BO107">
        <v>-9999</v>
      </c>
      <c r="BP107">
        <v>1</v>
      </c>
      <c r="BQ107">
        <v>150</v>
      </c>
      <c r="BR107">
        <v>5.0000000000000001E-3</v>
      </c>
      <c r="BS107">
        <v>2</v>
      </c>
      <c r="BT107">
        <v>0</v>
      </c>
      <c r="BU107" t="s">
        <v>200</v>
      </c>
      <c r="BV107">
        <v>7000</v>
      </c>
      <c r="BW107">
        <v>500</v>
      </c>
      <c r="BX107">
        <v>5</v>
      </c>
      <c r="BY107">
        <v>2</v>
      </c>
      <c r="BZ107">
        <v>300</v>
      </c>
      <c r="CA107">
        <v>300</v>
      </c>
      <c r="CB107">
        <v>300</v>
      </c>
      <c r="CC107">
        <v>107.360962</v>
      </c>
      <c r="CD107">
        <v>25</v>
      </c>
      <c r="CE107">
        <v>0.80522700000000003</v>
      </c>
      <c r="CF107">
        <v>108.99353000000001</v>
      </c>
      <c r="CG107">
        <v>108.50965100000001</v>
      </c>
      <c r="CH107">
        <v>0.483879</v>
      </c>
      <c r="CI107">
        <v>2.499288</v>
      </c>
      <c r="CJ107">
        <v>2.5086529999999998</v>
      </c>
      <c r="CK107">
        <v>1.6673359999999999</v>
      </c>
      <c r="CL107">
        <v>0.94082399999999999</v>
      </c>
      <c r="CM107">
        <v>0.16910900000000001</v>
      </c>
      <c r="CN107">
        <v>6.9605E-2</v>
      </c>
      <c r="CO107">
        <v>0.20096600000000001</v>
      </c>
      <c r="CP107">
        <v>1.797933</v>
      </c>
      <c r="CQ107">
        <v>92.350600999999997</v>
      </c>
      <c r="CR107">
        <v>3.88E-4</v>
      </c>
      <c r="CS107">
        <v>2.4333689999999999</v>
      </c>
      <c r="CT107">
        <v>-3.6000000000000001E-5</v>
      </c>
      <c r="CU107">
        <v>1</v>
      </c>
      <c r="CV107">
        <v>2.4396819999999999</v>
      </c>
      <c r="CW107">
        <v>1.1E-5</v>
      </c>
      <c r="CX107">
        <v>1</v>
      </c>
      <c r="CY107">
        <v>0.60025499999999998</v>
      </c>
      <c r="CZ107">
        <v>0.60245199999999999</v>
      </c>
      <c r="DA107">
        <v>0.106742</v>
      </c>
      <c r="DB107">
        <v>0</v>
      </c>
      <c r="DC107" t="s">
        <v>622</v>
      </c>
      <c r="DD107" t="s">
        <v>515</v>
      </c>
      <c r="DE107" t="s">
        <v>516</v>
      </c>
      <c r="DF107" t="s">
        <v>517</v>
      </c>
      <c r="DG107" t="s">
        <v>518</v>
      </c>
      <c r="DH107" t="s">
        <v>205</v>
      </c>
      <c r="DI107" t="s">
        <v>519</v>
      </c>
    </row>
    <row r="108" spans="1:113">
      <c r="A108">
        <v>7</v>
      </c>
      <c r="B108" s="3">
        <v>0.28729166666666667</v>
      </c>
      <c r="C108" s="1">
        <v>45149</v>
      </c>
      <c r="D108" t="s">
        <v>196</v>
      </c>
      <c r="E108" t="s">
        <v>197</v>
      </c>
      <c r="G108">
        <v>7</v>
      </c>
      <c r="J108">
        <v>1.5743E-2</v>
      </c>
      <c r="K108">
        <v>2.9201779999999999</v>
      </c>
      <c r="L108">
        <v>1.5658999999999999E-2</v>
      </c>
      <c r="M108">
        <v>1.1560950000000001</v>
      </c>
      <c r="N108">
        <v>2.5433620000000001</v>
      </c>
      <c r="O108">
        <v>2.513001</v>
      </c>
      <c r="P108">
        <v>9.1678789999999992</v>
      </c>
      <c r="Q108">
        <v>6.6245159999999998</v>
      </c>
      <c r="R108">
        <v>26.291502000000001</v>
      </c>
      <c r="S108">
        <v>26.609148000000001</v>
      </c>
      <c r="T108">
        <v>95.916122000000001</v>
      </c>
      <c r="U108">
        <v>0.44178600000000001</v>
      </c>
      <c r="V108" t="s">
        <v>623</v>
      </c>
      <c r="W108">
        <v>0</v>
      </c>
      <c r="X108">
        <v>0</v>
      </c>
      <c r="Y108">
        <v>0</v>
      </c>
      <c r="Z108">
        <v>90.490577999999999</v>
      </c>
      <c r="AA108">
        <v>102.689621</v>
      </c>
      <c r="AB108">
        <v>0.118795</v>
      </c>
      <c r="AC108">
        <v>0.5</v>
      </c>
      <c r="AD108">
        <v>0.8</v>
      </c>
      <c r="AE108">
        <v>88.604149000000007</v>
      </c>
      <c r="AF108">
        <v>39.86</v>
      </c>
      <c r="AG108">
        <v>39.39</v>
      </c>
      <c r="AH108">
        <v>37.22</v>
      </c>
      <c r="AI108">
        <v>44.03</v>
      </c>
      <c r="AJ108">
        <v>95.58</v>
      </c>
      <c r="AK108">
        <v>156.5</v>
      </c>
      <c r="AL108">
        <v>155.1</v>
      </c>
      <c r="AM108">
        <v>0.9</v>
      </c>
      <c r="AN108">
        <v>1865</v>
      </c>
      <c r="AO108">
        <v>3.99</v>
      </c>
      <c r="AP108">
        <v>-20</v>
      </c>
      <c r="AQ108">
        <v>-3</v>
      </c>
      <c r="AR108">
        <v>257</v>
      </c>
      <c r="AS108">
        <v>27.96</v>
      </c>
      <c r="AT108">
        <v>88.33</v>
      </c>
      <c r="AU108">
        <v>20.21</v>
      </c>
      <c r="AV108">
        <v>68.290000000000006</v>
      </c>
      <c r="AW108">
        <v>15.25</v>
      </c>
      <c r="AX108">
        <v>168.08</v>
      </c>
      <c r="AY108">
        <v>23.63</v>
      </c>
      <c r="AZ108" s="3">
        <v>0.49410879629629628</v>
      </c>
      <c r="BA108" s="1">
        <v>45149</v>
      </c>
      <c r="BB108">
        <v>38.492396999999997</v>
      </c>
      <c r="BC108">
        <v>-1.3633770000000001</v>
      </c>
      <c r="BD108">
        <v>590.5</v>
      </c>
      <c r="BE108">
        <v>6</v>
      </c>
      <c r="BF108">
        <v>1.56</v>
      </c>
      <c r="BG108" s="3">
        <v>0.28237268518518516</v>
      </c>
      <c r="BH108" s="1">
        <v>45149</v>
      </c>
      <c r="BI108">
        <v>-0.19</v>
      </c>
      <c r="BJ108">
        <v>0</v>
      </c>
      <c r="BK108">
        <v>0</v>
      </c>
      <c r="BL108">
        <v>-9999</v>
      </c>
      <c r="BM108">
        <v>0.32</v>
      </c>
      <c r="BN108">
        <v>1.1140000000000001</v>
      </c>
      <c r="BO108">
        <v>-9999</v>
      </c>
      <c r="BP108">
        <v>1</v>
      </c>
      <c r="BQ108">
        <v>150</v>
      </c>
      <c r="BR108">
        <v>5.0000000000000001E-3</v>
      </c>
      <c r="BS108">
        <v>2</v>
      </c>
      <c r="BT108">
        <v>0</v>
      </c>
      <c r="BU108" t="s">
        <v>200</v>
      </c>
      <c r="BV108">
        <v>7000</v>
      </c>
      <c r="BW108">
        <v>500</v>
      </c>
      <c r="BX108">
        <v>5</v>
      </c>
      <c r="BY108">
        <v>2</v>
      </c>
      <c r="BZ108">
        <v>300</v>
      </c>
      <c r="CA108">
        <v>300</v>
      </c>
      <c r="CB108">
        <v>300</v>
      </c>
      <c r="CC108">
        <v>102.689621</v>
      </c>
      <c r="CD108">
        <v>25</v>
      </c>
      <c r="CE108">
        <v>0.58470500000000003</v>
      </c>
      <c r="CF108">
        <v>103.79576900000001</v>
      </c>
      <c r="CG108">
        <v>103.52372699999999</v>
      </c>
      <c r="CH108">
        <v>0.27204099999999998</v>
      </c>
      <c r="CI108">
        <v>2.4998119999999999</v>
      </c>
      <c r="CJ108">
        <v>2.5093359999999998</v>
      </c>
      <c r="CK108">
        <v>1.6647780000000001</v>
      </c>
      <c r="CL108">
        <v>0.94005700000000003</v>
      </c>
      <c r="CM108">
        <v>0.16875999999999999</v>
      </c>
      <c r="CN108">
        <v>9.2178999999999997E-2</v>
      </c>
      <c r="CO108">
        <v>0.20265</v>
      </c>
      <c r="CP108">
        <v>1.756132</v>
      </c>
      <c r="CQ108">
        <v>90.490577999999999</v>
      </c>
      <c r="CR108">
        <v>3.9599999999999998E-4</v>
      </c>
      <c r="CS108">
        <v>2.4333689999999999</v>
      </c>
      <c r="CT108">
        <v>-3.6000000000000001E-5</v>
      </c>
      <c r="CU108">
        <v>1</v>
      </c>
      <c r="CV108">
        <v>2.4396819999999999</v>
      </c>
      <c r="CW108">
        <v>1.1E-5</v>
      </c>
      <c r="CX108">
        <v>1</v>
      </c>
      <c r="CY108">
        <v>0.60025499999999998</v>
      </c>
      <c r="CZ108">
        <v>0.60245199999999999</v>
      </c>
      <c r="DA108">
        <v>0.106742</v>
      </c>
      <c r="DB108">
        <v>0</v>
      </c>
      <c r="DC108" t="s">
        <v>623</v>
      </c>
      <c r="DD108" t="s">
        <v>515</v>
      </c>
      <c r="DE108" t="s">
        <v>516</v>
      </c>
      <c r="DF108" t="s">
        <v>517</v>
      </c>
      <c r="DG108" t="s">
        <v>518</v>
      </c>
      <c r="DH108" t="s">
        <v>205</v>
      </c>
      <c r="DI108" t="s">
        <v>519</v>
      </c>
    </row>
    <row r="109" spans="1:113">
      <c r="A109">
        <v>8</v>
      </c>
      <c r="B109" s="3">
        <v>0.28743055555555558</v>
      </c>
      <c r="C109" s="1">
        <v>45149</v>
      </c>
      <c r="D109" t="s">
        <v>196</v>
      </c>
      <c r="E109" t="s">
        <v>197</v>
      </c>
      <c r="G109">
        <v>8</v>
      </c>
      <c r="J109">
        <v>6.1316000000000002E-2</v>
      </c>
      <c r="K109">
        <v>2.921351</v>
      </c>
      <c r="L109">
        <v>6.0055999999999998E-2</v>
      </c>
      <c r="M109">
        <v>2.9986739999999998</v>
      </c>
      <c r="N109">
        <v>2.488721</v>
      </c>
      <c r="O109">
        <v>2.4100030000000001</v>
      </c>
      <c r="P109">
        <v>7.0234230000000002</v>
      </c>
      <c r="Q109">
        <v>4.5347020000000002</v>
      </c>
      <c r="R109">
        <v>25.216034000000001</v>
      </c>
      <c r="S109">
        <v>26.039660000000001</v>
      </c>
      <c r="T109">
        <v>73.486557000000005</v>
      </c>
      <c r="U109">
        <v>0.44178600000000001</v>
      </c>
      <c r="V109" t="s">
        <v>624</v>
      </c>
      <c r="W109">
        <v>0</v>
      </c>
      <c r="X109">
        <v>0</v>
      </c>
      <c r="Y109">
        <v>0</v>
      </c>
      <c r="Z109">
        <v>131.83843999999999</v>
      </c>
      <c r="AA109">
        <v>267.66232300000001</v>
      </c>
      <c r="AB109">
        <v>0.50744500000000003</v>
      </c>
      <c r="AC109">
        <v>0.5</v>
      </c>
      <c r="AD109">
        <v>0.8</v>
      </c>
      <c r="AE109">
        <v>40.962375999999999</v>
      </c>
      <c r="AF109">
        <v>38.92</v>
      </c>
      <c r="AG109">
        <v>37.68</v>
      </c>
      <c r="AH109">
        <v>37.26</v>
      </c>
      <c r="AI109">
        <v>38.99</v>
      </c>
      <c r="AJ109">
        <v>95.57</v>
      </c>
      <c r="AK109">
        <v>156.69999999999999</v>
      </c>
      <c r="AL109">
        <v>155.4</v>
      </c>
      <c r="AM109">
        <v>0.8</v>
      </c>
      <c r="AN109">
        <v>202</v>
      </c>
      <c r="AO109">
        <v>4.0129999999999999</v>
      </c>
      <c r="AP109">
        <v>39</v>
      </c>
      <c r="AQ109">
        <v>-49</v>
      </c>
      <c r="AR109">
        <v>217</v>
      </c>
      <c r="AS109">
        <v>54.1</v>
      </c>
      <c r="AT109">
        <v>58.64</v>
      </c>
      <c r="AU109">
        <v>59.35</v>
      </c>
      <c r="AV109">
        <v>-81.680000000000007</v>
      </c>
      <c r="AW109">
        <v>15.25</v>
      </c>
      <c r="AX109">
        <v>168.08</v>
      </c>
      <c r="AY109">
        <v>23.63</v>
      </c>
      <c r="AZ109" s="3">
        <v>0.49425925925925923</v>
      </c>
      <c r="BA109" s="1">
        <v>45149</v>
      </c>
      <c r="BB109">
        <v>38.492610999999997</v>
      </c>
      <c r="BC109">
        <v>-1.36313</v>
      </c>
      <c r="BD109">
        <v>583.29998799999998</v>
      </c>
      <c r="BE109">
        <v>7</v>
      </c>
      <c r="BF109">
        <v>1.34</v>
      </c>
      <c r="BG109" s="3">
        <v>0.28237268518518516</v>
      </c>
      <c r="BH109" s="1">
        <v>45149</v>
      </c>
      <c r="BI109">
        <v>-0.19</v>
      </c>
      <c r="BJ109">
        <v>1E-3</v>
      </c>
      <c r="BK109">
        <v>4.0000000000000001E-3</v>
      </c>
      <c r="BL109">
        <v>-9999</v>
      </c>
      <c r="BM109">
        <v>-1.944</v>
      </c>
      <c r="BN109">
        <v>-2.3889999999999998</v>
      </c>
      <c r="BO109">
        <v>-9999</v>
      </c>
      <c r="BP109">
        <v>1</v>
      </c>
      <c r="BQ109">
        <v>150</v>
      </c>
      <c r="BR109">
        <v>5.0000000000000001E-3</v>
      </c>
      <c r="BS109">
        <v>2</v>
      </c>
      <c r="BT109">
        <v>0</v>
      </c>
      <c r="BU109" t="s">
        <v>200</v>
      </c>
      <c r="BV109">
        <v>7000</v>
      </c>
      <c r="BW109">
        <v>500</v>
      </c>
      <c r="BX109">
        <v>5</v>
      </c>
      <c r="BY109">
        <v>2</v>
      </c>
      <c r="BZ109">
        <v>300</v>
      </c>
      <c r="CA109">
        <v>300</v>
      </c>
      <c r="CB109">
        <v>300</v>
      </c>
      <c r="CC109">
        <v>244.68647799999999</v>
      </c>
      <c r="CD109">
        <v>25</v>
      </c>
      <c r="CE109">
        <v>-16.399180999999999</v>
      </c>
      <c r="CF109">
        <v>240.56518600000001</v>
      </c>
      <c r="CG109">
        <v>244.268204</v>
      </c>
      <c r="CH109">
        <v>-3.7030180000000001</v>
      </c>
      <c r="CI109">
        <v>2.497261</v>
      </c>
      <c r="CJ109">
        <v>2.5079099999999999</v>
      </c>
      <c r="CK109">
        <v>1.6660140000000001</v>
      </c>
      <c r="CL109">
        <v>0.94087699999999996</v>
      </c>
      <c r="CM109">
        <v>0.16847699999999999</v>
      </c>
      <c r="CN109">
        <v>2.3230000000000001E-2</v>
      </c>
      <c r="CO109">
        <v>0.20395199999999999</v>
      </c>
      <c r="CP109">
        <v>0.28525299999999998</v>
      </c>
      <c r="CQ109">
        <v>131.83843999999999</v>
      </c>
      <c r="CR109">
        <v>3.86E-4</v>
      </c>
      <c r="CS109">
        <v>2.4333689999999999</v>
      </c>
      <c r="CT109">
        <v>-3.6000000000000001E-5</v>
      </c>
      <c r="CU109">
        <v>1</v>
      </c>
      <c r="CV109">
        <v>2.4396819999999999</v>
      </c>
      <c r="CW109">
        <v>1.1E-5</v>
      </c>
      <c r="CX109">
        <v>1</v>
      </c>
      <c r="CY109">
        <v>0.60025499999999998</v>
      </c>
      <c r="CZ109">
        <v>0.60245199999999999</v>
      </c>
      <c r="DA109">
        <v>0.106742</v>
      </c>
      <c r="DB109">
        <v>0</v>
      </c>
      <c r="DC109" t="s">
        <v>624</v>
      </c>
      <c r="DD109" t="s">
        <v>515</v>
      </c>
      <c r="DE109" t="s">
        <v>516</v>
      </c>
      <c r="DF109" t="s">
        <v>517</v>
      </c>
      <c r="DG109" t="s">
        <v>518</v>
      </c>
      <c r="DH109" t="s">
        <v>205</v>
      </c>
      <c r="DI109" t="s">
        <v>519</v>
      </c>
    </row>
    <row r="110" spans="1:113">
      <c r="A110">
        <v>9</v>
      </c>
      <c r="B110" s="3">
        <v>0.29076388888888888</v>
      </c>
      <c r="C110" s="1">
        <v>45149</v>
      </c>
      <c r="D110" t="s">
        <v>196</v>
      </c>
      <c r="E110" t="s">
        <v>197</v>
      </c>
      <c r="G110">
        <v>9</v>
      </c>
      <c r="J110">
        <v>6.2432000000000001E-2</v>
      </c>
      <c r="K110">
        <v>2.9212889999999998</v>
      </c>
      <c r="L110">
        <v>6.1126E-2</v>
      </c>
      <c r="M110">
        <v>3.652091</v>
      </c>
      <c r="N110">
        <v>2.5830190000000002</v>
      </c>
      <c r="O110">
        <v>2.487228</v>
      </c>
      <c r="P110">
        <v>7.9785740000000001</v>
      </c>
      <c r="Q110">
        <v>5.3955549999999999</v>
      </c>
      <c r="R110">
        <v>26.020571</v>
      </c>
      <c r="S110">
        <v>27.022704999999998</v>
      </c>
      <c r="T110">
        <v>83.469230999999994</v>
      </c>
      <c r="U110">
        <v>0.44178600000000001</v>
      </c>
      <c r="V110" t="s">
        <v>625</v>
      </c>
      <c r="W110">
        <v>0</v>
      </c>
      <c r="X110">
        <v>0</v>
      </c>
      <c r="Y110">
        <v>0</v>
      </c>
      <c r="Z110">
        <v>105.31854199999999</v>
      </c>
      <c r="AA110">
        <v>166.584641</v>
      </c>
      <c r="AB110">
        <v>0.36777799999999999</v>
      </c>
      <c r="AC110">
        <v>0.5</v>
      </c>
      <c r="AD110">
        <v>0.8</v>
      </c>
      <c r="AE110">
        <v>296.843323</v>
      </c>
      <c r="AF110">
        <v>39.51</v>
      </c>
      <c r="AG110">
        <v>38.04</v>
      </c>
      <c r="AH110">
        <v>37.67</v>
      </c>
      <c r="AI110">
        <v>41.38</v>
      </c>
      <c r="AJ110">
        <v>95.59</v>
      </c>
      <c r="AK110">
        <v>156.69999999999999</v>
      </c>
      <c r="AL110">
        <v>155.4</v>
      </c>
      <c r="AM110">
        <v>0.8</v>
      </c>
      <c r="AN110">
        <v>2018</v>
      </c>
      <c r="AO110">
        <v>4.0110000000000001</v>
      </c>
      <c r="AP110">
        <v>24</v>
      </c>
      <c r="AQ110">
        <v>-15</v>
      </c>
      <c r="AR110">
        <v>305</v>
      </c>
      <c r="AS110">
        <v>7.16</v>
      </c>
      <c r="AT110">
        <v>99.22</v>
      </c>
      <c r="AU110">
        <v>28.06</v>
      </c>
      <c r="AV110">
        <v>-21.62</v>
      </c>
      <c r="AW110">
        <v>15.25</v>
      </c>
      <c r="AX110">
        <v>171.06</v>
      </c>
      <c r="AY110">
        <v>23.45</v>
      </c>
      <c r="AZ110" s="3">
        <v>0.49759259259259259</v>
      </c>
      <c r="BA110" s="1">
        <v>45149</v>
      </c>
      <c r="BB110">
        <v>38.492660999999998</v>
      </c>
      <c r="BC110">
        <v>-1.363167</v>
      </c>
      <c r="BD110">
        <v>581.29998799999998</v>
      </c>
      <c r="BE110">
        <v>6</v>
      </c>
      <c r="BF110">
        <v>1.87</v>
      </c>
      <c r="BG110" s="3">
        <v>0.29067129629629629</v>
      </c>
      <c r="BH110" s="1">
        <v>45149</v>
      </c>
      <c r="BI110">
        <v>-0.09</v>
      </c>
      <c r="BJ110">
        <v>1E-3</v>
      </c>
      <c r="BK110">
        <v>1E-3</v>
      </c>
      <c r="BL110">
        <v>-9999</v>
      </c>
      <c r="BM110">
        <v>1.4510000000000001</v>
      </c>
      <c r="BN110">
        <v>1.8029999999999999</v>
      </c>
      <c r="BO110">
        <v>-9999</v>
      </c>
      <c r="BP110">
        <v>1</v>
      </c>
      <c r="BQ110">
        <v>150</v>
      </c>
      <c r="BR110">
        <v>5.0000000000000001E-3</v>
      </c>
      <c r="BS110">
        <v>2</v>
      </c>
      <c r="BT110">
        <v>0</v>
      </c>
      <c r="BU110" t="s">
        <v>200</v>
      </c>
      <c r="BV110">
        <v>7000</v>
      </c>
      <c r="BW110">
        <v>500</v>
      </c>
      <c r="BX110">
        <v>5</v>
      </c>
      <c r="BY110">
        <v>2</v>
      </c>
      <c r="BZ110">
        <v>300</v>
      </c>
      <c r="CA110">
        <v>300</v>
      </c>
      <c r="CB110">
        <v>300</v>
      </c>
      <c r="CC110">
        <v>153.11372399999999</v>
      </c>
      <c r="CD110">
        <v>25</v>
      </c>
      <c r="CE110">
        <v>-9.4037710000000008</v>
      </c>
      <c r="CF110">
        <v>151.094559</v>
      </c>
      <c r="CG110">
        <v>153.169769</v>
      </c>
      <c r="CH110">
        <v>-2.0752109999999999</v>
      </c>
      <c r="CI110">
        <v>2.4977279999999999</v>
      </c>
      <c r="CJ110">
        <v>2.5085989999999998</v>
      </c>
      <c r="CK110">
        <v>1.6659489999999999</v>
      </c>
      <c r="CL110">
        <v>0.94085799999999997</v>
      </c>
      <c r="CM110">
        <v>0.16586200000000001</v>
      </c>
      <c r="CN110">
        <v>4.9855999999999998E-2</v>
      </c>
      <c r="CO110">
        <v>0.23471700000000001</v>
      </c>
      <c r="CP110">
        <v>1.891629</v>
      </c>
      <c r="CQ110">
        <v>105.31854199999999</v>
      </c>
      <c r="CR110">
        <v>3.88E-4</v>
      </c>
      <c r="CS110">
        <v>2.4333689999999999</v>
      </c>
      <c r="CT110">
        <v>-3.6000000000000001E-5</v>
      </c>
      <c r="CU110">
        <v>1</v>
      </c>
      <c r="CV110">
        <v>2.4396819999999999</v>
      </c>
      <c r="CW110">
        <v>1.1E-5</v>
      </c>
      <c r="CX110">
        <v>1</v>
      </c>
      <c r="CY110">
        <v>0.60025499999999998</v>
      </c>
      <c r="CZ110">
        <v>0.60245199999999999</v>
      </c>
      <c r="DA110">
        <v>0.106742</v>
      </c>
      <c r="DB110">
        <v>0</v>
      </c>
      <c r="DC110" t="s">
        <v>625</v>
      </c>
      <c r="DD110" t="s">
        <v>515</v>
      </c>
      <c r="DE110" t="s">
        <v>516</v>
      </c>
      <c r="DF110" t="s">
        <v>517</v>
      </c>
      <c r="DG110" t="s">
        <v>518</v>
      </c>
      <c r="DH110" t="s">
        <v>205</v>
      </c>
      <c r="DI110" t="s">
        <v>519</v>
      </c>
    </row>
    <row r="111" spans="1:113">
      <c r="A111">
        <v>10</v>
      </c>
      <c r="B111" s="3">
        <v>0.29094907407407405</v>
      </c>
      <c r="C111" s="1">
        <v>45149</v>
      </c>
      <c r="D111" t="s">
        <v>196</v>
      </c>
      <c r="E111" t="s">
        <v>197</v>
      </c>
      <c r="G111">
        <v>10</v>
      </c>
      <c r="J111">
        <v>0.15010999999999999</v>
      </c>
      <c r="K111">
        <v>2.9202819999999998</v>
      </c>
      <c r="L111">
        <v>0.14277100000000001</v>
      </c>
      <c r="M111">
        <v>7.2681610000000001</v>
      </c>
      <c r="N111">
        <v>2.5966130000000001</v>
      </c>
      <c r="O111">
        <v>2.4058440000000001</v>
      </c>
      <c r="P111">
        <v>7.2132459999999998</v>
      </c>
      <c r="Q111">
        <v>4.6166330000000002</v>
      </c>
      <c r="R111">
        <v>25.168098000000001</v>
      </c>
      <c r="S111">
        <v>27.163779999999999</v>
      </c>
      <c r="T111">
        <v>75.459464999999994</v>
      </c>
      <c r="U111">
        <v>0.44178600000000001</v>
      </c>
      <c r="V111" t="s">
        <v>626</v>
      </c>
      <c r="W111">
        <v>0</v>
      </c>
      <c r="X111">
        <v>0</v>
      </c>
      <c r="Y111">
        <v>0</v>
      </c>
      <c r="Z111">
        <v>167.17422500000001</v>
      </c>
      <c r="AA111">
        <v>274.12780800000002</v>
      </c>
      <c r="AB111">
        <v>0.39016000000000001</v>
      </c>
      <c r="AC111">
        <v>0.5</v>
      </c>
      <c r="AD111">
        <v>0.8</v>
      </c>
      <c r="AE111">
        <v>323.18231200000002</v>
      </c>
      <c r="AF111">
        <v>39.619999999999997</v>
      </c>
      <c r="AG111">
        <v>36.71</v>
      </c>
      <c r="AH111">
        <v>37.71</v>
      </c>
      <c r="AI111">
        <v>39.49</v>
      </c>
      <c r="AJ111">
        <v>95.59</v>
      </c>
      <c r="AK111">
        <v>156.5</v>
      </c>
      <c r="AL111">
        <v>155.6</v>
      </c>
      <c r="AM111">
        <v>0.6</v>
      </c>
      <c r="AN111">
        <v>2071</v>
      </c>
      <c r="AO111">
        <v>4.0119999999999996</v>
      </c>
      <c r="AP111">
        <v>17</v>
      </c>
      <c r="AQ111">
        <v>-4</v>
      </c>
      <c r="AR111">
        <v>324</v>
      </c>
      <c r="AS111">
        <v>7.62</v>
      </c>
      <c r="AT111">
        <v>99.12</v>
      </c>
      <c r="AU111">
        <v>17.45</v>
      </c>
      <c r="AV111">
        <v>-22.55</v>
      </c>
      <c r="AW111">
        <v>15.25</v>
      </c>
      <c r="AX111">
        <v>171.06</v>
      </c>
      <c r="AY111">
        <v>23.45</v>
      </c>
      <c r="AZ111" s="3">
        <v>0.49777777777777782</v>
      </c>
      <c r="BA111" s="1">
        <v>45149</v>
      </c>
      <c r="BB111">
        <v>38.492657000000001</v>
      </c>
      <c r="BC111">
        <v>-1.363208</v>
      </c>
      <c r="BD111">
        <v>577.20001200000002</v>
      </c>
      <c r="BE111">
        <v>8</v>
      </c>
      <c r="BF111">
        <v>1.1299999999999999</v>
      </c>
      <c r="BG111" s="3">
        <v>0.29067129629629629</v>
      </c>
      <c r="BH111" s="1">
        <v>45149</v>
      </c>
      <c r="BI111">
        <v>-0.09</v>
      </c>
      <c r="BJ111">
        <v>1E-3</v>
      </c>
      <c r="BK111">
        <v>3.0000000000000001E-3</v>
      </c>
      <c r="BL111">
        <v>-9999</v>
      </c>
      <c r="BM111">
        <v>-3.4929999999999999</v>
      </c>
      <c r="BN111">
        <v>-4.0049999999999999</v>
      </c>
      <c r="BO111">
        <v>-9999</v>
      </c>
      <c r="BP111">
        <v>1</v>
      </c>
      <c r="BQ111">
        <v>150</v>
      </c>
      <c r="BR111">
        <v>5.0000000000000001E-3</v>
      </c>
      <c r="BS111">
        <v>2</v>
      </c>
      <c r="BT111">
        <v>0</v>
      </c>
      <c r="BU111" t="s">
        <v>200</v>
      </c>
      <c r="BV111">
        <v>7000</v>
      </c>
      <c r="BW111">
        <v>500</v>
      </c>
      <c r="BX111">
        <v>5</v>
      </c>
      <c r="BY111">
        <v>2</v>
      </c>
      <c r="BZ111">
        <v>300</v>
      </c>
      <c r="CA111">
        <v>300</v>
      </c>
      <c r="CB111">
        <v>300</v>
      </c>
      <c r="CC111">
        <v>255.166763</v>
      </c>
      <c r="CD111">
        <v>25</v>
      </c>
      <c r="CE111">
        <v>-13.617489000000001</v>
      </c>
      <c r="CF111">
        <v>252.54534899999999</v>
      </c>
      <c r="CG111">
        <v>254.70188899999999</v>
      </c>
      <c r="CH111">
        <v>-2.1565400000000001</v>
      </c>
      <c r="CI111">
        <v>2.4957240000000001</v>
      </c>
      <c r="CJ111">
        <v>2.5087619999999999</v>
      </c>
      <c r="CK111">
        <v>1.6648879999999999</v>
      </c>
      <c r="CL111">
        <v>0.94142199999999998</v>
      </c>
      <c r="CM111">
        <v>0.165579</v>
      </c>
      <c r="CN111">
        <v>2.3969000000000001E-2</v>
      </c>
      <c r="CO111">
        <v>0.23625299999999999</v>
      </c>
      <c r="CP111">
        <v>1.9385250000000001</v>
      </c>
      <c r="CQ111">
        <v>167.17422500000001</v>
      </c>
      <c r="CR111">
        <v>3.8699999999999997E-4</v>
      </c>
      <c r="CS111">
        <v>2.4333689999999999</v>
      </c>
      <c r="CT111">
        <v>-3.6000000000000001E-5</v>
      </c>
      <c r="CU111">
        <v>1</v>
      </c>
      <c r="CV111">
        <v>2.4396819999999999</v>
      </c>
      <c r="CW111">
        <v>1.1E-5</v>
      </c>
      <c r="CX111">
        <v>1</v>
      </c>
      <c r="CY111">
        <v>0.60025499999999998</v>
      </c>
      <c r="CZ111">
        <v>0.60245199999999999</v>
      </c>
      <c r="DA111">
        <v>0.106742</v>
      </c>
      <c r="DB111">
        <v>0</v>
      </c>
      <c r="DC111" t="s">
        <v>626</v>
      </c>
      <c r="DD111" t="s">
        <v>515</v>
      </c>
      <c r="DE111" t="s">
        <v>516</v>
      </c>
      <c r="DF111" t="s">
        <v>517</v>
      </c>
      <c r="DG111" t="s">
        <v>518</v>
      </c>
      <c r="DH111" t="s">
        <v>205</v>
      </c>
      <c r="DI111" t="s">
        <v>519</v>
      </c>
    </row>
    <row r="112" spans="1:113">
      <c r="A112">
        <v>11</v>
      </c>
      <c r="B112" s="3">
        <v>0.29123842592592591</v>
      </c>
      <c r="C112" s="1">
        <v>45149</v>
      </c>
      <c r="D112" t="s">
        <v>196</v>
      </c>
      <c r="E112" t="s">
        <v>197</v>
      </c>
      <c r="G112">
        <v>11</v>
      </c>
      <c r="J112">
        <v>0.143181</v>
      </c>
      <c r="K112">
        <v>2.9216169999999999</v>
      </c>
      <c r="L112">
        <v>0.136492</v>
      </c>
      <c r="M112">
        <v>5.5359629999999997</v>
      </c>
      <c r="N112">
        <v>2.6058819999999998</v>
      </c>
      <c r="O112">
        <v>2.4607579999999998</v>
      </c>
      <c r="P112">
        <v>6.3019920000000003</v>
      </c>
      <c r="Q112">
        <v>3.69611</v>
      </c>
      <c r="R112">
        <v>25.744585000000001</v>
      </c>
      <c r="S112">
        <v>27.262884</v>
      </c>
      <c r="T112">
        <v>65.931792999999999</v>
      </c>
      <c r="U112">
        <v>0.44178600000000001</v>
      </c>
      <c r="V112" t="s">
        <v>627</v>
      </c>
      <c r="W112">
        <v>0</v>
      </c>
      <c r="X112">
        <v>0</v>
      </c>
      <c r="Y112">
        <v>0</v>
      </c>
      <c r="Z112">
        <v>113.77072099999999</v>
      </c>
      <c r="AA112">
        <v>342.56076000000002</v>
      </c>
      <c r="AB112">
        <v>0.66788199999999998</v>
      </c>
      <c r="AC112">
        <v>0.5</v>
      </c>
      <c r="AD112">
        <v>0.8</v>
      </c>
      <c r="AE112">
        <v>461.24200400000001</v>
      </c>
      <c r="AF112">
        <v>39.65</v>
      </c>
      <c r="AG112">
        <v>37.44</v>
      </c>
      <c r="AH112">
        <v>37.76</v>
      </c>
      <c r="AI112">
        <v>36.99</v>
      </c>
      <c r="AJ112">
        <v>95.58</v>
      </c>
      <c r="AK112">
        <v>156.69999999999999</v>
      </c>
      <c r="AL112">
        <v>155.69999999999999</v>
      </c>
      <c r="AM112">
        <v>0.6</v>
      </c>
      <c r="AN112">
        <v>1727</v>
      </c>
      <c r="AO112">
        <v>4.01</v>
      </c>
      <c r="AP112">
        <v>22</v>
      </c>
      <c r="AQ112">
        <v>-50</v>
      </c>
      <c r="AR112">
        <v>263</v>
      </c>
      <c r="AS112">
        <v>31.4</v>
      </c>
      <c r="AT112">
        <v>85.35</v>
      </c>
      <c r="AU112">
        <v>53.42</v>
      </c>
      <c r="AV112">
        <v>-24.45</v>
      </c>
      <c r="AW112">
        <v>15.25</v>
      </c>
      <c r="AX112">
        <v>171.67</v>
      </c>
      <c r="AY112">
        <v>23.43</v>
      </c>
      <c r="AZ112" s="3">
        <v>0.49806712962962968</v>
      </c>
      <c r="BA112" s="1">
        <v>45149</v>
      </c>
      <c r="BB112">
        <v>38.492626000000001</v>
      </c>
      <c r="BC112">
        <v>-1.363192</v>
      </c>
      <c r="BD112">
        <v>576.29998799999998</v>
      </c>
      <c r="BE112">
        <v>8</v>
      </c>
      <c r="BF112">
        <v>1.27</v>
      </c>
      <c r="BG112" s="3">
        <v>0.29067129629629629</v>
      </c>
      <c r="BH112" s="1">
        <v>45149</v>
      </c>
      <c r="BI112">
        <v>-0.09</v>
      </c>
      <c r="BJ112">
        <v>0</v>
      </c>
      <c r="BK112">
        <v>-1E-3</v>
      </c>
      <c r="BL112">
        <v>2E-3</v>
      </c>
      <c r="BM112">
        <v>-0.78400000000000003</v>
      </c>
      <c r="BN112">
        <v>-2.194</v>
      </c>
      <c r="BO112">
        <v>-20.329000000000001</v>
      </c>
      <c r="BP112">
        <v>1</v>
      </c>
      <c r="BQ112">
        <v>150</v>
      </c>
      <c r="BR112">
        <v>5.0000000000000001E-3</v>
      </c>
      <c r="BS112">
        <v>2</v>
      </c>
      <c r="BT112">
        <v>0</v>
      </c>
      <c r="BU112" t="s">
        <v>200</v>
      </c>
      <c r="BV112">
        <v>7000</v>
      </c>
      <c r="BW112">
        <v>500</v>
      </c>
      <c r="BX112">
        <v>5</v>
      </c>
      <c r="BY112">
        <v>2</v>
      </c>
      <c r="BZ112">
        <v>300</v>
      </c>
      <c r="CA112">
        <v>300</v>
      </c>
      <c r="CB112">
        <v>300</v>
      </c>
      <c r="CC112">
        <v>331.68267800000001</v>
      </c>
      <c r="CD112">
        <v>25</v>
      </c>
      <c r="CE112">
        <v>-7.2470439999999998</v>
      </c>
      <c r="CF112">
        <v>333.97293100000002</v>
      </c>
      <c r="CG112">
        <v>332.222534</v>
      </c>
      <c r="CH112">
        <v>1.750397</v>
      </c>
      <c r="CI112">
        <v>2.4968189999999999</v>
      </c>
      <c r="CJ112">
        <v>2.5088050000000002</v>
      </c>
      <c r="CK112">
        <v>1.6662939999999999</v>
      </c>
      <c r="CL112">
        <v>0.94159400000000004</v>
      </c>
      <c r="CM112">
        <v>0.16525999999999999</v>
      </c>
      <c r="CN112">
        <v>-9.2200000000000008E-3</v>
      </c>
      <c r="CO112">
        <v>0.23877100000000001</v>
      </c>
      <c r="CP112">
        <v>1.6339490000000001</v>
      </c>
      <c r="CQ112">
        <v>113.77072099999999</v>
      </c>
      <c r="CR112">
        <v>3.9100000000000002E-4</v>
      </c>
      <c r="CS112">
        <v>2.4333689999999999</v>
      </c>
      <c r="CT112">
        <v>-3.6000000000000001E-5</v>
      </c>
      <c r="CU112">
        <v>1</v>
      </c>
      <c r="CV112">
        <v>2.4396819999999999</v>
      </c>
      <c r="CW112">
        <v>1.1E-5</v>
      </c>
      <c r="CX112">
        <v>1</v>
      </c>
      <c r="CY112">
        <v>0.60025499999999998</v>
      </c>
      <c r="CZ112">
        <v>0.60245199999999999</v>
      </c>
      <c r="DA112">
        <v>0.106742</v>
      </c>
      <c r="DB112">
        <v>0</v>
      </c>
      <c r="DC112" t="s">
        <v>627</v>
      </c>
      <c r="DD112" t="s">
        <v>515</v>
      </c>
      <c r="DE112" t="s">
        <v>516</v>
      </c>
      <c r="DF112" t="s">
        <v>517</v>
      </c>
      <c r="DG112" t="s">
        <v>518</v>
      </c>
      <c r="DH112" t="s">
        <v>205</v>
      </c>
      <c r="DI112" t="s">
        <v>519</v>
      </c>
    </row>
    <row r="113" spans="1:113">
      <c r="A113">
        <v>12</v>
      </c>
      <c r="B113" s="3">
        <v>0.29173611111111114</v>
      </c>
      <c r="C113" s="1">
        <v>45149</v>
      </c>
      <c r="D113" t="s">
        <v>196</v>
      </c>
      <c r="E113" t="s">
        <v>197</v>
      </c>
      <c r="G113">
        <v>12</v>
      </c>
      <c r="J113">
        <v>7.6872999999999997E-2</v>
      </c>
      <c r="K113">
        <v>2.921246</v>
      </c>
      <c r="L113">
        <v>7.4901999999999996E-2</v>
      </c>
      <c r="M113">
        <v>4.4165080000000003</v>
      </c>
      <c r="N113">
        <v>2.7098990000000001</v>
      </c>
      <c r="O113">
        <v>2.5942099999999999</v>
      </c>
      <c r="P113">
        <v>8.0295550000000002</v>
      </c>
      <c r="Q113">
        <v>5.3196560000000002</v>
      </c>
      <c r="R113">
        <v>27.139213999999999</v>
      </c>
      <c r="S113">
        <v>28.349491</v>
      </c>
      <c r="T113">
        <v>84.000832000000003</v>
      </c>
      <c r="U113">
        <v>0.44178600000000001</v>
      </c>
      <c r="V113" t="s">
        <v>628</v>
      </c>
      <c r="W113">
        <v>0</v>
      </c>
      <c r="X113">
        <v>0</v>
      </c>
      <c r="Y113">
        <v>0</v>
      </c>
      <c r="Z113">
        <v>162.68956</v>
      </c>
      <c r="AA113">
        <v>209.63644400000001</v>
      </c>
      <c r="AB113">
        <v>0.223944</v>
      </c>
      <c r="AC113">
        <v>0.5</v>
      </c>
      <c r="AD113">
        <v>0.8</v>
      </c>
      <c r="AE113">
        <v>179.00607299999999</v>
      </c>
      <c r="AF113">
        <v>41.01</v>
      </c>
      <c r="AG113">
        <v>39.26</v>
      </c>
      <c r="AH113">
        <v>37.86</v>
      </c>
      <c r="AI113">
        <v>41.5</v>
      </c>
      <c r="AJ113">
        <v>95.59</v>
      </c>
      <c r="AK113">
        <v>156.6</v>
      </c>
      <c r="AL113">
        <v>155.6</v>
      </c>
      <c r="AM113">
        <v>0.7</v>
      </c>
      <c r="AN113">
        <v>1998</v>
      </c>
      <c r="AO113">
        <v>4.01</v>
      </c>
      <c r="AP113">
        <v>26</v>
      </c>
      <c r="AQ113">
        <v>-13</v>
      </c>
      <c r="AR113">
        <v>346</v>
      </c>
      <c r="AS113">
        <v>11.07</v>
      </c>
      <c r="AT113">
        <v>98.14</v>
      </c>
      <c r="AU113">
        <v>28.87</v>
      </c>
      <c r="AV113">
        <v>13.77</v>
      </c>
      <c r="AW113">
        <v>15.25</v>
      </c>
      <c r="AX113">
        <v>171.67</v>
      </c>
      <c r="AY113">
        <v>23.43</v>
      </c>
      <c r="AZ113" s="3">
        <v>0.49850694444444449</v>
      </c>
      <c r="BA113" s="1">
        <v>45149</v>
      </c>
      <c r="BB113">
        <v>38.492615000000001</v>
      </c>
      <c r="BC113">
        <v>-1.3632150000000001</v>
      </c>
      <c r="BD113">
        <v>570.59997599999997</v>
      </c>
      <c r="BE113">
        <v>9</v>
      </c>
      <c r="BF113">
        <v>1.02</v>
      </c>
      <c r="BG113" s="3">
        <v>0.29067129629629629</v>
      </c>
      <c r="BH113" s="1">
        <v>45149</v>
      </c>
      <c r="BI113">
        <v>-0.09</v>
      </c>
      <c r="BJ113">
        <v>-1E-3</v>
      </c>
      <c r="BK113">
        <v>-1E-3</v>
      </c>
      <c r="BL113">
        <v>2E-3</v>
      </c>
      <c r="BM113">
        <v>-0.96399999999999997</v>
      </c>
      <c r="BN113">
        <v>-1.67</v>
      </c>
      <c r="BO113">
        <v>-8.5079999999999991</v>
      </c>
      <c r="BP113">
        <v>1</v>
      </c>
      <c r="BQ113">
        <v>150</v>
      </c>
      <c r="BR113">
        <v>5.0000000000000001E-3</v>
      </c>
      <c r="BS113">
        <v>2</v>
      </c>
      <c r="BT113">
        <v>0</v>
      </c>
      <c r="BU113" t="s">
        <v>200</v>
      </c>
      <c r="BV113">
        <v>7000</v>
      </c>
      <c r="BW113">
        <v>500</v>
      </c>
      <c r="BX113">
        <v>5</v>
      </c>
      <c r="BY113">
        <v>2</v>
      </c>
      <c r="BZ113">
        <v>300</v>
      </c>
      <c r="CA113">
        <v>300</v>
      </c>
      <c r="CB113">
        <v>300</v>
      </c>
      <c r="CC113">
        <v>209.63644400000001</v>
      </c>
      <c r="CD113">
        <v>25</v>
      </c>
      <c r="CE113">
        <v>2.8530660000000001</v>
      </c>
      <c r="CF113">
        <v>217.05758700000001</v>
      </c>
      <c r="CG113">
        <v>213.706467</v>
      </c>
      <c r="CH113">
        <v>3.3511199999999999</v>
      </c>
      <c r="CI113">
        <v>2.4995059999999998</v>
      </c>
      <c r="CJ113">
        <v>2.5108139999999999</v>
      </c>
      <c r="CK113">
        <v>1.665902</v>
      </c>
      <c r="CL113">
        <v>0.94145100000000004</v>
      </c>
      <c r="CM113">
        <v>0.16461300000000001</v>
      </c>
      <c r="CN113">
        <v>4.8932999999999997E-2</v>
      </c>
      <c r="CO113">
        <v>0.24321599999999999</v>
      </c>
      <c r="CP113">
        <v>1.8743920000000001</v>
      </c>
      <c r="CQ113">
        <v>162.68956</v>
      </c>
      <c r="CR113">
        <v>3.9199999999999999E-4</v>
      </c>
      <c r="CS113">
        <v>2.4333689999999999</v>
      </c>
      <c r="CT113">
        <v>-3.6000000000000001E-5</v>
      </c>
      <c r="CU113">
        <v>1</v>
      </c>
      <c r="CV113">
        <v>2.4396819999999999</v>
      </c>
      <c r="CW113">
        <v>1.1E-5</v>
      </c>
      <c r="CX113">
        <v>1</v>
      </c>
      <c r="CY113">
        <v>0.60025499999999998</v>
      </c>
      <c r="CZ113">
        <v>0.60245199999999999</v>
      </c>
      <c r="DA113">
        <v>0.106742</v>
      </c>
      <c r="DB113">
        <v>0</v>
      </c>
      <c r="DC113" t="s">
        <v>628</v>
      </c>
      <c r="DD113" t="s">
        <v>515</v>
      </c>
      <c r="DE113" t="s">
        <v>516</v>
      </c>
      <c r="DF113" t="s">
        <v>517</v>
      </c>
      <c r="DG113" t="s">
        <v>518</v>
      </c>
      <c r="DH113" t="s">
        <v>205</v>
      </c>
      <c r="DI113" t="s">
        <v>519</v>
      </c>
    </row>
    <row r="114" spans="1:113">
      <c r="A114">
        <v>1</v>
      </c>
      <c r="B114" s="3">
        <v>0.29435185185185186</v>
      </c>
      <c r="C114" s="1">
        <v>45149</v>
      </c>
      <c r="D114" t="s">
        <v>196</v>
      </c>
      <c r="E114" t="s">
        <v>197</v>
      </c>
      <c r="G114">
        <v>1</v>
      </c>
      <c r="J114">
        <v>4.4288000000000001E-2</v>
      </c>
      <c r="K114">
        <v>2.9223330000000001</v>
      </c>
      <c r="L114">
        <v>4.3626999999999999E-2</v>
      </c>
      <c r="M114">
        <v>2.4008609999999999</v>
      </c>
      <c r="N114">
        <v>2.5180400000000001</v>
      </c>
      <c r="O114">
        <v>2.4550610000000002</v>
      </c>
      <c r="P114">
        <v>7.5038349999999996</v>
      </c>
      <c r="Q114">
        <v>4.9857950000000004</v>
      </c>
      <c r="R114">
        <v>25.678135000000001</v>
      </c>
      <c r="S114">
        <v>26.336850999999999</v>
      </c>
      <c r="T114">
        <v>78.484611999999998</v>
      </c>
      <c r="U114">
        <v>0.44178600000000001</v>
      </c>
      <c r="V114" t="s">
        <v>629</v>
      </c>
      <c r="W114">
        <v>0</v>
      </c>
      <c r="X114">
        <v>0</v>
      </c>
      <c r="Y114">
        <v>0</v>
      </c>
      <c r="Z114">
        <v>225.77082799999999</v>
      </c>
      <c r="AA114">
        <v>325.959564</v>
      </c>
      <c r="AB114">
        <v>0.30736599999999997</v>
      </c>
      <c r="AC114">
        <v>0.5</v>
      </c>
      <c r="AD114">
        <v>0.8</v>
      </c>
      <c r="AE114">
        <v>169.18606600000001</v>
      </c>
      <c r="AF114">
        <v>36.770000000000003</v>
      </c>
      <c r="AG114">
        <v>35.85</v>
      </c>
      <c r="AH114">
        <v>38.520000000000003</v>
      </c>
      <c r="AI114">
        <v>40.229999999999997</v>
      </c>
      <c r="AJ114">
        <v>95.61</v>
      </c>
      <c r="AK114">
        <v>156.80000000000001</v>
      </c>
      <c r="AL114">
        <v>155.19999999999999</v>
      </c>
      <c r="AM114">
        <v>1</v>
      </c>
      <c r="AN114">
        <v>1376</v>
      </c>
      <c r="AO114">
        <v>4.0110000000000001</v>
      </c>
      <c r="AP114">
        <v>15</v>
      </c>
      <c r="AQ114">
        <v>-22</v>
      </c>
      <c r="AR114">
        <v>69</v>
      </c>
      <c r="AZ114" s="3">
        <v>0</v>
      </c>
      <c r="BA114" t="s">
        <v>513</v>
      </c>
      <c r="BB114" t="s">
        <v>514</v>
      </c>
      <c r="BC114" t="s">
        <v>514</v>
      </c>
      <c r="BD114" t="s">
        <v>514</v>
      </c>
      <c r="BE114">
        <v>0</v>
      </c>
      <c r="BF114" t="s">
        <v>514</v>
      </c>
      <c r="BG114" s="3">
        <v>0.29421296296296295</v>
      </c>
      <c r="BH114" s="1">
        <v>45149</v>
      </c>
      <c r="BI114">
        <v>-0.05</v>
      </c>
      <c r="BJ114">
        <v>0</v>
      </c>
      <c r="BK114">
        <v>0</v>
      </c>
      <c r="BL114">
        <v>1E-3</v>
      </c>
      <c r="BM114">
        <v>-3</v>
      </c>
      <c r="BN114">
        <v>-3.0710000000000002</v>
      </c>
      <c r="BO114">
        <v>9.2080000000000002</v>
      </c>
      <c r="BP114">
        <v>1</v>
      </c>
      <c r="BQ114">
        <v>150</v>
      </c>
      <c r="BR114">
        <v>5.0000000000000001E-3</v>
      </c>
      <c r="BS114">
        <v>2</v>
      </c>
      <c r="BT114">
        <v>0</v>
      </c>
      <c r="BU114" t="s">
        <v>200</v>
      </c>
      <c r="BV114">
        <v>7000</v>
      </c>
      <c r="BW114">
        <v>500</v>
      </c>
      <c r="BX114">
        <v>5</v>
      </c>
      <c r="BY114">
        <v>2</v>
      </c>
      <c r="BZ114">
        <v>300</v>
      </c>
      <c r="CA114">
        <v>300</v>
      </c>
      <c r="CB114">
        <v>300</v>
      </c>
      <c r="CC114">
        <v>325.959564</v>
      </c>
      <c r="CD114">
        <v>25</v>
      </c>
      <c r="CE114">
        <v>4.000515</v>
      </c>
      <c r="CF114">
        <v>335.424194</v>
      </c>
      <c r="CG114">
        <v>331.666473</v>
      </c>
      <c r="CH114">
        <v>3.7577210000000001</v>
      </c>
      <c r="CI114">
        <v>2.4942950000000002</v>
      </c>
      <c r="CJ114">
        <v>2.5043220000000002</v>
      </c>
      <c r="CK114">
        <v>1.6670499999999999</v>
      </c>
      <c r="CL114">
        <v>0.94046700000000005</v>
      </c>
      <c r="CM114">
        <v>0.16048100000000001</v>
      </c>
      <c r="CN114">
        <v>2.3217999999999999E-2</v>
      </c>
      <c r="CO114">
        <v>0.15205399999999999</v>
      </c>
      <c r="CP114">
        <v>1.323987</v>
      </c>
      <c r="CQ114">
        <v>225.77082799999999</v>
      </c>
      <c r="CR114">
        <v>3.8400000000000001E-4</v>
      </c>
      <c r="CS114">
        <v>2.4333689999999999</v>
      </c>
      <c r="CT114">
        <v>-3.6000000000000001E-5</v>
      </c>
      <c r="CU114">
        <v>1</v>
      </c>
      <c r="CV114">
        <v>2.4396819999999999</v>
      </c>
      <c r="CW114">
        <v>1.1E-5</v>
      </c>
      <c r="CX114">
        <v>1</v>
      </c>
      <c r="CY114">
        <v>0.60025499999999998</v>
      </c>
      <c r="CZ114">
        <v>0.60245199999999999</v>
      </c>
      <c r="DA114">
        <v>0.106742</v>
      </c>
      <c r="DB114">
        <v>0</v>
      </c>
      <c r="DC114" t="s">
        <v>629</v>
      </c>
      <c r="DD114" t="s">
        <v>515</v>
      </c>
      <c r="DE114" t="s">
        <v>516</v>
      </c>
      <c r="DF114" t="s">
        <v>517</v>
      </c>
      <c r="DG114" t="s">
        <v>518</v>
      </c>
      <c r="DH114" t="s">
        <v>205</v>
      </c>
      <c r="DI114" t="s">
        <v>519</v>
      </c>
    </row>
    <row r="115" spans="1:113">
      <c r="A115">
        <v>2</v>
      </c>
      <c r="B115" s="3">
        <v>0.29454861111111114</v>
      </c>
      <c r="C115" s="1">
        <v>45149</v>
      </c>
      <c r="D115" t="s">
        <v>196</v>
      </c>
      <c r="E115" t="s">
        <v>197</v>
      </c>
      <c r="G115">
        <v>2</v>
      </c>
      <c r="J115">
        <v>0.20768500000000001</v>
      </c>
      <c r="K115">
        <v>2.9215420000000001</v>
      </c>
      <c r="L115">
        <v>0.19390099999999999</v>
      </c>
      <c r="M115">
        <v>7.2320260000000003</v>
      </c>
      <c r="N115">
        <v>2.6799780000000002</v>
      </c>
      <c r="O115">
        <v>2.490494</v>
      </c>
      <c r="P115">
        <v>6.0822729999999998</v>
      </c>
      <c r="Q115">
        <v>3.4022950000000001</v>
      </c>
      <c r="R115">
        <v>26.050716000000001</v>
      </c>
      <c r="S115">
        <v>28.032726</v>
      </c>
      <c r="T115">
        <v>63.620933999999998</v>
      </c>
      <c r="U115">
        <v>0.44178600000000001</v>
      </c>
      <c r="V115" t="s">
        <v>630</v>
      </c>
      <c r="W115">
        <v>0</v>
      </c>
      <c r="X115">
        <v>0</v>
      </c>
      <c r="Y115">
        <v>0</v>
      </c>
      <c r="Z115">
        <v>94.796775999999994</v>
      </c>
      <c r="AA115">
        <v>346.95916699999998</v>
      </c>
      <c r="AB115">
        <v>0.72677800000000004</v>
      </c>
      <c r="AC115">
        <v>0.5</v>
      </c>
      <c r="AD115">
        <v>0.8</v>
      </c>
      <c r="AE115">
        <v>141.27716100000001</v>
      </c>
      <c r="AF115">
        <v>39.03</v>
      </c>
      <c r="AG115">
        <v>36.270000000000003</v>
      </c>
      <c r="AH115">
        <v>38.57</v>
      </c>
      <c r="AI115">
        <v>36.340000000000003</v>
      </c>
      <c r="AJ115">
        <v>95.6</v>
      </c>
      <c r="AK115">
        <v>156.69999999999999</v>
      </c>
      <c r="AL115">
        <v>155.5</v>
      </c>
      <c r="AM115">
        <v>0.7</v>
      </c>
      <c r="AN115">
        <v>486</v>
      </c>
      <c r="AO115">
        <v>4.01</v>
      </c>
      <c r="AP115">
        <v>39</v>
      </c>
      <c r="AQ115">
        <v>-44</v>
      </c>
      <c r="AR115">
        <v>154</v>
      </c>
      <c r="AZ115" s="3">
        <v>0</v>
      </c>
      <c r="BA115" t="s">
        <v>513</v>
      </c>
      <c r="BB115" t="s">
        <v>514</v>
      </c>
      <c r="BC115" t="s">
        <v>514</v>
      </c>
      <c r="BD115" t="s">
        <v>514</v>
      </c>
      <c r="BE115">
        <v>0</v>
      </c>
      <c r="BF115" t="s">
        <v>514</v>
      </c>
      <c r="BG115" s="3">
        <v>0.29421296296296295</v>
      </c>
      <c r="BH115" s="1">
        <v>45149</v>
      </c>
      <c r="BI115">
        <v>-0.05</v>
      </c>
      <c r="BJ115">
        <v>3.0000000000000001E-3</v>
      </c>
      <c r="BK115">
        <v>3.0000000000000001E-3</v>
      </c>
      <c r="BL115">
        <v>1.2999999999999999E-2</v>
      </c>
      <c r="BM115">
        <v>-0.86</v>
      </c>
      <c r="BN115">
        <v>0.53800000000000003</v>
      </c>
      <c r="BO115">
        <v>-5.5E-2</v>
      </c>
      <c r="BP115">
        <v>1</v>
      </c>
      <c r="BQ115">
        <v>150</v>
      </c>
      <c r="BR115">
        <v>5.0000000000000001E-3</v>
      </c>
      <c r="BS115">
        <v>2</v>
      </c>
      <c r="BT115">
        <v>0</v>
      </c>
      <c r="BU115" t="s">
        <v>200</v>
      </c>
      <c r="BV115">
        <v>7000</v>
      </c>
      <c r="BW115">
        <v>500</v>
      </c>
      <c r="BX115">
        <v>5</v>
      </c>
      <c r="BY115">
        <v>2</v>
      </c>
      <c r="BZ115">
        <v>300</v>
      </c>
      <c r="CA115">
        <v>300</v>
      </c>
      <c r="CB115">
        <v>300</v>
      </c>
      <c r="CC115">
        <v>314.42392000000001</v>
      </c>
      <c r="CD115">
        <v>25</v>
      </c>
      <c r="CE115">
        <v>-22.097994</v>
      </c>
      <c r="CF115">
        <v>316.45883199999997</v>
      </c>
      <c r="CG115">
        <v>315.43545499999999</v>
      </c>
      <c r="CH115">
        <v>1.0233760000000001</v>
      </c>
      <c r="CI115">
        <v>2.4949240000000001</v>
      </c>
      <c r="CJ115">
        <v>2.5077150000000001</v>
      </c>
      <c r="CK115">
        <v>1.666215</v>
      </c>
      <c r="CL115">
        <v>0.94124399999999997</v>
      </c>
      <c r="CM115">
        <v>0.160188</v>
      </c>
      <c r="CN115">
        <v>-2.8024E-2</v>
      </c>
      <c r="CO115">
        <v>0.15503400000000001</v>
      </c>
      <c r="CP115">
        <v>0.53661300000000001</v>
      </c>
      <c r="CQ115">
        <v>94.796775999999994</v>
      </c>
      <c r="CR115">
        <v>3.7300000000000001E-4</v>
      </c>
      <c r="CS115">
        <v>2.4333689999999999</v>
      </c>
      <c r="CT115">
        <v>-3.6000000000000001E-5</v>
      </c>
      <c r="CU115">
        <v>1</v>
      </c>
      <c r="CV115">
        <v>2.4396819999999999</v>
      </c>
      <c r="CW115">
        <v>1.1E-5</v>
      </c>
      <c r="CX115">
        <v>1</v>
      </c>
      <c r="CY115">
        <v>0.60025499999999998</v>
      </c>
      <c r="CZ115">
        <v>0.60245199999999999</v>
      </c>
      <c r="DA115">
        <v>0.106742</v>
      </c>
      <c r="DB115">
        <v>0</v>
      </c>
      <c r="DC115" t="s">
        <v>630</v>
      </c>
      <c r="DD115" t="s">
        <v>515</v>
      </c>
      <c r="DE115" t="s">
        <v>516</v>
      </c>
      <c r="DF115" t="s">
        <v>517</v>
      </c>
      <c r="DG115" t="s">
        <v>518</v>
      </c>
      <c r="DH115" t="s">
        <v>205</v>
      </c>
      <c r="DI115" t="s">
        <v>519</v>
      </c>
    </row>
    <row r="116" spans="1:113">
      <c r="A116">
        <v>3</v>
      </c>
      <c r="B116" s="3">
        <v>0.29471064814814812</v>
      </c>
      <c r="C116" s="1">
        <v>45149</v>
      </c>
      <c r="D116" t="s">
        <v>196</v>
      </c>
      <c r="E116" t="s">
        <v>197</v>
      </c>
      <c r="G116">
        <v>3</v>
      </c>
      <c r="J116">
        <v>2.8856E-2</v>
      </c>
      <c r="K116">
        <v>2.9231530000000001</v>
      </c>
      <c r="L116">
        <v>2.8573999999999999E-2</v>
      </c>
      <c r="M116">
        <v>1.6242589999999999</v>
      </c>
      <c r="N116">
        <v>2.5631010000000001</v>
      </c>
      <c r="O116">
        <v>2.5205410000000001</v>
      </c>
      <c r="P116">
        <v>7.7060740000000001</v>
      </c>
      <c r="Q116">
        <v>5.1429729999999996</v>
      </c>
      <c r="R116">
        <v>26.362734</v>
      </c>
      <c r="S116">
        <v>26.807870999999999</v>
      </c>
      <c r="T116">
        <v>80.599029999999999</v>
      </c>
      <c r="U116">
        <v>0.44178600000000001</v>
      </c>
      <c r="V116" t="s">
        <v>631</v>
      </c>
      <c r="W116">
        <v>0</v>
      </c>
      <c r="X116">
        <v>0</v>
      </c>
      <c r="Y116">
        <v>0</v>
      </c>
      <c r="Z116">
        <v>87.810158000000001</v>
      </c>
      <c r="AA116">
        <v>127.632637</v>
      </c>
      <c r="AB116">
        <v>0.31200899999999998</v>
      </c>
      <c r="AC116">
        <v>0.5</v>
      </c>
      <c r="AD116">
        <v>0.8</v>
      </c>
      <c r="AE116">
        <v>165.80429100000001</v>
      </c>
      <c r="AF116">
        <v>37.28</v>
      </c>
      <c r="AG116">
        <v>36.659999999999997</v>
      </c>
      <c r="AH116">
        <v>38.6</v>
      </c>
      <c r="AI116">
        <v>40.729999999999997</v>
      </c>
      <c r="AJ116">
        <v>95.61</v>
      </c>
      <c r="AK116">
        <v>156.9</v>
      </c>
      <c r="AL116">
        <v>155</v>
      </c>
      <c r="AM116">
        <v>1.2</v>
      </c>
      <c r="AN116">
        <v>1329</v>
      </c>
      <c r="AO116">
        <v>4.008</v>
      </c>
      <c r="AP116">
        <v>18</v>
      </c>
      <c r="AQ116">
        <v>-15</v>
      </c>
      <c r="AR116">
        <v>170</v>
      </c>
      <c r="AS116">
        <v>44.15</v>
      </c>
      <c r="AT116">
        <v>71.760000000000005</v>
      </c>
      <c r="AU116">
        <v>23.27</v>
      </c>
      <c r="AV116">
        <v>-149.07</v>
      </c>
      <c r="AW116">
        <v>15.25</v>
      </c>
      <c r="AX116">
        <v>174.69</v>
      </c>
      <c r="AY116">
        <v>23.31</v>
      </c>
      <c r="AZ116" s="3">
        <v>0.50150462962962961</v>
      </c>
      <c r="BA116" s="1">
        <v>45149</v>
      </c>
      <c r="BB116">
        <v>38.493133999999998</v>
      </c>
      <c r="BC116">
        <v>-1.362717</v>
      </c>
      <c r="BD116">
        <v>581.70001200000002</v>
      </c>
      <c r="BE116">
        <v>6</v>
      </c>
      <c r="BF116">
        <v>1.36</v>
      </c>
      <c r="BG116" s="3">
        <v>0.29421296296296295</v>
      </c>
      <c r="BH116" s="1">
        <v>45149</v>
      </c>
      <c r="BI116">
        <v>-0.05</v>
      </c>
      <c r="BJ116">
        <v>0</v>
      </c>
      <c r="BK116">
        <v>0</v>
      </c>
      <c r="BL116">
        <v>-9999</v>
      </c>
      <c r="BM116">
        <v>0.67700000000000005</v>
      </c>
      <c r="BN116">
        <v>0.98699999999999999</v>
      </c>
      <c r="BO116">
        <v>-9999</v>
      </c>
      <c r="BP116">
        <v>1</v>
      </c>
      <c r="BQ116">
        <v>150</v>
      </c>
      <c r="BR116">
        <v>5.0000000000000001E-3</v>
      </c>
      <c r="BS116">
        <v>2</v>
      </c>
      <c r="BT116">
        <v>0</v>
      </c>
      <c r="BU116" t="s">
        <v>200</v>
      </c>
      <c r="BV116">
        <v>7000</v>
      </c>
      <c r="BW116">
        <v>500</v>
      </c>
      <c r="BX116">
        <v>5</v>
      </c>
      <c r="BY116">
        <v>2</v>
      </c>
      <c r="BZ116">
        <v>300</v>
      </c>
      <c r="CA116">
        <v>300</v>
      </c>
      <c r="CB116">
        <v>300</v>
      </c>
      <c r="CC116">
        <v>118.036507</v>
      </c>
      <c r="CD116">
        <v>25</v>
      </c>
      <c r="CE116">
        <v>-7.2891349999999999</v>
      </c>
      <c r="CF116">
        <v>114.841103</v>
      </c>
      <c r="CG116">
        <v>117.23438299999999</v>
      </c>
      <c r="CH116">
        <v>-2.3932799999999999</v>
      </c>
      <c r="CI116">
        <v>2.4955050000000001</v>
      </c>
      <c r="CJ116">
        <v>2.5050870000000001</v>
      </c>
      <c r="CK116">
        <v>1.6679170000000001</v>
      </c>
      <c r="CL116">
        <v>0.93983899999999998</v>
      </c>
      <c r="CM116">
        <v>0.16004099999999999</v>
      </c>
      <c r="CN116">
        <v>2.8954000000000001E-2</v>
      </c>
      <c r="CO116">
        <v>0.15718299999999999</v>
      </c>
      <c r="CP116">
        <v>1.2819039999999999</v>
      </c>
      <c r="CQ116">
        <v>87.810158000000001</v>
      </c>
      <c r="CR116">
        <v>3.8200000000000002E-4</v>
      </c>
      <c r="CS116">
        <v>2.4333689999999999</v>
      </c>
      <c r="CT116">
        <v>-3.6000000000000001E-5</v>
      </c>
      <c r="CU116">
        <v>1</v>
      </c>
      <c r="CV116">
        <v>2.4396819999999999</v>
      </c>
      <c r="CW116">
        <v>1.1E-5</v>
      </c>
      <c r="CX116">
        <v>1</v>
      </c>
      <c r="CY116">
        <v>0.60025499999999998</v>
      </c>
      <c r="CZ116">
        <v>0.60245199999999999</v>
      </c>
      <c r="DA116">
        <v>0.106742</v>
      </c>
      <c r="DB116">
        <v>0</v>
      </c>
      <c r="DC116" t="s">
        <v>631</v>
      </c>
      <c r="DD116" t="s">
        <v>515</v>
      </c>
      <c r="DE116" t="s">
        <v>516</v>
      </c>
      <c r="DF116" t="s">
        <v>517</v>
      </c>
      <c r="DG116" t="s">
        <v>518</v>
      </c>
      <c r="DH116" t="s">
        <v>205</v>
      </c>
      <c r="DI116" t="s">
        <v>519</v>
      </c>
    </row>
    <row r="117" spans="1:113">
      <c r="A117">
        <v>4</v>
      </c>
      <c r="B117" s="3">
        <v>0.29486111111111107</v>
      </c>
      <c r="C117" s="1">
        <v>45149</v>
      </c>
      <c r="D117" t="s">
        <v>196</v>
      </c>
      <c r="E117" t="s">
        <v>197</v>
      </c>
      <c r="G117">
        <v>4</v>
      </c>
      <c r="J117">
        <v>0.19191</v>
      </c>
      <c r="K117">
        <v>2.9219569999999999</v>
      </c>
      <c r="L117">
        <v>0.18008299999999999</v>
      </c>
      <c r="M117">
        <v>8.937799</v>
      </c>
      <c r="N117">
        <v>2.7598660000000002</v>
      </c>
      <c r="O117">
        <v>2.5259290000000001</v>
      </c>
      <c r="P117">
        <v>7.2569460000000001</v>
      </c>
      <c r="Q117">
        <v>4.4970800000000004</v>
      </c>
      <c r="R117">
        <v>26.417017000000001</v>
      </c>
      <c r="S117">
        <v>28.863613000000001</v>
      </c>
      <c r="T117">
        <v>75.895583999999999</v>
      </c>
      <c r="U117">
        <v>0.44178600000000001</v>
      </c>
      <c r="V117" t="s">
        <v>632</v>
      </c>
      <c r="W117">
        <v>0</v>
      </c>
      <c r="X117">
        <v>0</v>
      </c>
      <c r="Y117">
        <v>0</v>
      </c>
      <c r="Z117">
        <v>145.359283</v>
      </c>
      <c r="AA117">
        <v>241.55685399999999</v>
      </c>
      <c r="AB117">
        <v>0.39823999999999998</v>
      </c>
      <c r="AC117">
        <v>0.5</v>
      </c>
      <c r="AD117">
        <v>0.8</v>
      </c>
      <c r="AE117">
        <v>308.127747</v>
      </c>
      <c r="AF117">
        <v>40.08</v>
      </c>
      <c r="AG117">
        <v>36.68</v>
      </c>
      <c r="AH117">
        <v>38.630000000000003</v>
      </c>
      <c r="AI117">
        <v>39.6</v>
      </c>
      <c r="AJ117">
        <v>95.62</v>
      </c>
      <c r="AK117">
        <v>156.69999999999999</v>
      </c>
      <c r="AL117">
        <v>155.5</v>
      </c>
      <c r="AM117">
        <v>0.8</v>
      </c>
      <c r="AN117">
        <v>1934</v>
      </c>
      <c r="AO117">
        <v>4.008</v>
      </c>
      <c r="AP117">
        <v>-8</v>
      </c>
      <c r="AQ117">
        <v>3</v>
      </c>
      <c r="AR117">
        <v>119</v>
      </c>
      <c r="AS117">
        <v>17</v>
      </c>
      <c r="AT117">
        <v>95.63</v>
      </c>
      <c r="AU117">
        <v>8.5399999999999991</v>
      </c>
      <c r="AV117">
        <v>-40.369999999999997</v>
      </c>
      <c r="AW117">
        <v>15.25</v>
      </c>
      <c r="AX117">
        <v>174.69</v>
      </c>
      <c r="AY117">
        <v>23.31</v>
      </c>
      <c r="AZ117" s="3">
        <v>0.50168981481481478</v>
      </c>
      <c r="BA117" s="1">
        <v>45149</v>
      </c>
      <c r="BB117">
        <v>38.493065000000001</v>
      </c>
      <c r="BC117">
        <v>-1.362738</v>
      </c>
      <c r="BD117">
        <v>584.90002400000003</v>
      </c>
      <c r="BE117">
        <v>6</v>
      </c>
      <c r="BF117">
        <v>1.36</v>
      </c>
      <c r="BG117" s="3">
        <v>0.29421296296296295</v>
      </c>
      <c r="BH117" s="1">
        <v>45149</v>
      </c>
      <c r="BI117">
        <v>-0.05</v>
      </c>
      <c r="BJ117">
        <v>-1E-3</v>
      </c>
      <c r="BK117">
        <v>2E-3</v>
      </c>
      <c r="BL117">
        <v>-9999</v>
      </c>
      <c r="BM117">
        <v>-1.3640000000000001</v>
      </c>
      <c r="BN117">
        <v>-2.7229999999999999</v>
      </c>
      <c r="BO117">
        <v>-9999</v>
      </c>
      <c r="BP117">
        <v>1</v>
      </c>
      <c r="BQ117">
        <v>150</v>
      </c>
      <c r="BR117">
        <v>5.0000000000000001E-3</v>
      </c>
      <c r="BS117">
        <v>2</v>
      </c>
      <c r="BT117">
        <v>0</v>
      </c>
      <c r="BU117" t="s">
        <v>200</v>
      </c>
      <c r="BV117">
        <v>7000</v>
      </c>
      <c r="BW117">
        <v>500</v>
      </c>
      <c r="BX117">
        <v>5</v>
      </c>
      <c r="BY117">
        <v>2</v>
      </c>
      <c r="BZ117">
        <v>300</v>
      </c>
      <c r="CA117">
        <v>300</v>
      </c>
      <c r="CB117">
        <v>300</v>
      </c>
      <c r="CC117">
        <v>231.20141599999999</v>
      </c>
      <c r="CD117">
        <v>25</v>
      </c>
      <c r="CE117">
        <v>-7.1134500000000003</v>
      </c>
      <c r="CF117">
        <v>232.47027600000001</v>
      </c>
      <c r="CG117">
        <v>231.40922499999999</v>
      </c>
      <c r="CH117">
        <v>1.06105</v>
      </c>
      <c r="CI117">
        <v>2.4955289999999999</v>
      </c>
      <c r="CJ117">
        <v>2.509271</v>
      </c>
      <c r="CK117">
        <v>1.6666529999999999</v>
      </c>
      <c r="CL117">
        <v>0.94112099999999999</v>
      </c>
      <c r="CM117">
        <v>0.159858</v>
      </c>
      <c r="CN117">
        <v>1.3594E-2</v>
      </c>
      <c r="CO117">
        <v>0.15906400000000001</v>
      </c>
      <c r="CP117">
        <v>1.81776</v>
      </c>
      <c r="CQ117">
        <v>145.359283</v>
      </c>
      <c r="CR117">
        <v>3.8099999999999999E-4</v>
      </c>
      <c r="CS117">
        <v>2.4333689999999999</v>
      </c>
      <c r="CT117">
        <v>-3.6000000000000001E-5</v>
      </c>
      <c r="CU117">
        <v>1</v>
      </c>
      <c r="CV117">
        <v>2.4396819999999999</v>
      </c>
      <c r="CW117">
        <v>1.1E-5</v>
      </c>
      <c r="CX117">
        <v>1</v>
      </c>
      <c r="CY117">
        <v>0.60025499999999998</v>
      </c>
      <c r="CZ117">
        <v>0.60245199999999999</v>
      </c>
      <c r="DA117">
        <v>0.106742</v>
      </c>
      <c r="DB117">
        <v>0</v>
      </c>
      <c r="DC117" t="s">
        <v>632</v>
      </c>
      <c r="DD117" t="s">
        <v>515</v>
      </c>
      <c r="DE117" t="s">
        <v>516</v>
      </c>
      <c r="DF117" t="s">
        <v>517</v>
      </c>
      <c r="DG117" t="s">
        <v>518</v>
      </c>
      <c r="DH117" t="s">
        <v>205</v>
      </c>
      <c r="DI117" t="s">
        <v>519</v>
      </c>
    </row>
    <row r="118" spans="1:113">
      <c r="A118">
        <v>5</v>
      </c>
      <c r="B118" s="3">
        <v>0.29510416666666667</v>
      </c>
      <c r="C118" s="1">
        <v>45149</v>
      </c>
      <c r="D118" t="s">
        <v>196</v>
      </c>
      <c r="E118" t="s">
        <v>197</v>
      </c>
      <c r="G118">
        <v>5</v>
      </c>
      <c r="J118">
        <v>8.1081E-2</v>
      </c>
      <c r="K118">
        <v>2.922158</v>
      </c>
      <c r="L118">
        <v>7.8892000000000004E-2</v>
      </c>
      <c r="M118">
        <v>4.5787040000000001</v>
      </c>
      <c r="N118">
        <v>2.684266</v>
      </c>
      <c r="O118">
        <v>2.5643419999999999</v>
      </c>
      <c r="P118">
        <v>7.9258699999999997</v>
      </c>
      <c r="Q118">
        <v>5.2416049999999998</v>
      </c>
      <c r="R118">
        <v>26.818335000000001</v>
      </c>
      <c r="S118">
        <v>28.072512</v>
      </c>
      <c r="T118">
        <v>82.890113999999997</v>
      </c>
      <c r="U118">
        <v>0.44178600000000001</v>
      </c>
      <c r="V118" t="s">
        <v>633</v>
      </c>
      <c r="W118">
        <v>0</v>
      </c>
      <c r="X118">
        <v>0</v>
      </c>
      <c r="Y118">
        <v>0</v>
      </c>
      <c r="Z118">
        <v>122.706772</v>
      </c>
      <c r="AA118">
        <v>204.61196899999999</v>
      </c>
      <c r="AB118">
        <v>0.40029500000000001</v>
      </c>
      <c r="AC118">
        <v>0.5</v>
      </c>
      <c r="AD118">
        <v>0.8</v>
      </c>
      <c r="AE118">
        <v>315.47015399999998</v>
      </c>
      <c r="AF118">
        <v>38.89</v>
      </c>
      <c r="AG118">
        <v>37.159999999999997</v>
      </c>
      <c r="AH118">
        <v>38.67</v>
      </c>
      <c r="AI118">
        <v>41.26</v>
      </c>
      <c r="AJ118">
        <v>95.62</v>
      </c>
      <c r="AK118">
        <v>156.80000000000001</v>
      </c>
      <c r="AL118">
        <v>155.4</v>
      </c>
      <c r="AM118">
        <v>0.8</v>
      </c>
      <c r="AN118">
        <v>1970</v>
      </c>
      <c r="AO118">
        <v>4.0019999999999998</v>
      </c>
      <c r="AP118">
        <v>23</v>
      </c>
      <c r="AQ118">
        <v>-33</v>
      </c>
      <c r="AR118">
        <v>323</v>
      </c>
      <c r="AS118">
        <v>21.16</v>
      </c>
      <c r="AT118">
        <v>93.26</v>
      </c>
      <c r="AU118">
        <v>39.47</v>
      </c>
      <c r="AV118">
        <v>21.97</v>
      </c>
      <c r="AW118">
        <v>15.25</v>
      </c>
      <c r="AX118">
        <v>174.69</v>
      </c>
      <c r="AY118">
        <v>23.31</v>
      </c>
      <c r="AZ118" s="3">
        <v>0.50193287037037038</v>
      </c>
      <c r="BA118" s="1">
        <v>45149</v>
      </c>
      <c r="BB118">
        <v>38.493290000000002</v>
      </c>
      <c r="BC118">
        <v>-1.362455</v>
      </c>
      <c r="BD118">
        <v>605.29998799999998</v>
      </c>
      <c r="BE118">
        <v>6</v>
      </c>
      <c r="BF118">
        <v>1.43</v>
      </c>
      <c r="BG118" s="3">
        <v>0.29421296296296295</v>
      </c>
      <c r="BH118" s="1">
        <v>45149</v>
      </c>
      <c r="BI118">
        <v>-0.05</v>
      </c>
      <c r="BJ118">
        <v>0</v>
      </c>
      <c r="BK118">
        <v>2E-3</v>
      </c>
      <c r="BL118">
        <v>-9999</v>
      </c>
      <c r="BM118">
        <v>-0.94</v>
      </c>
      <c r="BN118">
        <v>-3.4550000000000001</v>
      </c>
      <c r="BO118">
        <v>-9999</v>
      </c>
      <c r="BP118">
        <v>1</v>
      </c>
      <c r="BQ118">
        <v>150</v>
      </c>
      <c r="BR118">
        <v>5.0000000000000001E-3</v>
      </c>
      <c r="BS118">
        <v>2</v>
      </c>
      <c r="BT118">
        <v>0</v>
      </c>
      <c r="BU118" t="s">
        <v>200</v>
      </c>
      <c r="BV118">
        <v>7000</v>
      </c>
      <c r="BW118">
        <v>500</v>
      </c>
      <c r="BX118">
        <v>5</v>
      </c>
      <c r="BY118">
        <v>2</v>
      </c>
      <c r="BZ118">
        <v>300</v>
      </c>
      <c r="CA118">
        <v>300</v>
      </c>
      <c r="CB118">
        <v>300</v>
      </c>
      <c r="CC118">
        <v>192.54719499999999</v>
      </c>
      <c r="CD118">
        <v>25</v>
      </c>
      <c r="CE118">
        <v>-8.2901790000000002</v>
      </c>
      <c r="CF118">
        <v>192.567947</v>
      </c>
      <c r="CG118">
        <v>192.785675</v>
      </c>
      <c r="CH118">
        <v>-0.217728</v>
      </c>
      <c r="CI118">
        <v>2.496238</v>
      </c>
      <c r="CJ118">
        <v>2.507501</v>
      </c>
      <c r="CK118">
        <v>1.666865</v>
      </c>
      <c r="CL118">
        <v>0.94099900000000003</v>
      </c>
      <c r="CM118">
        <v>0.159613</v>
      </c>
      <c r="CN118">
        <v>3.5163E-2</v>
      </c>
      <c r="CO118">
        <v>0.16222600000000001</v>
      </c>
      <c r="CP118">
        <v>1.8495379999999999</v>
      </c>
      <c r="CQ118">
        <v>122.706772</v>
      </c>
      <c r="CR118">
        <v>3.8200000000000002E-4</v>
      </c>
      <c r="CS118">
        <v>2.4333689999999999</v>
      </c>
      <c r="CT118">
        <v>-3.6000000000000001E-5</v>
      </c>
      <c r="CU118">
        <v>1</v>
      </c>
      <c r="CV118">
        <v>2.4396819999999999</v>
      </c>
      <c r="CW118">
        <v>1.1E-5</v>
      </c>
      <c r="CX118">
        <v>1</v>
      </c>
      <c r="CY118">
        <v>0.60025499999999998</v>
      </c>
      <c r="CZ118">
        <v>0.60245199999999999</v>
      </c>
      <c r="DA118">
        <v>0.106742</v>
      </c>
      <c r="DB118">
        <v>0</v>
      </c>
      <c r="DC118" t="s">
        <v>633</v>
      </c>
      <c r="DD118" t="s">
        <v>515</v>
      </c>
      <c r="DE118" t="s">
        <v>516</v>
      </c>
      <c r="DF118" t="s">
        <v>517</v>
      </c>
      <c r="DG118" t="s">
        <v>518</v>
      </c>
      <c r="DH118" t="s">
        <v>205</v>
      </c>
      <c r="DI118" t="s">
        <v>519</v>
      </c>
    </row>
    <row r="119" spans="1:113">
      <c r="A119">
        <v>6</v>
      </c>
      <c r="B119" s="3">
        <v>0.29834490740740743</v>
      </c>
      <c r="C119" s="1">
        <v>45149</v>
      </c>
      <c r="D119" t="s">
        <v>196</v>
      </c>
      <c r="E119" t="s">
        <v>197</v>
      </c>
      <c r="G119">
        <v>6</v>
      </c>
      <c r="J119">
        <v>4.4755999999999997E-2</v>
      </c>
      <c r="K119">
        <v>2.921799</v>
      </c>
      <c r="L119">
        <v>4.4081000000000002E-2</v>
      </c>
      <c r="M119">
        <v>3.0475319999999999</v>
      </c>
      <c r="N119">
        <v>2.3875109999999999</v>
      </c>
      <c r="O119">
        <v>2.3074150000000002</v>
      </c>
      <c r="P119">
        <v>8.6176870000000001</v>
      </c>
      <c r="Q119">
        <v>6.2301760000000002</v>
      </c>
      <c r="R119">
        <v>24.131598</v>
      </c>
      <c r="S119">
        <v>24.969266999999999</v>
      </c>
      <c r="T119">
        <v>90.126204999999999</v>
      </c>
      <c r="U119">
        <v>0.44178600000000001</v>
      </c>
      <c r="V119" t="s">
        <v>634</v>
      </c>
      <c r="W119">
        <v>0</v>
      </c>
      <c r="X119">
        <v>0</v>
      </c>
      <c r="Y119">
        <v>0</v>
      </c>
      <c r="Z119">
        <v>89.098335000000006</v>
      </c>
      <c r="AA119">
        <v>103.635193</v>
      </c>
      <c r="AB119">
        <v>0.14027000000000001</v>
      </c>
      <c r="AC119">
        <v>0.5</v>
      </c>
      <c r="AD119">
        <v>0.8</v>
      </c>
      <c r="AE119">
        <v>107.612427</v>
      </c>
      <c r="AF119">
        <v>34.869999999999997</v>
      </c>
      <c r="AG119">
        <v>33.700000000000003</v>
      </c>
      <c r="AH119">
        <v>38.520000000000003</v>
      </c>
      <c r="AI119">
        <v>42.85</v>
      </c>
      <c r="AJ119">
        <v>95.62</v>
      </c>
      <c r="AK119">
        <v>156.69999999999999</v>
      </c>
      <c r="AL119">
        <v>155.19999999999999</v>
      </c>
      <c r="AM119">
        <v>1</v>
      </c>
      <c r="AN119">
        <v>1918</v>
      </c>
      <c r="AO119">
        <v>4.0010000000000003</v>
      </c>
      <c r="AP119">
        <v>4</v>
      </c>
      <c r="AQ119">
        <v>-6</v>
      </c>
      <c r="AR119">
        <v>254</v>
      </c>
      <c r="AS119">
        <v>19.07</v>
      </c>
      <c r="AT119">
        <v>94.51</v>
      </c>
      <c r="AU119">
        <v>7.21</v>
      </c>
      <c r="AV119">
        <v>-49.57</v>
      </c>
      <c r="AW119">
        <v>15.25</v>
      </c>
      <c r="AX119">
        <v>177.74</v>
      </c>
      <c r="AY119">
        <v>23.25</v>
      </c>
      <c r="AZ119" s="3">
        <v>0.50517361111111114</v>
      </c>
      <c r="BA119" s="1">
        <v>45149</v>
      </c>
      <c r="BB119">
        <v>38.493282000000001</v>
      </c>
      <c r="BC119">
        <v>-1.362457</v>
      </c>
      <c r="BD119">
        <v>604.20001200000002</v>
      </c>
      <c r="BE119">
        <v>6</v>
      </c>
      <c r="BF119">
        <v>1.43</v>
      </c>
      <c r="BG119" s="3">
        <v>0.29421296296296295</v>
      </c>
      <c r="BH119" s="1">
        <v>45149</v>
      </c>
      <c r="BI119">
        <v>-0.05</v>
      </c>
      <c r="BJ119">
        <v>1E-3</v>
      </c>
      <c r="BK119">
        <v>1E-3</v>
      </c>
      <c r="BL119">
        <v>-9999</v>
      </c>
      <c r="BM119">
        <v>0.41199999999999998</v>
      </c>
      <c r="BN119">
        <v>0.222</v>
      </c>
      <c r="BO119">
        <v>-9999</v>
      </c>
      <c r="BP119">
        <v>1</v>
      </c>
      <c r="BQ119">
        <v>150</v>
      </c>
      <c r="BR119">
        <v>5.0000000000000001E-3</v>
      </c>
      <c r="BS119">
        <v>2</v>
      </c>
      <c r="BT119">
        <v>0</v>
      </c>
      <c r="BU119" t="s">
        <v>200</v>
      </c>
      <c r="BV119">
        <v>7000</v>
      </c>
      <c r="BW119">
        <v>500</v>
      </c>
      <c r="BX119">
        <v>5</v>
      </c>
      <c r="BY119">
        <v>2</v>
      </c>
      <c r="BZ119">
        <v>300</v>
      </c>
      <c r="CA119">
        <v>300</v>
      </c>
      <c r="CB119">
        <v>300</v>
      </c>
      <c r="CC119">
        <v>103.635193</v>
      </c>
      <c r="CD119">
        <v>25</v>
      </c>
      <c r="CE119">
        <v>0.14549000000000001</v>
      </c>
      <c r="CF119">
        <v>104.664444</v>
      </c>
      <c r="CG119">
        <v>103.842743</v>
      </c>
      <c r="CH119">
        <v>0.82170100000000001</v>
      </c>
      <c r="CI119">
        <v>2.4910589999999999</v>
      </c>
      <c r="CJ119">
        <v>2.501458</v>
      </c>
      <c r="CK119">
        <v>1.6664870000000001</v>
      </c>
      <c r="CL119">
        <v>0.94028100000000003</v>
      </c>
      <c r="CM119">
        <v>0.160521</v>
      </c>
      <c r="CN119">
        <v>5.8705E-2</v>
      </c>
      <c r="CO119">
        <v>0.196212</v>
      </c>
      <c r="CP119">
        <v>1.803296</v>
      </c>
      <c r="CQ119">
        <v>89.098335000000006</v>
      </c>
      <c r="CR119">
        <v>3.79E-4</v>
      </c>
      <c r="CS119">
        <v>2.4333689999999999</v>
      </c>
      <c r="CT119">
        <v>-3.6000000000000001E-5</v>
      </c>
      <c r="CU119">
        <v>1</v>
      </c>
      <c r="CV119">
        <v>2.4396819999999999</v>
      </c>
      <c r="CW119">
        <v>1.1E-5</v>
      </c>
      <c r="CX119">
        <v>1</v>
      </c>
      <c r="CY119">
        <v>0.60025499999999998</v>
      </c>
      <c r="CZ119">
        <v>0.60245199999999999</v>
      </c>
      <c r="DA119">
        <v>0.106742</v>
      </c>
      <c r="DB119">
        <v>0</v>
      </c>
      <c r="DC119" t="s">
        <v>634</v>
      </c>
      <c r="DD119" t="s">
        <v>515</v>
      </c>
      <c r="DE119" t="s">
        <v>516</v>
      </c>
      <c r="DF119" t="s">
        <v>517</v>
      </c>
      <c r="DG119" t="s">
        <v>518</v>
      </c>
      <c r="DH119" t="s">
        <v>205</v>
      </c>
      <c r="DI119" t="s">
        <v>519</v>
      </c>
    </row>
    <row r="120" spans="1:113">
      <c r="A120">
        <v>7</v>
      </c>
      <c r="B120" s="3">
        <v>0.29873842592592592</v>
      </c>
      <c r="C120" s="1">
        <v>45149</v>
      </c>
      <c r="D120" t="s">
        <v>196</v>
      </c>
      <c r="E120" t="s">
        <v>197</v>
      </c>
      <c r="G120">
        <v>7</v>
      </c>
      <c r="J120">
        <v>0.120713</v>
      </c>
      <c r="K120">
        <v>2.9206880000000002</v>
      </c>
      <c r="L120">
        <v>0.115922</v>
      </c>
      <c r="M120">
        <v>5.8462709999999998</v>
      </c>
      <c r="N120">
        <v>2.4931169999999998</v>
      </c>
      <c r="O120">
        <v>2.3395139999999999</v>
      </c>
      <c r="P120">
        <v>7.073785</v>
      </c>
      <c r="Q120">
        <v>4.580667</v>
      </c>
      <c r="R120">
        <v>24.469158</v>
      </c>
      <c r="S120">
        <v>26.075699</v>
      </c>
      <c r="T120">
        <v>73.985252000000003</v>
      </c>
      <c r="U120">
        <v>0.44178600000000001</v>
      </c>
      <c r="V120" t="s">
        <v>635</v>
      </c>
      <c r="W120">
        <v>0</v>
      </c>
      <c r="X120">
        <v>0</v>
      </c>
      <c r="Y120">
        <v>0</v>
      </c>
      <c r="Z120">
        <v>145.29061899999999</v>
      </c>
      <c r="AA120">
        <v>305.72146600000002</v>
      </c>
      <c r="AB120">
        <v>0.52476100000000003</v>
      </c>
      <c r="AC120">
        <v>0.5</v>
      </c>
      <c r="AD120">
        <v>0.8</v>
      </c>
      <c r="AE120">
        <v>349.93936200000002</v>
      </c>
      <c r="AF120">
        <v>36.36</v>
      </c>
      <c r="AG120">
        <v>34.119999999999997</v>
      </c>
      <c r="AH120">
        <v>38.549999999999997</v>
      </c>
      <c r="AI120">
        <v>39.119999999999997</v>
      </c>
      <c r="AJ120">
        <v>95.61</v>
      </c>
      <c r="AK120">
        <v>156.6</v>
      </c>
      <c r="AL120">
        <v>155.30000000000001</v>
      </c>
      <c r="AM120">
        <v>0.8</v>
      </c>
      <c r="AN120">
        <v>1667</v>
      </c>
      <c r="AO120">
        <v>4.0010000000000003</v>
      </c>
      <c r="AP120">
        <v>17</v>
      </c>
      <c r="AQ120">
        <v>-7</v>
      </c>
      <c r="AR120">
        <v>225</v>
      </c>
      <c r="AS120">
        <v>34.049999999999997</v>
      </c>
      <c r="AT120">
        <v>82.85</v>
      </c>
      <c r="AU120">
        <v>18.350000000000001</v>
      </c>
      <c r="AV120">
        <v>-112.22</v>
      </c>
      <c r="AW120">
        <v>15.25</v>
      </c>
      <c r="AX120">
        <v>178.35</v>
      </c>
      <c r="AY120">
        <v>23.24</v>
      </c>
      <c r="AZ120" s="3">
        <v>0.50555555555555554</v>
      </c>
      <c r="BA120" s="1">
        <v>45149</v>
      </c>
      <c r="BB120">
        <v>38.493285999999998</v>
      </c>
      <c r="BC120">
        <v>-1.3624529999999999</v>
      </c>
      <c r="BD120">
        <v>600.5</v>
      </c>
      <c r="BE120">
        <v>6</v>
      </c>
      <c r="BF120">
        <v>1.44</v>
      </c>
      <c r="BG120" s="3">
        <v>0.29421296296296295</v>
      </c>
      <c r="BH120" s="1">
        <v>45149</v>
      </c>
      <c r="BI120">
        <v>-0.05</v>
      </c>
      <c r="BJ120">
        <v>-4.0000000000000001E-3</v>
      </c>
      <c r="BK120">
        <v>-4.0000000000000001E-3</v>
      </c>
      <c r="BL120">
        <v>4.0000000000000001E-3</v>
      </c>
      <c r="BM120">
        <v>16.135999999999999</v>
      </c>
      <c r="BN120">
        <v>2.7269999999999999</v>
      </c>
      <c r="BO120">
        <v>3.4409999999999998</v>
      </c>
      <c r="BP120">
        <v>1</v>
      </c>
      <c r="BQ120">
        <v>150</v>
      </c>
      <c r="BR120">
        <v>5.0000000000000001E-3</v>
      </c>
      <c r="BS120">
        <v>2</v>
      </c>
      <c r="BT120">
        <v>0</v>
      </c>
      <c r="BU120" t="s">
        <v>200</v>
      </c>
      <c r="BV120">
        <v>7000</v>
      </c>
      <c r="BW120">
        <v>500</v>
      </c>
      <c r="BX120">
        <v>5</v>
      </c>
      <c r="BY120">
        <v>2</v>
      </c>
      <c r="BZ120">
        <v>300</v>
      </c>
      <c r="CA120">
        <v>300</v>
      </c>
      <c r="CB120">
        <v>300</v>
      </c>
      <c r="CC120">
        <v>280.13705399999998</v>
      </c>
      <c r="CD120">
        <v>25</v>
      </c>
      <c r="CE120">
        <v>-18.016956</v>
      </c>
      <c r="CF120">
        <v>278.60784899999999</v>
      </c>
      <c r="CG120">
        <v>280.01953099999997</v>
      </c>
      <c r="CH120">
        <v>-1.4116820000000001</v>
      </c>
      <c r="CI120">
        <v>2.4916879999999999</v>
      </c>
      <c r="CJ120">
        <v>2.503708</v>
      </c>
      <c r="CK120">
        <v>1.6653150000000001</v>
      </c>
      <c r="CL120">
        <v>0.94070399999999998</v>
      </c>
      <c r="CM120">
        <v>0.16035099999999999</v>
      </c>
      <c r="CN120">
        <v>8.3580000000000008E-3</v>
      </c>
      <c r="CO120">
        <v>0.20009299999999999</v>
      </c>
      <c r="CP120">
        <v>1.5814280000000001</v>
      </c>
      <c r="CQ120">
        <v>145.29061899999999</v>
      </c>
      <c r="CR120">
        <v>3.7800000000000003E-4</v>
      </c>
      <c r="CS120">
        <v>2.4333689999999999</v>
      </c>
      <c r="CT120">
        <v>-3.6000000000000001E-5</v>
      </c>
      <c r="CU120">
        <v>1</v>
      </c>
      <c r="CV120">
        <v>2.4396819999999999</v>
      </c>
      <c r="CW120">
        <v>1.1E-5</v>
      </c>
      <c r="CX120">
        <v>1</v>
      </c>
      <c r="CY120">
        <v>0.60025499999999998</v>
      </c>
      <c r="CZ120">
        <v>0.60245199999999999</v>
      </c>
      <c r="DA120">
        <v>0.106742</v>
      </c>
      <c r="DB120">
        <v>0</v>
      </c>
      <c r="DC120" t="s">
        <v>635</v>
      </c>
      <c r="DD120" t="s">
        <v>515</v>
      </c>
      <c r="DE120" t="s">
        <v>516</v>
      </c>
      <c r="DF120" t="s">
        <v>517</v>
      </c>
      <c r="DG120" t="s">
        <v>518</v>
      </c>
      <c r="DH120" t="s">
        <v>205</v>
      </c>
      <c r="DI120" t="s">
        <v>519</v>
      </c>
    </row>
    <row r="121" spans="1:113">
      <c r="A121">
        <v>8</v>
      </c>
      <c r="B121" s="3">
        <v>0.29894675925925923</v>
      </c>
      <c r="C121" s="1">
        <v>45149</v>
      </c>
      <c r="D121" t="s">
        <v>196</v>
      </c>
      <c r="E121" t="s">
        <v>197</v>
      </c>
      <c r="G121">
        <v>8</v>
      </c>
      <c r="J121">
        <v>0.17655799999999999</v>
      </c>
      <c r="K121">
        <v>2.922358</v>
      </c>
      <c r="L121">
        <v>0.16649900000000001</v>
      </c>
      <c r="M121">
        <v>7.2665439999999997</v>
      </c>
      <c r="N121">
        <v>2.5529890000000002</v>
      </c>
      <c r="O121">
        <v>2.3624390000000002</v>
      </c>
      <c r="P121">
        <v>6.5277339999999997</v>
      </c>
      <c r="Q121">
        <v>3.974745</v>
      </c>
      <c r="R121">
        <v>24.708086000000002</v>
      </c>
      <c r="S121">
        <v>26.700996</v>
      </c>
      <c r="T121">
        <v>68.271743999999998</v>
      </c>
      <c r="U121">
        <v>0.44178600000000001</v>
      </c>
      <c r="V121" t="s">
        <v>636</v>
      </c>
      <c r="W121">
        <v>0</v>
      </c>
      <c r="X121">
        <v>0</v>
      </c>
      <c r="Y121">
        <v>0</v>
      </c>
      <c r="Z121">
        <v>129.46485899999999</v>
      </c>
      <c r="AA121">
        <v>305.44229100000001</v>
      </c>
      <c r="AB121">
        <v>0.57613999999999999</v>
      </c>
      <c r="AC121">
        <v>0.5</v>
      </c>
      <c r="AD121">
        <v>0.8</v>
      </c>
      <c r="AE121">
        <v>342.38421599999998</v>
      </c>
      <c r="AF121">
        <v>37.21</v>
      </c>
      <c r="AG121">
        <v>34.44</v>
      </c>
      <c r="AH121">
        <v>38.56</v>
      </c>
      <c r="AI121">
        <v>37.64</v>
      </c>
      <c r="AJ121">
        <v>95.61</v>
      </c>
      <c r="AK121">
        <v>156.80000000000001</v>
      </c>
      <c r="AL121">
        <v>155.30000000000001</v>
      </c>
      <c r="AM121">
        <v>1</v>
      </c>
      <c r="AN121">
        <v>1486</v>
      </c>
      <c r="AO121">
        <v>4</v>
      </c>
      <c r="AP121">
        <v>23</v>
      </c>
      <c r="AQ121">
        <v>-17</v>
      </c>
      <c r="AR121">
        <v>216</v>
      </c>
      <c r="AS121">
        <v>40.31</v>
      </c>
      <c r="AT121">
        <v>76.260000000000005</v>
      </c>
      <c r="AU121">
        <v>28.32</v>
      </c>
      <c r="AV121">
        <v>-105.96</v>
      </c>
      <c r="AW121">
        <v>15.25</v>
      </c>
      <c r="AX121">
        <v>178.35</v>
      </c>
      <c r="AY121">
        <v>23.24</v>
      </c>
      <c r="AZ121" s="3">
        <v>0.50577546296296294</v>
      </c>
      <c r="BA121" s="1">
        <v>45149</v>
      </c>
      <c r="BB121">
        <v>38.493248000000001</v>
      </c>
      <c r="BC121">
        <v>-1.36246</v>
      </c>
      <c r="BD121">
        <v>597.59997599999997</v>
      </c>
      <c r="BE121">
        <v>6</v>
      </c>
      <c r="BF121">
        <v>1.45</v>
      </c>
      <c r="BG121" s="3">
        <v>0.29421296296296295</v>
      </c>
      <c r="BH121" s="1">
        <v>45149</v>
      </c>
      <c r="BI121">
        <v>-0.05</v>
      </c>
      <c r="BJ121">
        <v>-7.0000000000000001E-3</v>
      </c>
      <c r="BK121">
        <v>-1E-3</v>
      </c>
      <c r="BL121">
        <v>-8.9999999999999993E-3</v>
      </c>
      <c r="BM121">
        <v>42.908000000000001</v>
      </c>
      <c r="BN121">
        <v>0.90800000000000003</v>
      </c>
      <c r="BO121">
        <v>28.544</v>
      </c>
      <c r="BP121">
        <v>1</v>
      </c>
      <c r="BQ121">
        <v>150</v>
      </c>
      <c r="BR121">
        <v>5.0000000000000001E-3</v>
      </c>
      <c r="BS121">
        <v>2</v>
      </c>
      <c r="BT121">
        <v>0</v>
      </c>
      <c r="BU121" t="s">
        <v>200</v>
      </c>
      <c r="BV121">
        <v>7000</v>
      </c>
      <c r="BW121">
        <v>500</v>
      </c>
      <c r="BX121">
        <v>5</v>
      </c>
      <c r="BY121">
        <v>2</v>
      </c>
      <c r="BZ121">
        <v>300</v>
      </c>
      <c r="CA121">
        <v>300</v>
      </c>
      <c r="CB121">
        <v>300</v>
      </c>
      <c r="CC121">
        <v>280.66705300000001</v>
      </c>
      <c r="CD121">
        <v>25</v>
      </c>
      <c r="CE121">
        <v>-18.474471999999999</v>
      </c>
      <c r="CF121">
        <v>273.75018299999999</v>
      </c>
      <c r="CG121">
        <v>279.08767699999999</v>
      </c>
      <c r="CH121">
        <v>-5.3374940000000004</v>
      </c>
      <c r="CI121">
        <v>2.492165</v>
      </c>
      <c r="CJ121">
        <v>2.5049929999999998</v>
      </c>
      <c r="CK121">
        <v>1.6670769999999999</v>
      </c>
      <c r="CL121">
        <v>0.94054800000000005</v>
      </c>
      <c r="CM121">
        <v>0.16029099999999999</v>
      </c>
      <c r="CN121">
        <v>-1.1162E-2</v>
      </c>
      <c r="CO121">
        <v>0.20218</v>
      </c>
      <c r="CP121">
        <v>1.4209210000000001</v>
      </c>
      <c r="CQ121">
        <v>129.46485899999999</v>
      </c>
      <c r="CR121">
        <v>3.8000000000000002E-4</v>
      </c>
      <c r="CS121">
        <v>2.4333689999999999</v>
      </c>
      <c r="CT121">
        <v>-3.6000000000000001E-5</v>
      </c>
      <c r="CU121">
        <v>1</v>
      </c>
      <c r="CV121">
        <v>2.4396819999999999</v>
      </c>
      <c r="CW121">
        <v>1.1E-5</v>
      </c>
      <c r="CX121">
        <v>1</v>
      </c>
      <c r="CY121">
        <v>0.60025499999999998</v>
      </c>
      <c r="CZ121">
        <v>0.60245199999999999</v>
      </c>
      <c r="DA121">
        <v>0.106742</v>
      </c>
      <c r="DB121">
        <v>0</v>
      </c>
      <c r="DC121" t="s">
        <v>636</v>
      </c>
      <c r="DD121" t="s">
        <v>515</v>
      </c>
      <c r="DE121" t="s">
        <v>516</v>
      </c>
      <c r="DF121" t="s">
        <v>517</v>
      </c>
      <c r="DG121" t="s">
        <v>518</v>
      </c>
      <c r="DH121" t="s">
        <v>205</v>
      </c>
      <c r="DI121" t="s">
        <v>519</v>
      </c>
    </row>
    <row r="122" spans="1:113">
      <c r="A122">
        <v>9</v>
      </c>
      <c r="B122" s="3">
        <v>0.29916666666666664</v>
      </c>
      <c r="C122" s="1">
        <v>45149</v>
      </c>
      <c r="D122" t="s">
        <v>196</v>
      </c>
      <c r="E122" t="s">
        <v>197</v>
      </c>
      <c r="G122">
        <v>9</v>
      </c>
      <c r="J122">
        <v>0.147643</v>
      </c>
      <c r="K122">
        <v>2.9218519999999999</v>
      </c>
      <c r="L122">
        <v>0.140542</v>
      </c>
      <c r="M122">
        <v>7.0818320000000003</v>
      </c>
      <c r="N122">
        <v>2.6361539999999999</v>
      </c>
      <c r="O122">
        <v>2.450545</v>
      </c>
      <c r="P122">
        <v>7.2060029999999999</v>
      </c>
      <c r="Q122">
        <v>4.5698489999999996</v>
      </c>
      <c r="R122">
        <v>25.630227999999999</v>
      </c>
      <c r="S122">
        <v>27.57152</v>
      </c>
      <c r="T122">
        <v>75.367531</v>
      </c>
      <c r="U122">
        <v>0.44178600000000001</v>
      </c>
      <c r="V122" t="s">
        <v>637</v>
      </c>
      <c r="W122">
        <v>0</v>
      </c>
      <c r="X122">
        <v>0</v>
      </c>
      <c r="Y122">
        <v>0</v>
      </c>
      <c r="Z122">
        <v>140.447968</v>
      </c>
      <c r="AA122">
        <v>310.11837800000001</v>
      </c>
      <c r="AB122">
        <v>0.54711500000000002</v>
      </c>
      <c r="AC122">
        <v>0.5</v>
      </c>
      <c r="AD122">
        <v>0.8</v>
      </c>
      <c r="AE122">
        <v>360.56585699999999</v>
      </c>
      <c r="AF122">
        <v>38.380000000000003</v>
      </c>
      <c r="AG122">
        <v>35.68</v>
      </c>
      <c r="AH122">
        <v>38.58</v>
      </c>
      <c r="AI122">
        <v>39.47</v>
      </c>
      <c r="AJ122">
        <v>95.61</v>
      </c>
      <c r="AK122">
        <v>156.69999999999999</v>
      </c>
      <c r="AL122">
        <v>155.5</v>
      </c>
      <c r="AM122">
        <v>0.8</v>
      </c>
      <c r="AN122">
        <v>1648</v>
      </c>
      <c r="AO122">
        <v>4</v>
      </c>
      <c r="AP122">
        <v>57</v>
      </c>
      <c r="AQ122">
        <v>-17</v>
      </c>
      <c r="AR122">
        <v>300</v>
      </c>
      <c r="AS122">
        <v>42.03</v>
      </c>
      <c r="AT122">
        <v>74.28</v>
      </c>
      <c r="AU122">
        <v>58.61</v>
      </c>
      <c r="AV122">
        <v>-39.97</v>
      </c>
      <c r="AW122">
        <v>15.25</v>
      </c>
      <c r="AX122">
        <v>178.35</v>
      </c>
      <c r="AY122">
        <v>23.24</v>
      </c>
      <c r="AZ122" s="3">
        <v>0.50598379629629631</v>
      </c>
      <c r="BA122" s="1">
        <v>45149</v>
      </c>
      <c r="BB122">
        <v>38.493279000000001</v>
      </c>
      <c r="BC122">
        <v>-1.362433</v>
      </c>
      <c r="BD122">
        <v>595.90002400000003</v>
      </c>
      <c r="BE122">
        <v>5</v>
      </c>
      <c r="BF122">
        <v>1.6</v>
      </c>
      <c r="BG122" s="3">
        <v>0.29421296296296295</v>
      </c>
      <c r="BH122" s="1">
        <v>45149</v>
      </c>
      <c r="BI122">
        <v>-0.05</v>
      </c>
      <c r="BJ122">
        <v>0</v>
      </c>
      <c r="BK122">
        <v>3.0000000000000001E-3</v>
      </c>
      <c r="BL122">
        <v>-9999</v>
      </c>
      <c r="BM122">
        <v>4.4660000000000002</v>
      </c>
      <c r="BN122">
        <v>2.41</v>
      </c>
      <c r="BO122">
        <v>-9999</v>
      </c>
      <c r="BP122">
        <v>1</v>
      </c>
      <c r="BQ122">
        <v>150</v>
      </c>
      <c r="BR122">
        <v>5.0000000000000001E-3</v>
      </c>
      <c r="BS122">
        <v>2</v>
      </c>
      <c r="BT122">
        <v>0</v>
      </c>
      <c r="BU122" t="s">
        <v>200</v>
      </c>
      <c r="BV122">
        <v>7000</v>
      </c>
      <c r="BW122">
        <v>500</v>
      </c>
      <c r="BX122">
        <v>5</v>
      </c>
      <c r="BY122">
        <v>2</v>
      </c>
      <c r="BZ122">
        <v>300</v>
      </c>
      <c r="CA122">
        <v>300</v>
      </c>
      <c r="CB122">
        <v>300</v>
      </c>
      <c r="CC122">
        <v>272.12155200000001</v>
      </c>
      <c r="CD122">
        <v>25</v>
      </c>
      <c r="CE122">
        <v>-26.934847000000001</v>
      </c>
      <c r="CF122">
        <v>266.19921900000003</v>
      </c>
      <c r="CG122">
        <v>271.69470200000001</v>
      </c>
      <c r="CH122">
        <v>-5.4954830000000001</v>
      </c>
      <c r="CI122">
        <v>2.49404</v>
      </c>
      <c r="CJ122">
        <v>2.5067490000000001</v>
      </c>
      <c r="CK122">
        <v>1.666542</v>
      </c>
      <c r="CL122">
        <v>0.94115300000000002</v>
      </c>
      <c r="CM122">
        <v>0.160168</v>
      </c>
      <c r="CN122">
        <v>1.2515999999999999E-2</v>
      </c>
      <c r="CO122">
        <v>0.20442399999999999</v>
      </c>
      <c r="CP122">
        <v>1.564128</v>
      </c>
      <c r="CQ122">
        <v>140.447968</v>
      </c>
      <c r="CR122">
        <v>3.8999999999999999E-4</v>
      </c>
      <c r="CS122">
        <v>2.4333689999999999</v>
      </c>
      <c r="CT122">
        <v>-3.6000000000000001E-5</v>
      </c>
      <c r="CU122">
        <v>1</v>
      </c>
      <c r="CV122">
        <v>2.4396819999999999</v>
      </c>
      <c r="CW122">
        <v>1.1E-5</v>
      </c>
      <c r="CX122">
        <v>1</v>
      </c>
      <c r="CY122">
        <v>0.60025499999999998</v>
      </c>
      <c r="CZ122">
        <v>0.60245199999999999</v>
      </c>
      <c r="DA122">
        <v>0.106742</v>
      </c>
      <c r="DB122">
        <v>0</v>
      </c>
      <c r="DC122" t="s">
        <v>637</v>
      </c>
      <c r="DD122" t="s">
        <v>515</v>
      </c>
      <c r="DE122" t="s">
        <v>516</v>
      </c>
      <c r="DF122" t="s">
        <v>517</v>
      </c>
      <c r="DG122" t="s">
        <v>518</v>
      </c>
      <c r="DH122" t="s">
        <v>205</v>
      </c>
      <c r="DI122" t="s">
        <v>519</v>
      </c>
    </row>
    <row r="123" spans="1:113">
      <c r="A123">
        <v>1</v>
      </c>
      <c r="B123" s="3">
        <v>0.30399305555555556</v>
      </c>
      <c r="C123" s="1">
        <v>45149</v>
      </c>
      <c r="D123" t="s">
        <v>196</v>
      </c>
      <c r="E123" t="s">
        <v>197</v>
      </c>
      <c r="G123">
        <v>1</v>
      </c>
      <c r="J123">
        <v>0.10542700000000001</v>
      </c>
      <c r="K123">
        <v>2.9229669999999999</v>
      </c>
      <c r="L123">
        <v>0.101756</v>
      </c>
      <c r="M123">
        <v>5.2632659999999998</v>
      </c>
      <c r="N123">
        <v>2.3459159999999999</v>
      </c>
      <c r="O123">
        <v>2.207719</v>
      </c>
      <c r="P123">
        <v>7.0464310000000001</v>
      </c>
      <c r="Q123">
        <v>4.7005150000000002</v>
      </c>
      <c r="R123">
        <v>23.099878</v>
      </c>
      <c r="S123">
        <v>24.545870000000001</v>
      </c>
      <c r="T123">
        <v>73.728454999999997</v>
      </c>
      <c r="U123">
        <v>0.44178600000000001</v>
      </c>
      <c r="V123" t="s">
        <v>638</v>
      </c>
      <c r="W123">
        <v>0</v>
      </c>
      <c r="X123">
        <v>0</v>
      </c>
      <c r="Y123">
        <v>0</v>
      </c>
      <c r="Z123">
        <v>105.90506000000001</v>
      </c>
      <c r="AA123">
        <v>267.71722399999999</v>
      </c>
      <c r="AB123">
        <v>0.60441400000000001</v>
      </c>
      <c r="AC123">
        <v>0.5</v>
      </c>
      <c r="AD123">
        <v>0.8</v>
      </c>
      <c r="AE123">
        <v>175.015289</v>
      </c>
      <c r="AF123">
        <v>32.46</v>
      </c>
      <c r="AG123">
        <v>30.55</v>
      </c>
      <c r="AH123">
        <v>39.520000000000003</v>
      </c>
      <c r="AI123">
        <v>39.049999999999997</v>
      </c>
      <c r="AJ123">
        <v>95.57</v>
      </c>
      <c r="AK123">
        <v>156.9</v>
      </c>
      <c r="AL123">
        <v>155.4</v>
      </c>
      <c r="AM123">
        <v>0.9</v>
      </c>
      <c r="AN123">
        <v>724</v>
      </c>
      <c r="AO123">
        <v>3.9990000000000001</v>
      </c>
      <c r="AP123">
        <v>34</v>
      </c>
      <c r="AQ123">
        <v>-13</v>
      </c>
      <c r="AR123">
        <v>157</v>
      </c>
      <c r="AZ123" s="3">
        <v>0</v>
      </c>
      <c r="BA123" t="s">
        <v>513</v>
      </c>
      <c r="BB123">
        <v>38.492218000000001</v>
      </c>
      <c r="BC123">
        <v>-1.363097</v>
      </c>
      <c r="BD123">
        <v>587.79998799999998</v>
      </c>
      <c r="BE123">
        <v>5</v>
      </c>
      <c r="BF123">
        <v>1.62</v>
      </c>
      <c r="BG123" s="3">
        <v>0.3038541666666667</v>
      </c>
      <c r="BH123" s="1">
        <v>45149</v>
      </c>
      <c r="BI123">
        <v>7.0000000000000007E-2</v>
      </c>
      <c r="BJ123">
        <v>0</v>
      </c>
      <c r="BK123">
        <v>2E-3</v>
      </c>
      <c r="BL123">
        <v>2E-3</v>
      </c>
      <c r="BM123">
        <v>1.7669999999999999</v>
      </c>
      <c r="BN123">
        <v>1.7869999999999999</v>
      </c>
      <c r="BO123">
        <v>10.602</v>
      </c>
      <c r="BP123">
        <v>1</v>
      </c>
      <c r="BQ123">
        <v>150</v>
      </c>
      <c r="BR123">
        <v>5.0000000000000001E-3</v>
      </c>
      <c r="BS123">
        <v>2</v>
      </c>
      <c r="BT123">
        <v>0</v>
      </c>
      <c r="BU123" t="s">
        <v>200</v>
      </c>
      <c r="BV123">
        <v>7000</v>
      </c>
      <c r="BW123">
        <v>500</v>
      </c>
      <c r="BX123">
        <v>5</v>
      </c>
      <c r="BY123">
        <v>2</v>
      </c>
      <c r="BZ123">
        <v>300</v>
      </c>
      <c r="CA123">
        <v>300</v>
      </c>
      <c r="CB123">
        <v>300</v>
      </c>
      <c r="CC123">
        <v>232.35333299999999</v>
      </c>
      <c r="CD123">
        <v>25</v>
      </c>
      <c r="CE123">
        <v>-24.36544</v>
      </c>
      <c r="CF123">
        <v>228.50060999999999</v>
      </c>
      <c r="CG123">
        <v>232.95890800000001</v>
      </c>
      <c r="CH123">
        <v>-4.4582980000000001</v>
      </c>
      <c r="CI123">
        <v>2.4861010000000001</v>
      </c>
      <c r="CJ123">
        <v>2.4974850000000002</v>
      </c>
      <c r="CK123">
        <v>1.667721</v>
      </c>
      <c r="CL123">
        <v>0.94098199999999999</v>
      </c>
      <c r="CM123">
        <v>0.15445800000000001</v>
      </c>
      <c r="CN123">
        <v>-5.3449999999999999E-3</v>
      </c>
      <c r="CO123">
        <v>0.11899899999999999</v>
      </c>
      <c r="CP123">
        <v>0.747081</v>
      </c>
      <c r="CQ123">
        <v>105.90506000000001</v>
      </c>
      <c r="CR123">
        <v>3.8699999999999997E-4</v>
      </c>
      <c r="CS123">
        <v>2.4333689999999999</v>
      </c>
      <c r="CT123">
        <v>-3.6000000000000001E-5</v>
      </c>
      <c r="CU123">
        <v>1</v>
      </c>
      <c r="CV123">
        <v>2.4396819999999999</v>
      </c>
      <c r="CW123">
        <v>1.1E-5</v>
      </c>
      <c r="CX123">
        <v>1</v>
      </c>
      <c r="CY123">
        <v>0.60025499999999998</v>
      </c>
      <c r="CZ123">
        <v>0.60245199999999999</v>
      </c>
      <c r="DA123">
        <v>0.106742</v>
      </c>
      <c r="DB123">
        <v>0</v>
      </c>
      <c r="DC123" t="s">
        <v>638</v>
      </c>
      <c r="DD123" t="s">
        <v>515</v>
      </c>
      <c r="DE123" t="s">
        <v>516</v>
      </c>
      <c r="DF123" t="s">
        <v>517</v>
      </c>
      <c r="DG123" t="s">
        <v>518</v>
      </c>
      <c r="DH123" t="s">
        <v>205</v>
      </c>
      <c r="DI123" t="s">
        <v>519</v>
      </c>
    </row>
    <row r="124" spans="1:113">
      <c r="A124">
        <v>2</v>
      </c>
      <c r="B124" s="3">
        <v>0.30437500000000001</v>
      </c>
      <c r="C124" s="1">
        <v>45149</v>
      </c>
      <c r="D124" t="s">
        <v>196</v>
      </c>
      <c r="E124" t="s">
        <v>197</v>
      </c>
      <c r="G124">
        <v>2</v>
      </c>
      <c r="J124">
        <v>0.11340500000000001</v>
      </c>
      <c r="K124">
        <v>2.9220079999999999</v>
      </c>
      <c r="L124">
        <v>0.109168</v>
      </c>
      <c r="M124">
        <v>6.7660330000000002</v>
      </c>
      <c r="N124">
        <v>2.4684439999999999</v>
      </c>
      <c r="O124">
        <v>2.2908650000000002</v>
      </c>
      <c r="P124">
        <v>8.0661280000000009</v>
      </c>
      <c r="Q124">
        <v>5.597683</v>
      </c>
      <c r="R124">
        <v>23.966908</v>
      </c>
      <c r="S124">
        <v>25.824733999999999</v>
      </c>
      <c r="T124">
        <v>84.387398000000005</v>
      </c>
      <c r="U124">
        <v>0.44178600000000001</v>
      </c>
      <c r="V124" t="s">
        <v>639</v>
      </c>
      <c r="W124">
        <v>0</v>
      </c>
      <c r="X124">
        <v>0</v>
      </c>
      <c r="Y124">
        <v>0</v>
      </c>
      <c r="Z124">
        <v>147.346619</v>
      </c>
      <c r="AA124">
        <v>223.73599200000001</v>
      </c>
      <c r="AB124">
        <v>0.34142600000000001</v>
      </c>
      <c r="AC124">
        <v>0.5</v>
      </c>
      <c r="AD124">
        <v>0.8</v>
      </c>
      <c r="AE124">
        <v>280.53686499999998</v>
      </c>
      <c r="AF124">
        <v>34.090000000000003</v>
      </c>
      <c r="AG124">
        <v>31.64</v>
      </c>
      <c r="AH124">
        <v>39.56</v>
      </c>
      <c r="AI124">
        <v>41.59</v>
      </c>
      <c r="AJ124">
        <v>95.58</v>
      </c>
      <c r="AK124">
        <v>156.69999999999999</v>
      </c>
      <c r="AL124">
        <v>155.69999999999999</v>
      </c>
      <c r="AM124">
        <v>0.7</v>
      </c>
      <c r="AN124">
        <v>2054</v>
      </c>
      <c r="AO124">
        <v>3.9969999999999999</v>
      </c>
      <c r="AP124">
        <v>-16</v>
      </c>
      <c r="AQ124">
        <v>1</v>
      </c>
      <c r="AR124">
        <v>153</v>
      </c>
      <c r="AS124">
        <v>11.34</v>
      </c>
      <c r="AT124">
        <v>98.05</v>
      </c>
      <c r="AU124">
        <v>16.03</v>
      </c>
      <c r="AV124">
        <v>-23.38</v>
      </c>
      <c r="AW124">
        <v>15.25</v>
      </c>
      <c r="AX124">
        <v>183.24</v>
      </c>
      <c r="AY124">
        <v>23.26</v>
      </c>
      <c r="AZ124" s="3">
        <v>0.51120370370370372</v>
      </c>
      <c r="BA124" s="1">
        <v>45149</v>
      </c>
      <c r="BB124">
        <v>38.492195000000002</v>
      </c>
      <c r="BC124">
        <v>-1.363167</v>
      </c>
      <c r="BD124">
        <v>575.20001200000002</v>
      </c>
      <c r="BE124">
        <v>6</v>
      </c>
      <c r="BF124">
        <v>1.59</v>
      </c>
      <c r="BG124" s="3">
        <v>0.3038541666666667</v>
      </c>
      <c r="BH124" s="1">
        <v>45149</v>
      </c>
      <c r="BI124">
        <v>7.0000000000000007E-2</v>
      </c>
      <c r="BJ124">
        <v>1E-3</v>
      </c>
      <c r="BK124">
        <v>1E-3</v>
      </c>
      <c r="BL124">
        <v>-2E-3</v>
      </c>
      <c r="BM124">
        <v>-0.69199999999999995</v>
      </c>
      <c r="BN124">
        <v>-2.8730000000000002</v>
      </c>
      <c r="BO124">
        <v>-12.06</v>
      </c>
      <c r="BP124">
        <v>1</v>
      </c>
      <c r="BQ124">
        <v>150</v>
      </c>
      <c r="BR124">
        <v>5.0000000000000001E-3</v>
      </c>
      <c r="BS124">
        <v>2</v>
      </c>
      <c r="BT124">
        <v>0</v>
      </c>
      <c r="BU124" t="s">
        <v>200</v>
      </c>
      <c r="BV124">
        <v>7000</v>
      </c>
      <c r="BW124">
        <v>500</v>
      </c>
      <c r="BX124">
        <v>5</v>
      </c>
      <c r="BY124">
        <v>2</v>
      </c>
      <c r="BZ124">
        <v>300</v>
      </c>
      <c r="CA124">
        <v>300</v>
      </c>
      <c r="CB124">
        <v>300</v>
      </c>
      <c r="CC124">
        <v>220.66068999999999</v>
      </c>
      <c r="CD124">
        <v>25</v>
      </c>
      <c r="CE124">
        <v>-1.9728060000000001</v>
      </c>
      <c r="CF124">
        <v>225.83377100000001</v>
      </c>
      <c r="CG124">
        <v>220.921707</v>
      </c>
      <c r="CH124">
        <v>4.912064</v>
      </c>
      <c r="CI124">
        <v>2.4877579999999999</v>
      </c>
      <c r="CJ124">
        <v>2.4999609999999999</v>
      </c>
      <c r="CK124">
        <v>1.6667069999999999</v>
      </c>
      <c r="CL124">
        <v>0.94157000000000002</v>
      </c>
      <c r="CM124">
        <v>0.15423100000000001</v>
      </c>
      <c r="CN124">
        <v>2.7914000000000001E-2</v>
      </c>
      <c r="CO124">
        <v>0.124482</v>
      </c>
      <c r="CP124">
        <v>1.9237690000000001</v>
      </c>
      <c r="CQ124">
        <v>147.346619</v>
      </c>
      <c r="CR124">
        <v>3.8900000000000002E-4</v>
      </c>
      <c r="CS124">
        <v>2.4333689999999999</v>
      </c>
      <c r="CT124">
        <v>-3.6000000000000001E-5</v>
      </c>
      <c r="CU124">
        <v>1</v>
      </c>
      <c r="CV124">
        <v>2.4396819999999999</v>
      </c>
      <c r="CW124">
        <v>1.1E-5</v>
      </c>
      <c r="CX124">
        <v>1</v>
      </c>
      <c r="CY124">
        <v>0.60025499999999998</v>
      </c>
      <c r="CZ124">
        <v>0.60245199999999999</v>
      </c>
      <c r="DA124">
        <v>0.106742</v>
      </c>
      <c r="DB124">
        <v>0</v>
      </c>
      <c r="DC124" t="s">
        <v>639</v>
      </c>
      <c r="DD124" t="s">
        <v>515</v>
      </c>
      <c r="DE124" t="s">
        <v>516</v>
      </c>
      <c r="DF124" t="s">
        <v>517</v>
      </c>
      <c r="DG124" t="s">
        <v>518</v>
      </c>
      <c r="DH124" t="s">
        <v>205</v>
      </c>
      <c r="DI124" t="s">
        <v>519</v>
      </c>
    </row>
    <row r="125" spans="1:113">
      <c r="A125">
        <v>3</v>
      </c>
      <c r="B125" s="3">
        <v>0.30452546296296296</v>
      </c>
      <c r="C125" s="1">
        <v>45149</v>
      </c>
      <c r="D125" t="s">
        <v>196</v>
      </c>
      <c r="E125" t="s">
        <v>197</v>
      </c>
      <c r="G125">
        <v>3</v>
      </c>
      <c r="J125">
        <v>0.140429</v>
      </c>
      <c r="K125">
        <v>2.9219210000000002</v>
      </c>
      <c r="L125">
        <v>0.13399</v>
      </c>
      <c r="M125">
        <v>6.4487230000000002</v>
      </c>
      <c r="N125">
        <v>2.3808120000000002</v>
      </c>
      <c r="O125">
        <v>2.2113969999999998</v>
      </c>
      <c r="P125">
        <v>6.7609769999999996</v>
      </c>
      <c r="Q125">
        <v>4.3801639999999997</v>
      </c>
      <c r="R125">
        <v>23.136424999999999</v>
      </c>
      <c r="S125">
        <v>24.908911</v>
      </c>
      <c r="T125">
        <v>70.735764000000003</v>
      </c>
      <c r="U125">
        <v>0.44178600000000001</v>
      </c>
      <c r="V125" t="s">
        <v>640</v>
      </c>
      <c r="W125">
        <v>0</v>
      </c>
      <c r="X125">
        <v>0</v>
      </c>
      <c r="Y125">
        <v>0</v>
      </c>
      <c r="Z125">
        <v>120.793465</v>
      </c>
      <c r="AA125">
        <v>357.972351</v>
      </c>
      <c r="AB125">
        <v>0.66256199999999998</v>
      </c>
      <c r="AC125">
        <v>0.5</v>
      </c>
      <c r="AD125">
        <v>0.8</v>
      </c>
      <c r="AE125">
        <v>434.32781999999997</v>
      </c>
      <c r="AF125">
        <v>32.869999999999997</v>
      </c>
      <c r="AG125">
        <v>30.53</v>
      </c>
      <c r="AH125">
        <v>39.57</v>
      </c>
      <c r="AI125">
        <v>38.29</v>
      </c>
      <c r="AJ125">
        <v>95.58</v>
      </c>
      <c r="AK125">
        <v>156.69999999999999</v>
      </c>
      <c r="AL125">
        <v>155</v>
      </c>
      <c r="AM125">
        <v>1.1000000000000001</v>
      </c>
      <c r="AN125">
        <v>1639</v>
      </c>
      <c r="AO125">
        <v>3.9969999999999999</v>
      </c>
      <c r="AP125">
        <v>14</v>
      </c>
      <c r="AQ125">
        <v>-31</v>
      </c>
      <c r="AR125">
        <v>211</v>
      </c>
      <c r="AS125">
        <v>38.15</v>
      </c>
      <c r="AT125">
        <v>78.64</v>
      </c>
      <c r="AU125">
        <v>33.729999999999997</v>
      </c>
      <c r="AV125">
        <v>-80.930000000000007</v>
      </c>
      <c r="AW125">
        <v>15.25</v>
      </c>
      <c r="AX125">
        <v>183.24</v>
      </c>
      <c r="AY125">
        <v>23.26</v>
      </c>
      <c r="AZ125" s="3">
        <v>0.51135416666666667</v>
      </c>
      <c r="BA125" s="1">
        <v>45149</v>
      </c>
      <c r="BB125">
        <v>38.49221</v>
      </c>
      <c r="BC125">
        <v>-1.363137</v>
      </c>
      <c r="BD125">
        <v>577.20001200000002</v>
      </c>
      <c r="BE125">
        <v>5</v>
      </c>
      <c r="BF125">
        <v>1.61</v>
      </c>
      <c r="BG125" s="3">
        <v>0.3038541666666667</v>
      </c>
      <c r="BH125" s="1">
        <v>45149</v>
      </c>
      <c r="BI125">
        <v>7.0000000000000007E-2</v>
      </c>
      <c r="BJ125">
        <v>1E-3</v>
      </c>
      <c r="BK125">
        <v>1E-3</v>
      </c>
      <c r="BL125">
        <v>0</v>
      </c>
      <c r="BM125">
        <v>-6.6319999999999997</v>
      </c>
      <c r="BN125">
        <v>-3.569</v>
      </c>
      <c r="BO125">
        <v>10.034000000000001</v>
      </c>
      <c r="BP125">
        <v>1</v>
      </c>
      <c r="BQ125">
        <v>150</v>
      </c>
      <c r="BR125">
        <v>5.0000000000000001E-3</v>
      </c>
      <c r="BS125">
        <v>2</v>
      </c>
      <c r="BT125">
        <v>0</v>
      </c>
      <c r="BU125" t="s">
        <v>200</v>
      </c>
      <c r="BV125">
        <v>7000</v>
      </c>
      <c r="BW125">
        <v>500</v>
      </c>
      <c r="BX125">
        <v>5</v>
      </c>
      <c r="BY125">
        <v>2</v>
      </c>
      <c r="BZ125">
        <v>300</v>
      </c>
      <c r="CA125">
        <v>300</v>
      </c>
      <c r="CB125">
        <v>300</v>
      </c>
      <c r="CC125">
        <v>320.195312</v>
      </c>
      <c r="CD125">
        <v>25</v>
      </c>
      <c r="CE125">
        <v>-26.901904999999999</v>
      </c>
      <c r="CF125">
        <v>318.66323899999998</v>
      </c>
      <c r="CG125">
        <v>319.59567299999998</v>
      </c>
      <c r="CH125">
        <v>-0.93243399999999999</v>
      </c>
      <c r="CI125">
        <v>2.486062</v>
      </c>
      <c r="CJ125">
        <v>2.4981</v>
      </c>
      <c r="CK125">
        <v>1.666615</v>
      </c>
      <c r="CL125">
        <v>0.93982500000000002</v>
      </c>
      <c r="CM125">
        <v>0.154196</v>
      </c>
      <c r="CN125">
        <v>-1.5956999999999999E-2</v>
      </c>
      <c r="CO125">
        <v>0.12648999999999999</v>
      </c>
      <c r="CP125">
        <v>1.5563800000000001</v>
      </c>
      <c r="CQ125">
        <v>120.793465</v>
      </c>
      <c r="CR125">
        <v>3.7599999999999998E-4</v>
      </c>
      <c r="CS125">
        <v>2.4333689999999999</v>
      </c>
      <c r="CT125">
        <v>-3.6000000000000001E-5</v>
      </c>
      <c r="CU125">
        <v>1</v>
      </c>
      <c r="CV125">
        <v>2.4396819999999999</v>
      </c>
      <c r="CW125">
        <v>1.1E-5</v>
      </c>
      <c r="CX125">
        <v>1</v>
      </c>
      <c r="CY125">
        <v>0.60025499999999998</v>
      </c>
      <c r="CZ125">
        <v>0.60245199999999999</v>
      </c>
      <c r="DA125">
        <v>0.106742</v>
      </c>
      <c r="DB125">
        <v>0</v>
      </c>
      <c r="DC125" t="s">
        <v>640</v>
      </c>
      <c r="DD125" t="s">
        <v>515</v>
      </c>
      <c r="DE125" t="s">
        <v>516</v>
      </c>
      <c r="DF125" t="s">
        <v>517</v>
      </c>
      <c r="DG125" t="s">
        <v>518</v>
      </c>
      <c r="DH125" t="s">
        <v>205</v>
      </c>
      <c r="DI125" t="s">
        <v>519</v>
      </c>
    </row>
    <row r="126" spans="1:113">
      <c r="A126">
        <v>4</v>
      </c>
      <c r="B126" s="3">
        <v>0.30523148148148149</v>
      </c>
      <c r="C126" s="1">
        <v>45149</v>
      </c>
      <c r="D126" t="s">
        <v>196</v>
      </c>
      <c r="E126" t="s">
        <v>197</v>
      </c>
      <c r="G126">
        <v>4</v>
      </c>
      <c r="J126">
        <v>6.2969999999999998E-2</v>
      </c>
      <c r="K126">
        <v>2.9208820000000002</v>
      </c>
      <c r="L126">
        <v>6.1641000000000001E-2</v>
      </c>
      <c r="M126">
        <v>4.1645260000000004</v>
      </c>
      <c r="N126">
        <v>2.2914629999999998</v>
      </c>
      <c r="O126">
        <v>2.181864</v>
      </c>
      <c r="P126">
        <v>8.3880169999999996</v>
      </c>
      <c r="Q126">
        <v>6.0965540000000003</v>
      </c>
      <c r="R126">
        <v>22.828036999999998</v>
      </c>
      <c r="S126">
        <v>23.974730999999998</v>
      </c>
      <c r="T126">
        <v>87.760734999999997</v>
      </c>
      <c r="U126">
        <v>0.44178600000000001</v>
      </c>
      <c r="V126" t="s">
        <v>641</v>
      </c>
      <c r="W126">
        <v>0</v>
      </c>
      <c r="X126">
        <v>0</v>
      </c>
      <c r="Y126">
        <v>0</v>
      </c>
      <c r="Z126">
        <v>149.89793399999999</v>
      </c>
      <c r="AA126">
        <v>223.05392499999999</v>
      </c>
      <c r="AB126">
        <v>0.32797399999999999</v>
      </c>
      <c r="AC126">
        <v>0.5</v>
      </c>
      <c r="AD126">
        <v>0.8</v>
      </c>
      <c r="AE126">
        <v>269.09381100000002</v>
      </c>
      <c r="AF126">
        <v>31.62</v>
      </c>
      <c r="AG126">
        <v>30.11</v>
      </c>
      <c r="AH126">
        <v>39.58</v>
      </c>
      <c r="AI126">
        <v>42.33</v>
      </c>
      <c r="AJ126">
        <v>95.58</v>
      </c>
      <c r="AK126">
        <v>156.6</v>
      </c>
      <c r="AL126">
        <v>155.30000000000001</v>
      </c>
      <c r="AM126">
        <v>0.9</v>
      </c>
      <c r="AN126">
        <v>2051</v>
      </c>
      <c r="AO126">
        <v>3.996</v>
      </c>
      <c r="AP126">
        <v>3</v>
      </c>
      <c r="AQ126">
        <v>-8</v>
      </c>
      <c r="AR126">
        <v>318</v>
      </c>
      <c r="AS126">
        <v>15.81</v>
      </c>
      <c r="AT126">
        <v>96.22</v>
      </c>
      <c r="AU126">
        <v>8.5399999999999991</v>
      </c>
      <c r="AV126">
        <v>27.58</v>
      </c>
      <c r="AW126">
        <v>15.25</v>
      </c>
      <c r="AX126">
        <v>183.85</v>
      </c>
      <c r="AY126">
        <v>23.28</v>
      </c>
      <c r="AZ126" s="3">
        <v>0.51206018518518526</v>
      </c>
      <c r="BA126" s="1">
        <v>45149</v>
      </c>
      <c r="BB126">
        <v>38.492279000000003</v>
      </c>
      <c r="BC126">
        <v>-1.3631949999999999</v>
      </c>
      <c r="BD126">
        <v>567.5</v>
      </c>
      <c r="BE126">
        <v>5</v>
      </c>
      <c r="BF126">
        <v>1.63</v>
      </c>
      <c r="BG126" s="3">
        <v>0.3038541666666667</v>
      </c>
      <c r="BH126" s="1">
        <v>45149</v>
      </c>
      <c r="BI126">
        <v>7.0000000000000007E-2</v>
      </c>
      <c r="BJ126">
        <v>0</v>
      </c>
      <c r="BK126">
        <v>0</v>
      </c>
      <c r="BL126">
        <v>0</v>
      </c>
      <c r="BM126">
        <v>0.46899999999999997</v>
      </c>
      <c r="BN126">
        <v>-0.497</v>
      </c>
      <c r="BO126">
        <v>-10.507</v>
      </c>
      <c r="BP126">
        <v>1</v>
      </c>
      <c r="BQ126">
        <v>150</v>
      </c>
      <c r="BR126">
        <v>5.0000000000000001E-3</v>
      </c>
      <c r="BS126">
        <v>2</v>
      </c>
      <c r="BT126">
        <v>0</v>
      </c>
      <c r="BU126" t="s">
        <v>200</v>
      </c>
      <c r="BV126">
        <v>7000</v>
      </c>
      <c r="BW126">
        <v>500</v>
      </c>
      <c r="BX126">
        <v>5</v>
      </c>
      <c r="BY126">
        <v>2</v>
      </c>
      <c r="BZ126">
        <v>300</v>
      </c>
      <c r="CA126">
        <v>300</v>
      </c>
      <c r="CB126">
        <v>300</v>
      </c>
      <c r="CC126">
        <v>223.05392499999999</v>
      </c>
      <c r="CD126">
        <v>25</v>
      </c>
      <c r="CE126">
        <v>0.29830000000000001</v>
      </c>
      <c r="CF126">
        <v>230.16357400000001</v>
      </c>
      <c r="CG126">
        <v>223.47946200000001</v>
      </c>
      <c r="CH126">
        <v>6.684113</v>
      </c>
      <c r="CI126">
        <v>2.4854099999999999</v>
      </c>
      <c r="CJ126">
        <v>2.4961829999999998</v>
      </c>
      <c r="CK126">
        <v>1.665519</v>
      </c>
      <c r="CL126">
        <v>0.94051499999999999</v>
      </c>
      <c r="CM126">
        <v>0.15414</v>
      </c>
      <c r="CN126">
        <v>3.7779E-2</v>
      </c>
      <c r="CO126">
        <v>0.13594600000000001</v>
      </c>
      <c r="CP126">
        <v>1.9211389999999999</v>
      </c>
      <c r="CQ126">
        <v>149.89793399999999</v>
      </c>
      <c r="CR126">
        <v>3.9300000000000001E-4</v>
      </c>
      <c r="CS126">
        <v>2.4333689999999999</v>
      </c>
      <c r="CT126">
        <v>-3.6000000000000001E-5</v>
      </c>
      <c r="CU126">
        <v>1</v>
      </c>
      <c r="CV126">
        <v>2.4396819999999999</v>
      </c>
      <c r="CW126">
        <v>1.1E-5</v>
      </c>
      <c r="CX126">
        <v>1</v>
      </c>
      <c r="CY126">
        <v>0.60025499999999998</v>
      </c>
      <c r="CZ126">
        <v>0.60245199999999999</v>
      </c>
      <c r="DA126">
        <v>0.106742</v>
      </c>
      <c r="DB126">
        <v>0</v>
      </c>
      <c r="DC126" t="s">
        <v>641</v>
      </c>
      <c r="DD126" t="s">
        <v>515</v>
      </c>
      <c r="DE126" t="s">
        <v>516</v>
      </c>
      <c r="DF126" t="s">
        <v>517</v>
      </c>
      <c r="DG126" t="s">
        <v>518</v>
      </c>
      <c r="DH126" t="s">
        <v>205</v>
      </c>
      <c r="DI126" t="s">
        <v>519</v>
      </c>
    </row>
    <row r="127" spans="1:113">
      <c r="A127">
        <v>5</v>
      </c>
      <c r="B127" s="3">
        <v>0.30533564814814812</v>
      </c>
      <c r="C127" s="1">
        <v>45149</v>
      </c>
      <c r="D127" t="s">
        <v>196</v>
      </c>
      <c r="E127" t="s">
        <v>197</v>
      </c>
      <c r="G127">
        <v>5</v>
      </c>
      <c r="J127">
        <v>6.4156000000000005E-2</v>
      </c>
      <c r="K127">
        <v>2.9225240000000001</v>
      </c>
      <c r="L127">
        <v>6.2778E-2</v>
      </c>
      <c r="M127">
        <v>4.0917940000000002</v>
      </c>
      <c r="N127">
        <v>2.2837519999999998</v>
      </c>
      <c r="O127">
        <v>2.1762060000000001</v>
      </c>
      <c r="P127">
        <v>8.1722409999999996</v>
      </c>
      <c r="Q127">
        <v>5.8884889999999999</v>
      </c>
      <c r="R127">
        <v>22.770327000000002</v>
      </c>
      <c r="S127">
        <v>23.895621999999999</v>
      </c>
      <c r="T127">
        <v>85.508742999999996</v>
      </c>
      <c r="U127">
        <v>0.44178600000000001</v>
      </c>
      <c r="V127" t="s">
        <v>642</v>
      </c>
      <c r="W127">
        <v>0</v>
      </c>
      <c r="X127">
        <v>0</v>
      </c>
      <c r="Y127">
        <v>0</v>
      </c>
      <c r="Z127">
        <v>98.244308000000004</v>
      </c>
      <c r="AA127">
        <v>143.731033</v>
      </c>
      <c r="AB127">
        <v>0.316471</v>
      </c>
      <c r="AC127">
        <v>0.5</v>
      </c>
      <c r="AD127">
        <v>0.8</v>
      </c>
      <c r="AE127">
        <v>254.482147</v>
      </c>
      <c r="AF127">
        <v>31.51</v>
      </c>
      <c r="AG127">
        <v>30.02</v>
      </c>
      <c r="AH127">
        <v>39.58</v>
      </c>
      <c r="AI127">
        <v>41.84</v>
      </c>
      <c r="AJ127">
        <v>95.57</v>
      </c>
      <c r="AK127">
        <v>156.80000000000001</v>
      </c>
      <c r="AL127">
        <v>155.30000000000001</v>
      </c>
      <c r="AM127">
        <v>1</v>
      </c>
      <c r="AN127">
        <v>2010</v>
      </c>
      <c r="AO127">
        <v>3.992</v>
      </c>
      <c r="AP127">
        <v>36</v>
      </c>
      <c r="AQ127">
        <v>-2</v>
      </c>
      <c r="AR127">
        <v>345</v>
      </c>
      <c r="AS127">
        <v>14.79</v>
      </c>
      <c r="AT127">
        <v>96.69</v>
      </c>
      <c r="AU127">
        <v>36.049999999999997</v>
      </c>
      <c r="AV127">
        <v>-11.6</v>
      </c>
      <c r="AW127">
        <v>15.25</v>
      </c>
      <c r="AX127">
        <v>183.85</v>
      </c>
      <c r="AY127">
        <v>23.28</v>
      </c>
      <c r="AZ127" s="3">
        <v>0.51216435185185183</v>
      </c>
      <c r="BA127" s="1">
        <v>45149</v>
      </c>
      <c r="BB127">
        <v>38.492493000000003</v>
      </c>
      <c r="BC127">
        <v>-1.362895</v>
      </c>
      <c r="BD127">
        <v>554.29998799999998</v>
      </c>
      <c r="BE127">
        <v>7</v>
      </c>
      <c r="BF127">
        <v>1.69</v>
      </c>
      <c r="BG127" s="3">
        <v>0.3038541666666667</v>
      </c>
      <c r="BH127" s="1">
        <v>45149</v>
      </c>
      <c r="BI127">
        <v>7.0000000000000007E-2</v>
      </c>
      <c r="BJ127">
        <v>1E-3</v>
      </c>
      <c r="BK127">
        <v>3.0000000000000001E-3</v>
      </c>
      <c r="BL127">
        <v>-9999</v>
      </c>
      <c r="BM127">
        <v>-1.2130000000000001</v>
      </c>
      <c r="BN127">
        <v>0.41099999999999998</v>
      </c>
      <c r="BO127">
        <v>-9999</v>
      </c>
      <c r="BP127">
        <v>1</v>
      </c>
      <c r="BQ127">
        <v>150</v>
      </c>
      <c r="BR127">
        <v>5.0000000000000001E-3</v>
      </c>
      <c r="BS127">
        <v>2</v>
      </c>
      <c r="BT127">
        <v>0</v>
      </c>
      <c r="BU127" t="s">
        <v>200</v>
      </c>
      <c r="BV127">
        <v>7000</v>
      </c>
      <c r="BW127">
        <v>500</v>
      </c>
      <c r="BX127">
        <v>5</v>
      </c>
      <c r="BY127">
        <v>2</v>
      </c>
      <c r="BZ127">
        <v>300</v>
      </c>
      <c r="CA127">
        <v>300</v>
      </c>
      <c r="CB127">
        <v>300</v>
      </c>
      <c r="CC127">
        <v>135.30671699999999</v>
      </c>
      <c r="CD127">
        <v>25</v>
      </c>
      <c r="CE127">
        <v>-6.0575039999999998</v>
      </c>
      <c r="CF127">
        <v>134.061813</v>
      </c>
      <c r="CG127">
        <v>135.089752</v>
      </c>
      <c r="CH127">
        <v>-1.0279389999999999</v>
      </c>
      <c r="CI127">
        <v>2.4852820000000002</v>
      </c>
      <c r="CJ127">
        <v>2.4960110000000002</v>
      </c>
      <c r="CK127">
        <v>1.667252</v>
      </c>
      <c r="CL127">
        <v>0.94065100000000001</v>
      </c>
      <c r="CM127">
        <v>0.15412300000000001</v>
      </c>
      <c r="CN127">
        <v>3.1019000000000001E-2</v>
      </c>
      <c r="CO127">
        <v>0.13722799999999999</v>
      </c>
      <c r="CP127">
        <v>1.8849880000000001</v>
      </c>
      <c r="CQ127">
        <v>98.244308000000004</v>
      </c>
      <c r="CR127">
        <v>3.8900000000000002E-4</v>
      </c>
      <c r="CS127">
        <v>2.4333689999999999</v>
      </c>
      <c r="CT127">
        <v>-3.6000000000000001E-5</v>
      </c>
      <c r="CU127">
        <v>1</v>
      </c>
      <c r="CV127">
        <v>2.4396819999999999</v>
      </c>
      <c r="CW127">
        <v>1.1E-5</v>
      </c>
      <c r="CX127">
        <v>1</v>
      </c>
      <c r="CY127">
        <v>0.60025499999999998</v>
      </c>
      <c r="CZ127">
        <v>0.60245199999999999</v>
      </c>
      <c r="DA127">
        <v>0.106742</v>
      </c>
      <c r="DB127">
        <v>0</v>
      </c>
      <c r="DC127" t="s">
        <v>642</v>
      </c>
      <c r="DD127" t="s">
        <v>515</v>
      </c>
      <c r="DE127" t="s">
        <v>516</v>
      </c>
      <c r="DF127" t="s">
        <v>517</v>
      </c>
      <c r="DG127" t="s">
        <v>518</v>
      </c>
      <c r="DH127" t="s">
        <v>205</v>
      </c>
      <c r="DI127" t="s">
        <v>519</v>
      </c>
    </row>
    <row r="128" spans="1:113">
      <c r="A128">
        <v>6</v>
      </c>
      <c r="B128" s="3">
        <v>0.30800925925925926</v>
      </c>
      <c r="C128" s="1">
        <v>45149</v>
      </c>
      <c r="D128" t="s">
        <v>196</v>
      </c>
      <c r="E128" t="s">
        <v>197</v>
      </c>
      <c r="G128">
        <v>6</v>
      </c>
      <c r="J128">
        <v>6.4417000000000002E-2</v>
      </c>
      <c r="K128">
        <v>2.9210630000000002</v>
      </c>
      <c r="L128">
        <v>6.3027E-2</v>
      </c>
      <c r="M128">
        <v>3.8704839999999998</v>
      </c>
      <c r="N128">
        <v>2.418412</v>
      </c>
      <c r="O128">
        <v>2.3166850000000001</v>
      </c>
      <c r="P128">
        <v>7.9699720000000003</v>
      </c>
      <c r="Q128">
        <v>5.5515600000000003</v>
      </c>
      <c r="R128">
        <v>24.234058000000001</v>
      </c>
      <c r="S128">
        <v>25.298190999999999</v>
      </c>
      <c r="T128">
        <v>83.371178</v>
      </c>
      <c r="U128">
        <v>0.44178600000000001</v>
      </c>
      <c r="V128" t="s">
        <v>643</v>
      </c>
      <c r="W128">
        <v>0</v>
      </c>
      <c r="X128">
        <v>0</v>
      </c>
      <c r="Y128">
        <v>0</v>
      </c>
      <c r="Z128">
        <v>112.077354</v>
      </c>
      <c r="AA128">
        <v>253.52238500000001</v>
      </c>
      <c r="AB128">
        <v>0.55791900000000005</v>
      </c>
      <c r="AC128">
        <v>0.5</v>
      </c>
      <c r="AD128">
        <v>0.8</v>
      </c>
      <c r="AE128">
        <v>19.743071</v>
      </c>
      <c r="AF128">
        <v>33.22</v>
      </c>
      <c r="AG128">
        <v>31.83</v>
      </c>
      <c r="AH128">
        <v>39.659999999999997</v>
      </c>
      <c r="AI128">
        <v>41.36</v>
      </c>
      <c r="AJ128">
        <v>95.6</v>
      </c>
      <c r="AK128">
        <v>156.6</v>
      </c>
      <c r="AL128">
        <v>155.19999999999999</v>
      </c>
      <c r="AM128">
        <v>0.9</v>
      </c>
      <c r="AN128">
        <v>88</v>
      </c>
      <c r="AO128">
        <v>3.9910000000000001</v>
      </c>
      <c r="AP128">
        <v>15</v>
      </c>
      <c r="AQ128">
        <v>-11</v>
      </c>
      <c r="AR128">
        <v>139</v>
      </c>
      <c r="AS128">
        <v>41.69</v>
      </c>
      <c r="AT128">
        <v>74.67</v>
      </c>
      <c r="AU128">
        <v>18.53</v>
      </c>
      <c r="AV128">
        <v>175.91</v>
      </c>
      <c r="AW128">
        <v>15.24</v>
      </c>
      <c r="AX128">
        <v>186.28</v>
      </c>
      <c r="AY128">
        <v>23.35</v>
      </c>
      <c r="AZ128" s="3">
        <v>0.51483796296296302</v>
      </c>
      <c r="BA128" s="1">
        <v>45149</v>
      </c>
      <c r="BB128">
        <v>38.492480999999998</v>
      </c>
      <c r="BC128">
        <v>-1.3629100000000001</v>
      </c>
      <c r="BD128">
        <v>554.59997599999997</v>
      </c>
      <c r="BE128">
        <v>7</v>
      </c>
      <c r="BF128">
        <v>1.69</v>
      </c>
      <c r="BG128" s="3">
        <v>0.3038541666666667</v>
      </c>
      <c r="BH128" s="1">
        <v>45149</v>
      </c>
      <c r="BI128">
        <v>7.0000000000000007E-2</v>
      </c>
      <c r="BJ128">
        <v>0</v>
      </c>
      <c r="BK128">
        <v>0</v>
      </c>
      <c r="BL128">
        <v>-3.0000000000000001E-3</v>
      </c>
      <c r="BM128">
        <v>2.0569999999999999</v>
      </c>
      <c r="BN128">
        <v>2.8450000000000002</v>
      </c>
      <c r="BO128">
        <v>7.4240000000000004</v>
      </c>
      <c r="BP128">
        <v>1</v>
      </c>
      <c r="BQ128">
        <v>150</v>
      </c>
      <c r="BR128">
        <v>5.0000000000000001E-3</v>
      </c>
      <c r="BS128">
        <v>2</v>
      </c>
      <c r="BT128">
        <v>0</v>
      </c>
      <c r="BU128" t="s">
        <v>200</v>
      </c>
      <c r="BV128">
        <v>7000</v>
      </c>
      <c r="BW128">
        <v>500</v>
      </c>
      <c r="BX128">
        <v>5</v>
      </c>
      <c r="BY128">
        <v>2</v>
      </c>
      <c r="BZ128">
        <v>300</v>
      </c>
      <c r="CA128">
        <v>300</v>
      </c>
      <c r="CB128">
        <v>300</v>
      </c>
      <c r="CC128">
        <v>217.027908</v>
      </c>
      <c r="CD128">
        <v>25</v>
      </c>
      <c r="CE128">
        <v>-26.085699000000002</v>
      </c>
      <c r="CF128">
        <v>208.74345400000001</v>
      </c>
      <c r="CG128">
        <v>216.31004300000001</v>
      </c>
      <c r="CH128">
        <v>-7.5665889999999996</v>
      </c>
      <c r="CI128">
        <v>2.4880360000000001</v>
      </c>
      <c r="CJ128">
        <v>2.498637</v>
      </c>
      <c r="CK128">
        <v>1.66571</v>
      </c>
      <c r="CL128">
        <v>0.94038299999999997</v>
      </c>
      <c r="CM128">
        <v>0.153664</v>
      </c>
      <c r="CN128">
        <v>2.3588000000000001E-2</v>
      </c>
      <c r="CO128">
        <v>0.167492</v>
      </c>
      <c r="CP128">
        <v>0.18499699999999999</v>
      </c>
      <c r="CQ128">
        <v>112.077354</v>
      </c>
      <c r="CR128">
        <v>3.8900000000000002E-4</v>
      </c>
      <c r="CS128">
        <v>2.4333689999999999</v>
      </c>
      <c r="CT128">
        <v>-3.6000000000000001E-5</v>
      </c>
      <c r="CU128">
        <v>1</v>
      </c>
      <c r="CV128">
        <v>2.4396819999999999</v>
      </c>
      <c r="CW128">
        <v>1.1E-5</v>
      </c>
      <c r="CX128">
        <v>1</v>
      </c>
      <c r="CY128">
        <v>0.60025499999999998</v>
      </c>
      <c r="CZ128">
        <v>0.60245199999999999</v>
      </c>
      <c r="DA128">
        <v>0.106742</v>
      </c>
      <c r="DB128">
        <v>0</v>
      </c>
      <c r="DC128" t="s">
        <v>643</v>
      </c>
      <c r="DD128" t="s">
        <v>515</v>
      </c>
      <c r="DE128" t="s">
        <v>516</v>
      </c>
      <c r="DF128" t="s">
        <v>517</v>
      </c>
      <c r="DG128" t="s">
        <v>518</v>
      </c>
      <c r="DH128" t="s">
        <v>205</v>
      </c>
      <c r="DI128" t="s">
        <v>519</v>
      </c>
    </row>
    <row r="129" spans="1:113">
      <c r="A129">
        <v>7</v>
      </c>
      <c r="B129" s="3">
        <v>0.30812499999999998</v>
      </c>
      <c r="C129" s="1">
        <v>45149</v>
      </c>
      <c r="D129" t="s">
        <v>196</v>
      </c>
      <c r="E129" t="s">
        <v>197</v>
      </c>
      <c r="G129">
        <v>7</v>
      </c>
      <c r="J129">
        <v>0.16609299999999999</v>
      </c>
      <c r="K129">
        <v>2.9221620000000001</v>
      </c>
      <c r="L129">
        <v>0.15715999999999999</v>
      </c>
      <c r="M129">
        <v>8.1902279999999994</v>
      </c>
      <c r="N129">
        <v>2.4223490000000001</v>
      </c>
      <c r="O129">
        <v>2.2072940000000001</v>
      </c>
      <c r="P129">
        <v>7.1544650000000001</v>
      </c>
      <c r="Q129">
        <v>4.7321160000000004</v>
      </c>
      <c r="R129">
        <v>23.090837000000001</v>
      </c>
      <c r="S129">
        <v>25.340565000000002</v>
      </c>
      <c r="T129">
        <v>74.843956000000006</v>
      </c>
      <c r="U129">
        <v>0.44178600000000001</v>
      </c>
      <c r="V129" t="s">
        <v>644</v>
      </c>
      <c r="W129">
        <v>0</v>
      </c>
      <c r="X129">
        <v>0</v>
      </c>
      <c r="Y129">
        <v>0</v>
      </c>
      <c r="Z129">
        <v>125.116112</v>
      </c>
      <c r="AA129">
        <v>363.75625600000001</v>
      </c>
      <c r="AB129">
        <v>0.65604399999999996</v>
      </c>
      <c r="AC129">
        <v>0.5</v>
      </c>
      <c r="AD129">
        <v>0.8</v>
      </c>
      <c r="AE129">
        <v>78.493774000000002</v>
      </c>
      <c r="AF129">
        <v>33.26</v>
      </c>
      <c r="AG129">
        <v>30.3</v>
      </c>
      <c r="AH129">
        <v>39.67</v>
      </c>
      <c r="AI129">
        <v>39.340000000000003</v>
      </c>
      <c r="AJ129">
        <v>95.59</v>
      </c>
      <c r="AK129">
        <v>156.80000000000001</v>
      </c>
      <c r="AL129">
        <v>155.5</v>
      </c>
      <c r="AM129">
        <v>0.8</v>
      </c>
      <c r="AN129">
        <v>299</v>
      </c>
      <c r="AO129">
        <v>3.9910000000000001</v>
      </c>
      <c r="AP129">
        <v>24</v>
      </c>
      <c r="AQ129">
        <v>-13</v>
      </c>
      <c r="AR129">
        <v>161</v>
      </c>
      <c r="AS129">
        <v>50.42</v>
      </c>
      <c r="AT129">
        <v>63.72</v>
      </c>
      <c r="AU129">
        <v>27.11</v>
      </c>
      <c r="AV129">
        <v>-169.42</v>
      </c>
      <c r="AW129">
        <v>15.24</v>
      </c>
      <c r="AX129">
        <v>186.28</v>
      </c>
      <c r="AY129">
        <v>23.35</v>
      </c>
      <c r="AZ129" s="3">
        <v>0.5149421296296296</v>
      </c>
      <c r="BA129" s="1">
        <v>45149</v>
      </c>
      <c r="BB129">
        <v>38.492462000000003</v>
      </c>
      <c r="BC129">
        <v>-1.362905</v>
      </c>
      <c r="BD129">
        <v>555</v>
      </c>
      <c r="BE129">
        <v>7</v>
      </c>
      <c r="BF129">
        <v>1.7</v>
      </c>
      <c r="BG129" s="3">
        <v>0.3038541666666667</v>
      </c>
      <c r="BH129" s="1">
        <v>45149</v>
      </c>
      <c r="BI129">
        <v>7.0000000000000007E-2</v>
      </c>
      <c r="BJ129">
        <v>1E-3</v>
      </c>
      <c r="BK129">
        <v>1E-3</v>
      </c>
      <c r="BL129">
        <v>-9999</v>
      </c>
      <c r="BM129">
        <v>2.6789999999999998</v>
      </c>
      <c r="BN129">
        <v>3.2130000000000001</v>
      </c>
      <c r="BO129">
        <v>-9999</v>
      </c>
      <c r="BP129">
        <v>1</v>
      </c>
      <c r="BQ129">
        <v>150</v>
      </c>
      <c r="BR129">
        <v>5.0000000000000001E-3</v>
      </c>
      <c r="BS129">
        <v>2</v>
      </c>
      <c r="BT129">
        <v>0</v>
      </c>
      <c r="BU129" t="s">
        <v>200</v>
      </c>
      <c r="BV129">
        <v>7000</v>
      </c>
      <c r="BW129">
        <v>500</v>
      </c>
      <c r="BX129">
        <v>5</v>
      </c>
      <c r="BY129">
        <v>2</v>
      </c>
      <c r="BZ129">
        <v>300</v>
      </c>
      <c r="CA129">
        <v>300</v>
      </c>
      <c r="CB129">
        <v>300</v>
      </c>
      <c r="CC129">
        <v>319.07308999999998</v>
      </c>
      <c r="CD129">
        <v>25</v>
      </c>
      <c r="CE129">
        <v>-31.553923000000001</v>
      </c>
      <c r="CF129">
        <v>313.02487200000002</v>
      </c>
      <c r="CG129">
        <v>318.74325599999997</v>
      </c>
      <c r="CH129">
        <v>-5.7183840000000004</v>
      </c>
      <c r="CI129">
        <v>2.485703</v>
      </c>
      <c r="CJ129">
        <v>2.4986839999999999</v>
      </c>
      <c r="CK129">
        <v>1.6668700000000001</v>
      </c>
      <c r="CL129">
        <v>0.94125700000000001</v>
      </c>
      <c r="CM129">
        <v>0.15359200000000001</v>
      </c>
      <c r="CN129">
        <v>-3.5490000000000001E-3</v>
      </c>
      <c r="CO129">
        <v>0.16859399999999999</v>
      </c>
      <c r="CP129">
        <v>0.37132999999999999</v>
      </c>
      <c r="CQ129">
        <v>125.116112</v>
      </c>
      <c r="CR129">
        <v>3.8099999999999999E-4</v>
      </c>
      <c r="CS129">
        <v>2.4333689999999999</v>
      </c>
      <c r="CT129">
        <v>-3.6000000000000001E-5</v>
      </c>
      <c r="CU129">
        <v>1</v>
      </c>
      <c r="CV129">
        <v>2.4396819999999999</v>
      </c>
      <c r="CW129">
        <v>1.1E-5</v>
      </c>
      <c r="CX129">
        <v>1</v>
      </c>
      <c r="CY129">
        <v>0.60025499999999998</v>
      </c>
      <c r="CZ129">
        <v>0.60245199999999999</v>
      </c>
      <c r="DA129">
        <v>0.106742</v>
      </c>
      <c r="DB129">
        <v>0</v>
      </c>
      <c r="DC129" t="s">
        <v>644</v>
      </c>
      <c r="DD129" t="s">
        <v>515</v>
      </c>
      <c r="DE129" t="s">
        <v>516</v>
      </c>
      <c r="DF129" t="s">
        <v>517</v>
      </c>
      <c r="DG129" t="s">
        <v>518</v>
      </c>
      <c r="DH129" t="s">
        <v>205</v>
      </c>
      <c r="DI129" t="s">
        <v>519</v>
      </c>
    </row>
    <row r="130" spans="1:113">
      <c r="A130">
        <v>8</v>
      </c>
      <c r="B130" s="3">
        <v>0.30828703703703703</v>
      </c>
      <c r="C130" s="1">
        <v>45149</v>
      </c>
      <c r="D130" t="s">
        <v>196</v>
      </c>
      <c r="E130" t="s">
        <v>197</v>
      </c>
      <c r="G130">
        <v>8</v>
      </c>
      <c r="J130">
        <v>0.150001</v>
      </c>
      <c r="K130">
        <v>2.9218220000000001</v>
      </c>
      <c r="L130">
        <v>0.142676</v>
      </c>
      <c r="M130">
        <v>6.7208170000000003</v>
      </c>
      <c r="N130">
        <v>2.4438909999999998</v>
      </c>
      <c r="O130">
        <v>2.2674020000000001</v>
      </c>
      <c r="P130">
        <v>6.7309270000000003</v>
      </c>
      <c r="Q130">
        <v>4.2870359999999996</v>
      </c>
      <c r="R130">
        <v>23.718333999999999</v>
      </c>
      <c r="S130">
        <v>25.564509999999999</v>
      </c>
      <c r="T130">
        <v>70.409385999999998</v>
      </c>
      <c r="U130">
        <v>0.44178600000000001</v>
      </c>
      <c r="V130" t="s">
        <v>645</v>
      </c>
      <c r="W130">
        <v>0</v>
      </c>
      <c r="X130">
        <v>0</v>
      </c>
      <c r="Y130">
        <v>0</v>
      </c>
      <c r="Z130">
        <v>101.240517</v>
      </c>
      <c r="AA130">
        <v>328.76260400000001</v>
      </c>
      <c r="AB130">
        <v>0.692056</v>
      </c>
      <c r="AC130">
        <v>0.5</v>
      </c>
      <c r="AD130">
        <v>0.8</v>
      </c>
      <c r="AE130">
        <v>378.94357300000001</v>
      </c>
      <c r="AF130">
        <v>33.53</v>
      </c>
      <c r="AG130">
        <v>31.11</v>
      </c>
      <c r="AH130">
        <v>39.68</v>
      </c>
      <c r="AI130">
        <v>38.200000000000003</v>
      </c>
      <c r="AJ130">
        <v>95.6</v>
      </c>
      <c r="AK130">
        <v>156.69999999999999</v>
      </c>
      <c r="AL130">
        <v>155.30000000000001</v>
      </c>
      <c r="AM130">
        <v>0.9</v>
      </c>
      <c r="AN130">
        <v>1369</v>
      </c>
      <c r="AO130">
        <v>3.9910000000000001</v>
      </c>
      <c r="AP130">
        <v>26</v>
      </c>
      <c r="AQ130">
        <v>-11</v>
      </c>
      <c r="AR130">
        <v>212</v>
      </c>
      <c r="AS130">
        <v>46.43</v>
      </c>
      <c r="AT130">
        <v>68.92</v>
      </c>
      <c r="AU130">
        <v>28.08</v>
      </c>
      <c r="AV130">
        <v>-124.09</v>
      </c>
      <c r="AW130">
        <v>15.24</v>
      </c>
      <c r="AX130">
        <v>186.28</v>
      </c>
      <c r="AY130">
        <v>23.35</v>
      </c>
      <c r="AZ130" s="3">
        <v>0.51511574074074074</v>
      </c>
      <c r="BA130" s="1">
        <v>45149</v>
      </c>
      <c r="BB130">
        <v>38.492446999999999</v>
      </c>
      <c r="BC130">
        <v>-1.3628880000000001</v>
      </c>
      <c r="BD130">
        <v>555.20001200000002</v>
      </c>
      <c r="BE130">
        <v>7</v>
      </c>
      <c r="BF130">
        <v>1.7</v>
      </c>
      <c r="BG130" s="3">
        <v>0.3038541666666667</v>
      </c>
      <c r="BH130" s="1">
        <v>45149</v>
      </c>
      <c r="BI130">
        <v>7.0000000000000007E-2</v>
      </c>
      <c r="BJ130">
        <v>0</v>
      </c>
      <c r="BK130">
        <v>-1E-3</v>
      </c>
      <c r="BL130">
        <v>-9999</v>
      </c>
      <c r="BM130">
        <v>-3.7639999999999998</v>
      </c>
      <c r="BN130">
        <v>0.54500000000000004</v>
      </c>
      <c r="BO130">
        <v>-9999</v>
      </c>
      <c r="BP130">
        <v>1</v>
      </c>
      <c r="BQ130">
        <v>150</v>
      </c>
      <c r="BR130">
        <v>5.0000000000000001E-3</v>
      </c>
      <c r="BS130">
        <v>2</v>
      </c>
      <c r="BT130">
        <v>0</v>
      </c>
      <c r="BU130" t="s">
        <v>200</v>
      </c>
      <c r="BV130">
        <v>7000</v>
      </c>
      <c r="BW130">
        <v>500</v>
      </c>
      <c r="BX130">
        <v>5</v>
      </c>
      <c r="BY130">
        <v>2</v>
      </c>
      <c r="BZ130">
        <v>300</v>
      </c>
      <c r="CA130">
        <v>300</v>
      </c>
      <c r="CB130">
        <v>300</v>
      </c>
      <c r="CC130">
        <v>289.70004299999999</v>
      </c>
      <c r="CD130">
        <v>25</v>
      </c>
      <c r="CE130">
        <v>-26.797592000000002</v>
      </c>
      <c r="CF130">
        <v>291.51428199999998</v>
      </c>
      <c r="CG130">
        <v>290.53472900000003</v>
      </c>
      <c r="CH130">
        <v>0.97955300000000001</v>
      </c>
      <c r="CI130">
        <v>2.4869349999999999</v>
      </c>
      <c r="CJ130">
        <v>2.4990999999999999</v>
      </c>
      <c r="CK130">
        <v>1.6665099999999999</v>
      </c>
      <c r="CL130">
        <v>0.94056499999999998</v>
      </c>
      <c r="CM130">
        <v>0.15351899999999999</v>
      </c>
      <c r="CN130">
        <v>-1.8540999999999998E-2</v>
      </c>
      <c r="CO130">
        <v>0.17013600000000001</v>
      </c>
      <c r="CP130">
        <v>1.3176239999999999</v>
      </c>
      <c r="CQ130">
        <v>101.240517</v>
      </c>
      <c r="CR130">
        <v>3.8699999999999997E-4</v>
      </c>
      <c r="CS130">
        <v>2.4333689999999999</v>
      </c>
      <c r="CT130">
        <v>-3.6000000000000001E-5</v>
      </c>
      <c r="CU130">
        <v>1</v>
      </c>
      <c r="CV130">
        <v>2.4396819999999999</v>
      </c>
      <c r="CW130">
        <v>1.1E-5</v>
      </c>
      <c r="CX130">
        <v>1</v>
      </c>
      <c r="CY130">
        <v>0.60025499999999998</v>
      </c>
      <c r="CZ130">
        <v>0.60245199999999999</v>
      </c>
      <c r="DA130">
        <v>0.106742</v>
      </c>
      <c r="DB130">
        <v>0</v>
      </c>
      <c r="DC130" t="s">
        <v>645</v>
      </c>
      <c r="DD130" t="s">
        <v>515</v>
      </c>
      <c r="DE130" t="s">
        <v>516</v>
      </c>
      <c r="DF130" t="s">
        <v>517</v>
      </c>
      <c r="DG130" t="s">
        <v>518</v>
      </c>
      <c r="DH130" t="s">
        <v>205</v>
      </c>
      <c r="DI130" t="s">
        <v>519</v>
      </c>
    </row>
    <row r="131" spans="1:113">
      <c r="A131">
        <v>9</v>
      </c>
      <c r="B131" s="3">
        <v>0.30854166666666666</v>
      </c>
      <c r="C131" s="1">
        <v>45149</v>
      </c>
      <c r="D131" t="s">
        <v>196</v>
      </c>
      <c r="E131" t="s">
        <v>197</v>
      </c>
      <c r="G131">
        <v>9</v>
      </c>
      <c r="J131">
        <v>9.3419000000000002E-2</v>
      </c>
      <c r="K131">
        <v>2.9213779999999998</v>
      </c>
      <c r="L131">
        <v>9.0523999999999993E-2</v>
      </c>
      <c r="M131">
        <v>4.7845890000000004</v>
      </c>
      <c r="N131">
        <v>2.3785850000000002</v>
      </c>
      <c r="O131">
        <v>2.2528090000000001</v>
      </c>
      <c r="P131">
        <v>7.1787799999999997</v>
      </c>
      <c r="Q131">
        <v>4.8001950000000004</v>
      </c>
      <c r="R131">
        <v>23.565498000000002</v>
      </c>
      <c r="S131">
        <v>24.881186</v>
      </c>
      <c r="T131">
        <v>75.093613000000005</v>
      </c>
      <c r="U131">
        <v>0.44178600000000001</v>
      </c>
      <c r="V131" t="s">
        <v>646</v>
      </c>
      <c r="W131">
        <v>0</v>
      </c>
      <c r="X131">
        <v>0</v>
      </c>
      <c r="Y131">
        <v>0</v>
      </c>
      <c r="Z131">
        <v>110.780952</v>
      </c>
      <c r="AA131">
        <v>367.68066399999998</v>
      </c>
      <c r="AB131">
        <v>0.69870299999999996</v>
      </c>
      <c r="AC131">
        <v>0.5</v>
      </c>
      <c r="AD131">
        <v>0.8</v>
      </c>
      <c r="AE131">
        <v>558.58050500000002</v>
      </c>
      <c r="AF131">
        <v>32.61</v>
      </c>
      <c r="AG131">
        <v>30.88</v>
      </c>
      <c r="AH131">
        <v>39.700000000000003</v>
      </c>
      <c r="AI131">
        <v>39.4</v>
      </c>
      <c r="AJ131">
        <v>95.6</v>
      </c>
      <c r="AK131">
        <v>156.69999999999999</v>
      </c>
      <c r="AL131">
        <v>155.30000000000001</v>
      </c>
      <c r="AM131">
        <v>0.9</v>
      </c>
      <c r="AN131">
        <v>1999</v>
      </c>
      <c r="AO131">
        <v>3.96</v>
      </c>
      <c r="AP131">
        <v>-2</v>
      </c>
      <c r="AQ131">
        <v>-19</v>
      </c>
      <c r="AR131">
        <v>242</v>
      </c>
      <c r="AS131">
        <v>11.23</v>
      </c>
      <c r="AT131">
        <v>98.09</v>
      </c>
      <c r="AU131">
        <v>19.100000000000001</v>
      </c>
      <c r="AV131">
        <v>-22.21</v>
      </c>
      <c r="AW131">
        <v>15.24</v>
      </c>
      <c r="AX131">
        <v>186.88</v>
      </c>
      <c r="AY131">
        <v>23.37</v>
      </c>
      <c r="AZ131" s="3">
        <v>0.51537037037037037</v>
      </c>
      <c r="BA131" s="1">
        <v>45149</v>
      </c>
      <c r="BB131">
        <v>38.492435</v>
      </c>
      <c r="BC131">
        <v>-1.362897</v>
      </c>
      <c r="BD131">
        <v>556.40002400000003</v>
      </c>
      <c r="BE131">
        <v>6</v>
      </c>
      <c r="BF131">
        <v>1.83</v>
      </c>
      <c r="BG131" s="3">
        <v>0.3038541666666667</v>
      </c>
      <c r="BH131" s="1">
        <v>45149</v>
      </c>
      <c r="BI131">
        <v>7.0000000000000007E-2</v>
      </c>
      <c r="BJ131">
        <v>-1E-3</v>
      </c>
      <c r="BK131">
        <v>1E-3</v>
      </c>
      <c r="BL131">
        <v>4.0000000000000001E-3</v>
      </c>
      <c r="BM131">
        <v>-0.86499999999999999</v>
      </c>
      <c r="BN131">
        <v>-2.0209999999999999</v>
      </c>
      <c r="BO131">
        <v>-15.532</v>
      </c>
      <c r="BP131">
        <v>1</v>
      </c>
      <c r="BQ131">
        <v>150</v>
      </c>
      <c r="BR131">
        <v>5.0000000000000001E-3</v>
      </c>
      <c r="BS131">
        <v>2</v>
      </c>
      <c r="BT131">
        <v>0</v>
      </c>
      <c r="BU131" t="s">
        <v>200</v>
      </c>
      <c r="BV131">
        <v>7000</v>
      </c>
      <c r="BW131">
        <v>500</v>
      </c>
      <c r="BX131">
        <v>5</v>
      </c>
      <c r="BY131">
        <v>2</v>
      </c>
      <c r="BZ131">
        <v>300</v>
      </c>
      <c r="CA131">
        <v>300</v>
      </c>
      <c r="CB131">
        <v>300</v>
      </c>
      <c r="CC131">
        <v>348.781586</v>
      </c>
      <c r="CD131">
        <v>25</v>
      </c>
      <c r="CE131">
        <v>-11.910041</v>
      </c>
      <c r="CF131">
        <v>351.95159899999999</v>
      </c>
      <c r="CG131">
        <v>350.69049100000001</v>
      </c>
      <c r="CH131">
        <v>1.2611079999999999</v>
      </c>
      <c r="CI131">
        <v>2.4865879999999998</v>
      </c>
      <c r="CJ131">
        <v>2.49769</v>
      </c>
      <c r="CK131">
        <v>1.666042</v>
      </c>
      <c r="CL131">
        <v>0.94057599999999997</v>
      </c>
      <c r="CM131">
        <v>0.15342900000000001</v>
      </c>
      <c r="CN131">
        <v>-3.0799999999999998E-3</v>
      </c>
      <c r="CO131">
        <v>0.17275199999999999</v>
      </c>
      <c r="CP131">
        <v>1.8746579999999999</v>
      </c>
      <c r="CQ131">
        <v>110.780952</v>
      </c>
      <c r="CR131">
        <v>3.79E-4</v>
      </c>
      <c r="CS131">
        <v>2.4333689999999999</v>
      </c>
      <c r="CT131">
        <v>-3.6000000000000001E-5</v>
      </c>
      <c r="CU131">
        <v>1</v>
      </c>
      <c r="CV131">
        <v>2.4396819999999999</v>
      </c>
      <c r="CW131">
        <v>1.1E-5</v>
      </c>
      <c r="CX131">
        <v>1</v>
      </c>
      <c r="CY131">
        <v>0.60025499999999998</v>
      </c>
      <c r="CZ131">
        <v>0.60245199999999999</v>
      </c>
      <c r="DA131">
        <v>0.106742</v>
      </c>
      <c r="DB131">
        <v>0</v>
      </c>
      <c r="DC131" t="s">
        <v>646</v>
      </c>
      <c r="DD131" t="s">
        <v>515</v>
      </c>
      <c r="DE131" t="s">
        <v>516</v>
      </c>
      <c r="DF131" t="s">
        <v>517</v>
      </c>
      <c r="DG131" t="s">
        <v>518</v>
      </c>
      <c r="DH131" t="s">
        <v>205</v>
      </c>
      <c r="DI131" t="s">
        <v>519</v>
      </c>
    </row>
    <row r="132" spans="1:113">
      <c r="A132">
        <v>1</v>
      </c>
      <c r="B132" s="3">
        <v>0.31422453703703707</v>
      </c>
      <c r="C132" s="1">
        <v>45149</v>
      </c>
      <c r="D132" t="s">
        <v>196</v>
      </c>
      <c r="E132" t="s">
        <v>197</v>
      </c>
      <c r="G132">
        <v>1</v>
      </c>
      <c r="J132">
        <v>3.9680000000000002E-3</v>
      </c>
      <c r="K132">
        <v>2.920925</v>
      </c>
      <c r="L132">
        <v>3.9620000000000002E-3</v>
      </c>
      <c r="M132">
        <v>0.33008599999999999</v>
      </c>
      <c r="N132">
        <v>2.21204</v>
      </c>
      <c r="O132">
        <v>2.203357</v>
      </c>
      <c r="P132">
        <v>9.6701350000000001</v>
      </c>
      <c r="Q132">
        <v>7.4580950000000001</v>
      </c>
      <c r="R132">
        <v>23.080257</v>
      </c>
      <c r="S132">
        <v>23.171219000000001</v>
      </c>
      <c r="T132">
        <v>101.29508199999999</v>
      </c>
      <c r="U132">
        <v>0.44178600000000001</v>
      </c>
      <c r="V132" t="s">
        <v>647</v>
      </c>
      <c r="W132">
        <v>0</v>
      </c>
      <c r="X132">
        <v>0</v>
      </c>
      <c r="Y132">
        <v>0</v>
      </c>
      <c r="Z132">
        <v>80.594299000000007</v>
      </c>
      <c r="AA132">
        <v>88.970657000000003</v>
      </c>
      <c r="AB132">
        <v>9.4146999999999995E-2</v>
      </c>
      <c r="AC132">
        <v>0.5</v>
      </c>
      <c r="AD132">
        <v>0.8</v>
      </c>
      <c r="AE132">
        <v>66.922072999999997</v>
      </c>
      <c r="AF132">
        <v>28.3</v>
      </c>
      <c r="AG132">
        <v>28.19</v>
      </c>
      <c r="AH132">
        <v>41</v>
      </c>
      <c r="AI132">
        <v>45.06</v>
      </c>
      <c r="AJ132">
        <v>95.46</v>
      </c>
      <c r="AK132">
        <v>156.6</v>
      </c>
      <c r="AL132">
        <v>142.4</v>
      </c>
      <c r="AM132">
        <v>9.1</v>
      </c>
      <c r="AN132">
        <v>1777</v>
      </c>
      <c r="AO132">
        <v>3.9889999999999999</v>
      </c>
      <c r="AP132">
        <v>14</v>
      </c>
      <c r="AQ132">
        <v>0</v>
      </c>
      <c r="AR132">
        <v>119</v>
      </c>
      <c r="AZ132" s="3">
        <v>0</v>
      </c>
      <c r="BA132" t="s">
        <v>513</v>
      </c>
      <c r="BB132" t="s">
        <v>514</v>
      </c>
      <c r="BC132" t="s">
        <v>514</v>
      </c>
      <c r="BD132" t="s">
        <v>514</v>
      </c>
      <c r="BE132">
        <v>0</v>
      </c>
      <c r="BF132" t="s">
        <v>514</v>
      </c>
      <c r="BG132" s="3">
        <v>0.31383101851851852</v>
      </c>
      <c r="BH132" s="1">
        <v>45149</v>
      </c>
      <c r="BI132">
        <v>0.18</v>
      </c>
      <c r="BJ132">
        <v>1E-3</v>
      </c>
      <c r="BK132">
        <v>1E-3</v>
      </c>
      <c r="BL132">
        <v>-9999</v>
      </c>
      <c r="BM132">
        <v>0.376</v>
      </c>
      <c r="BN132">
        <v>0.17299999999999999</v>
      </c>
      <c r="BO132">
        <v>-9999</v>
      </c>
      <c r="BP132">
        <v>1</v>
      </c>
      <c r="BQ132">
        <v>150</v>
      </c>
      <c r="BR132">
        <v>5.0000000000000001E-3</v>
      </c>
      <c r="BS132">
        <v>2</v>
      </c>
      <c r="BT132">
        <v>0</v>
      </c>
      <c r="BU132" t="s">
        <v>200</v>
      </c>
      <c r="BV132">
        <v>7000</v>
      </c>
      <c r="BW132">
        <v>500</v>
      </c>
      <c r="BX132">
        <v>5</v>
      </c>
      <c r="BY132">
        <v>2</v>
      </c>
      <c r="BZ132">
        <v>300</v>
      </c>
      <c r="CA132">
        <v>300</v>
      </c>
      <c r="CB132">
        <v>300</v>
      </c>
      <c r="CC132">
        <v>88.970657000000003</v>
      </c>
      <c r="CD132">
        <v>25</v>
      </c>
      <c r="CE132">
        <v>1.9114990000000001</v>
      </c>
      <c r="CF132">
        <v>91.082092000000003</v>
      </c>
      <c r="CG132">
        <v>91.697495000000004</v>
      </c>
      <c r="CH132">
        <v>-0.615402</v>
      </c>
      <c r="CI132">
        <v>2.4822540000000002</v>
      </c>
      <c r="CJ132">
        <v>2.4907509999999999</v>
      </c>
      <c r="CK132">
        <v>1.665565</v>
      </c>
      <c r="CL132">
        <v>0.90784200000000004</v>
      </c>
      <c r="CM132">
        <v>0.14601500000000001</v>
      </c>
      <c r="CN132">
        <v>5.6704999999999998E-2</v>
      </c>
      <c r="CO132">
        <v>0.108291</v>
      </c>
      <c r="CP132">
        <v>1.6786589999999999</v>
      </c>
      <c r="CQ132">
        <v>80.594299000000007</v>
      </c>
      <c r="CR132">
        <v>3.9500000000000001E-4</v>
      </c>
      <c r="CS132">
        <v>2.4333689999999999</v>
      </c>
      <c r="CT132">
        <v>-3.6000000000000001E-5</v>
      </c>
      <c r="CU132">
        <v>1</v>
      </c>
      <c r="CV132">
        <v>2.4396819999999999</v>
      </c>
      <c r="CW132">
        <v>1.1E-5</v>
      </c>
      <c r="CX132">
        <v>1</v>
      </c>
      <c r="CY132">
        <v>0.60025499999999998</v>
      </c>
      <c r="CZ132">
        <v>0.60245199999999999</v>
      </c>
      <c r="DA132">
        <v>0.106742</v>
      </c>
      <c r="DB132">
        <v>0</v>
      </c>
      <c r="DC132" t="s">
        <v>647</v>
      </c>
      <c r="DD132" t="s">
        <v>515</v>
      </c>
      <c r="DE132" t="s">
        <v>516</v>
      </c>
      <c r="DF132" t="s">
        <v>517</v>
      </c>
      <c r="DG132" t="s">
        <v>518</v>
      </c>
      <c r="DH132" t="s">
        <v>205</v>
      </c>
      <c r="DI132" t="s">
        <v>519</v>
      </c>
    </row>
    <row r="133" spans="1:113">
      <c r="A133">
        <v>2</v>
      </c>
      <c r="B133" s="3">
        <v>0.31438657407407405</v>
      </c>
      <c r="C133" s="1">
        <v>45149</v>
      </c>
      <c r="D133" t="s">
        <v>196</v>
      </c>
      <c r="E133" t="s">
        <v>197</v>
      </c>
      <c r="G133">
        <v>2</v>
      </c>
      <c r="J133">
        <v>7.5435000000000002E-2</v>
      </c>
      <c r="K133">
        <v>2.9226679999999998</v>
      </c>
      <c r="L133">
        <v>7.3537000000000005E-2</v>
      </c>
      <c r="M133">
        <v>4.9456259999999999</v>
      </c>
      <c r="N133">
        <v>2.3172779999999999</v>
      </c>
      <c r="O133">
        <v>2.1875</v>
      </c>
      <c r="P133">
        <v>8.378012</v>
      </c>
      <c r="Q133">
        <v>6.0607340000000001</v>
      </c>
      <c r="R133">
        <v>22.914031999999999</v>
      </c>
      <c r="S133">
        <v>24.273458000000002</v>
      </c>
      <c r="T133">
        <v>87.759574999999998</v>
      </c>
      <c r="U133">
        <v>0.44178600000000001</v>
      </c>
      <c r="V133" t="s">
        <v>648</v>
      </c>
      <c r="W133">
        <v>0</v>
      </c>
      <c r="X133">
        <v>0</v>
      </c>
      <c r="Y133">
        <v>0</v>
      </c>
      <c r="Z133">
        <v>124.889732</v>
      </c>
      <c r="AA133">
        <v>207.51199299999999</v>
      </c>
      <c r="AB133">
        <v>0.39815699999999998</v>
      </c>
      <c r="AC133">
        <v>0.5</v>
      </c>
      <c r="AD133">
        <v>0.8</v>
      </c>
      <c r="AE133">
        <v>28.959136999999998</v>
      </c>
      <c r="AF133">
        <v>29.58</v>
      </c>
      <c r="AG133">
        <v>27.92</v>
      </c>
      <c r="AH133">
        <v>41.04</v>
      </c>
      <c r="AI133">
        <v>42.31</v>
      </c>
      <c r="AJ133">
        <v>95.47</v>
      </c>
      <c r="AK133">
        <v>156.80000000000001</v>
      </c>
      <c r="AL133">
        <v>155.19999999999999</v>
      </c>
      <c r="AM133">
        <v>1</v>
      </c>
      <c r="AN133">
        <v>182</v>
      </c>
      <c r="AO133">
        <v>3.9889999999999999</v>
      </c>
      <c r="AP133">
        <v>23</v>
      </c>
      <c r="AQ133">
        <v>-11</v>
      </c>
      <c r="AR133">
        <v>89</v>
      </c>
      <c r="AZ133" s="3">
        <v>0</v>
      </c>
      <c r="BA133" t="s">
        <v>513</v>
      </c>
      <c r="BB133">
        <v>38.493198</v>
      </c>
      <c r="BC133">
        <v>-1.3651599999999999</v>
      </c>
      <c r="BD133">
        <v>583.79998799999998</v>
      </c>
      <c r="BE133">
        <v>4</v>
      </c>
      <c r="BF133">
        <v>2.08</v>
      </c>
      <c r="BG133" s="3">
        <v>0.31383101851851852</v>
      </c>
      <c r="BH133" s="1">
        <v>45149</v>
      </c>
      <c r="BI133">
        <v>0.18</v>
      </c>
      <c r="BJ133">
        <v>0</v>
      </c>
      <c r="BK133">
        <v>1E-3</v>
      </c>
      <c r="BL133">
        <v>3.0000000000000001E-3</v>
      </c>
      <c r="BM133">
        <v>-1.494</v>
      </c>
      <c r="BN133">
        <v>-3.8220000000000001</v>
      </c>
      <c r="BO133">
        <v>-9.2439999999999998</v>
      </c>
      <c r="BP133">
        <v>1</v>
      </c>
      <c r="BQ133">
        <v>150</v>
      </c>
      <c r="BR133">
        <v>5.0000000000000001E-3</v>
      </c>
      <c r="BS133">
        <v>2</v>
      </c>
      <c r="BT133">
        <v>0</v>
      </c>
      <c r="BU133" t="s">
        <v>200</v>
      </c>
      <c r="BV133">
        <v>7000</v>
      </c>
      <c r="BW133">
        <v>500</v>
      </c>
      <c r="BX133">
        <v>5</v>
      </c>
      <c r="BY133">
        <v>2</v>
      </c>
      <c r="BZ133">
        <v>300</v>
      </c>
      <c r="CA133">
        <v>300</v>
      </c>
      <c r="CB133">
        <v>300</v>
      </c>
      <c r="CC133">
        <v>195.41108700000001</v>
      </c>
      <c r="CD133">
        <v>25</v>
      </c>
      <c r="CE133">
        <v>-8.3981519999999996</v>
      </c>
      <c r="CF133">
        <v>194.14866599999999</v>
      </c>
      <c r="CG133">
        <v>195.531677</v>
      </c>
      <c r="CH133">
        <v>-1.383011</v>
      </c>
      <c r="CI133">
        <v>2.481843</v>
      </c>
      <c r="CJ133">
        <v>2.4927440000000001</v>
      </c>
      <c r="CK133">
        <v>1.667405</v>
      </c>
      <c r="CL133">
        <v>0.94041300000000005</v>
      </c>
      <c r="CM133">
        <v>0.14579500000000001</v>
      </c>
      <c r="CN133">
        <v>1.8173000000000002E-2</v>
      </c>
      <c r="CO133">
        <v>0.110619</v>
      </c>
      <c r="CP133">
        <v>0.26758399999999999</v>
      </c>
      <c r="CQ133">
        <v>124.889732</v>
      </c>
      <c r="CR133">
        <v>3.9300000000000001E-4</v>
      </c>
      <c r="CS133">
        <v>2.4333689999999999</v>
      </c>
      <c r="CT133">
        <v>-3.6000000000000001E-5</v>
      </c>
      <c r="CU133">
        <v>1</v>
      </c>
      <c r="CV133">
        <v>2.4396819999999999</v>
      </c>
      <c r="CW133">
        <v>1.1E-5</v>
      </c>
      <c r="CX133">
        <v>1</v>
      </c>
      <c r="CY133">
        <v>0.60025499999999998</v>
      </c>
      <c r="CZ133">
        <v>0.60245199999999999</v>
      </c>
      <c r="DA133">
        <v>0.106742</v>
      </c>
      <c r="DB133">
        <v>0</v>
      </c>
      <c r="DC133" t="s">
        <v>648</v>
      </c>
      <c r="DD133" t="s">
        <v>515</v>
      </c>
      <c r="DE133" t="s">
        <v>516</v>
      </c>
      <c r="DF133" t="s">
        <v>517</v>
      </c>
      <c r="DG133" t="s">
        <v>518</v>
      </c>
      <c r="DH133" t="s">
        <v>205</v>
      </c>
      <c r="DI133" t="s">
        <v>519</v>
      </c>
    </row>
    <row r="134" spans="1:113">
      <c r="A134">
        <v>3</v>
      </c>
      <c r="B134" s="3">
        <v>0.31464120370370369</v>
      </c>
      <c r="C134" s="1">
        <v>45149</v>
      </c>
      <c r="D134" t="s">
        <v>196</v>
      </c>
      <c r="E134" t="s">
        <v>197</v>
      </c>
      <c r="G134">
        <v>3</v>
      </c>
      <c r="J134">
        <v>1.2997E-2</v>
      </c>
      <c r="K134">
        <v>2.9224190000000001</v>
      </c>
      <c r="L134">
        <v>1.2939000000000001E-2</v>
      </c>
      <c r="M134">
        <v>1.022878</v>
      </c>
      <c r="N134">
        <v>2.1514959999999999</v>
      </c>
      <c r="O134">
        <v>2.1246010000000002</v>
      </c>
      <c r="P134">
        <v>9.247852</v>
      </c>
      <c r="Q134">
        <v>7.0963560000000001</v>
      </c>
      <c r="R134">
        <v>22.254705000000001</v>
      </c>
      <c r="S134">
        <v>22.536425000000001</v>
      </c>
      <c r="T134">
        <v>96.869118</v>
      </c>
      <c r="U134">
        <v>0.44178600000000001</v>
      </c>
      <c r="V134" t="s">
        <v>649</v>
      </c>
      <c r="W134">
        <v>0</v>
      </c>
      <c r="X134">
        <v>0</v>
      </c>
      <c r="Y134">
        <v>0</v>
      </c>
      <c r="Z134">
        <v>112.726448</v>
      </c>
      <c r="AA134">
        <v>134.52816799999999</v>
      </c>
      <c r="AB134">
        <v>0.16206100000000001</v>
      </c>
      <c r="AC134">
        <v>0.5</v>
      </c>
      <c r="AD134">
        <v>0.8</v>
      </c>
      <c r="AE134">
        <v>120.86434199999999</v>
      </c>
      <c r="AF134">
        <v>27.41</v>
      </c>
      <c r="AG134">
        <v>27.06</v>
      </c>
      <c r="AH134">
        <v>41.08</v>
      </c>
      <c r="AI134">
        <v>44.2</v>
      </c>
      <c r="AJ134">
        <v>95.47</v>
      </c>
      <c r="AK134">
        <v>156.80000000000001</v>
      </c>
      <c r="AL134">
        <v>155</v>
      </c>
      <c r="AM134">
        <v>1.1000000000000001</v>
      </c>
      <c r="AN134">
        <v>1864</v>
      </c>
      <c r="AO134">
        <v>3.9889999999999999</v>
      </c>
      <c r="AP134">
        <v>18</v>
      </c>
      <c r="AQ134">
        <v>-3</v>
      </c>
      <c r="AR134">
        <v>74</v>
      </c>
      <c r="AZ134" s="3">
        <v>0</v>
      </c>
      <c r="BA134" t="s">
        <v>513</v>
      </c>
      <c r="BB134" t="s">
        <v>514</v>
      </c>
      <c r="BC134" t="s">
        <v>514</v>
      </c>
      <c r="BD134" t="s">
        <v>514</v>
      </c>
      <c r="BE134">
        <v>0</v>
      </c>
      <c r="BF134" t="s">
        <v>514</v>
      </c>
      <c r="BG134" s="3">
        <v>0.31383101851851852</v>
      </c>
      <c r="BH134" s="1">
        <v>45149</v>
      </c>
      <c r="BI134">
        <v>0.18</v>
      </c>
      <c r="BJ134">
        <v>0</v>
      </c>
      <c r="BK134">
        <v>0</v>
      </c>
      <c r="BL134">
        <v>-1E-3</v>
      </c>
      <c r="BM134">
        <v>-4.0289999999999999</v>
      </c>
      <c r="BN134">
        <v>-4.516</v>
      </c>
      <c r="BO134">
        <v>-11.733000000000001</v>
      </c>
      <c r="BP134">
        <v>1</v>
      </c>
      <c r="BQ134">
        <v>150</v>
      </c>
      <c r="BR134">
        <v>5.0000000000000001E-3</v>
      </c>
      <c r="BS134">
        <v>2</v>
      </c>
      <c r="BT134">
        <v>0</v>
      </c>
      <c r="BU134" t="s">
        <v>200</v>
      </c>
      <c r="BV134">
        <v>7000</v>
      </c>
      <c r="BW134">
        <v>500</v>
      </c>
      <c r="BX134">
        <v>5</v>
      </c>
      <c r="BY134">
        <v>2</v>
      </c>
      <c r="BZ134">
        <v>300</v>
      </c>
      <c r="CA134">
        <v>300</v>
      </c>
      <c r="CB134">
        <v>300</v>
      </c>
      <c r="CC134">
        <v>134.52816799999999</v>
      </c>
      <c r="CD134">
        <v>25</v>
      </c>
      <c r="CE134">
        <v>3.2273139999999998</v>
      </c>
      <c r="CF134">
        <v>139.58931000000001</v>
      </c>
      <c r="CG134">
        <v>139.13206500000001</v>
      </c>
      <c r="CH134">
        <v>0.45724500000000001</v>
      </c>
      <c r="CI134">
        <v>2.4804970000000002</v>
      </c>
      <c r="CJ134">
        <v>2.4893489999999998</v>
      </c>
      <c r="CK134">
        <v>1.667141</v>
      </c>
      <c r="CL134">
        <v>0.93998300000000001</v>
      </c>
      <c r="CM134">
        <v>0.145568</v>
      </c>
      <c r="CN134">
        <v>4.3597999999999998E-2</v>
      </c>
      <c r="CO134">
        <v>0.114304</v>
      </c>
      <c r="CP134">
        <v>1.756003</v>
      </c>
      <c r="CQ134">
        <v>112.726448</v>
      </c>
      <c r="CR134">
        <v>3.9399999999999998E-4</v>
      </c>
      <c r="CS134">
        <v>2.4333689999999999</v>
      </c>
      <c r="CT134">
        <v>-3.6000000000000001E-5</v>
      </c>
      <c r="CU134">
        <v>1</v>
      </c>
      <c r="CV134">
        <v>2.4396819999999999</v>
      </c>
      <c r="CW134">
        <v>1.1E-5</v>
      </c>
      <c r="CX134">
        <v>1</v>
      </c>
      <c r="CY134">
        <v>0.60025499999999998</v>
      </c>
      <c r="CZ134">
        <v>0.60245199999999999</v>
      </c>
      <c r="DA134">
        <v>0.106742</v>
      </c>
      <c r="DB134">
        <v>0</v>
      </c>
      <c r="DC134" t="s">
        <v>649</v>
      </c>
      <c r="DD134" t="s">
        <v>515</v>
      </c>
      <c r="DE134" t="s">
        <v>516</v>
      </c>
      <c r="DF134" t="s">
        <v>517</v>
      </c>
      <c r="DG134" t="s">
        <v>518</v>
      </c>
      <c r="DH134" t="s">
        <v>205</v>
      </c>
      <c r="DI134" t="s">
        <v>519</v>
      </c>
    </row>
    <row r="135" spans="1:113">
      <c r="A135">
        <v>4</v>
      </c>
      <c r="B135" s="3">
        <v>0.31482638888888886</v>
      </c>
      <c r="C135" s="1">
        <v>45149</v>
      </c>
      <c r="D135" t="s">
        <v>196</v>
      </c>
      <c r="E135" t="s">
        <v>197</v>
      </c>
      <c r="G135">
        <v>4</v>
      </c>
      <c r="J135">
        <v>2.5819999999999999E-2</v>
      </c>
      <c r="K135">
        <v>2.9203769999999998</v>
      </c>
      <c r="L135">
        <v>2.5593000000000001E-2</v>
      </c>
      <c r="M135">
        <v>2.0537260000000002</v>
      </c>
      <c r="N135">
        <v>2.2010429999999999</v>
      </c>
      <c r="O135">
        <v>2.1469860000000001</v>
      </c>
      <c r="P135">
        <v>9.396312</v>
      </c>
      <c r="Q135">
        <v>7.1952689999999997</v>
      </c>
      <c r="R135">
        <v>22.489709999999999</v>
      </c>
      <c r="S135">
        <v>23.055958</v>
      </c>
      <c r="T135">
        <v>98.426513999999997</v>
      </c>
      <c r="U135">
        <v>0.44178600000000001</v>
      </c>
      <c r="V135" t="s">
        <v>650</v>
      </c>
      <c r="W135">
        <v>0</v>
      </c>
      <c r="X135">
        <v>0</v>
      </c>
      <c r="Y135">
        <v>0</v>
      </c>
      <c r="Z135">
        <v>83.362342999999996</v>
      </c>
      <c r="AA135">
        <v>92.186447000000001</v>
      </c>
      <c r="AB135">
        <v>9.572E-2</v>
      </c>
      <c r="AC135">
        <v>0.5</v>
      </c>
      <c r="AD135">
        <v>0.8</v>
      </c>
      <c r="AE135">
        <v>77.838318000000001</v>
      </c>
      <c r="AF135">
        <v>28</v>
      </c>
      <c r="AG135">
        <v>27.31</v>
      </c>
      <c r="AH135">
        <v>41.1</v>
      </c>
      <c r="AI135">
        <v>44.51</v>
      </c>
      <c r="AJ135">
        <v>95.47</v>
      </c>
      <c r="AK135">
        <v>156.5</v>
      </c>
      <c r="AL135">
        <v>155</v>
      </c>
      <c r="AM135">
        <v>1</v>
      </c>
      <c r="AN135">
        <v>2033</v>
      </c>
      <c r="AO135">
        <v>3.988</v>
      </c>
      <c r="AP135">
        <v>19</v>
      </c>
      <c r="AQ135">
        <v>5</v>
      </c>
      <c r="AR135">
        <v>26</v>
      </c>
      <c r="AZ135" s="3">
        <v>0</v>
      </c>
      <c r="BA135" t="s">
        <v>513</v>
      </c>
      <c r="BB135" t="s">
        <v>514</v>
      </c>
      <c r="BC135" t="s">
        <v>514</v>
      </c>
      <c r="BD135" t="s">
        <v>514</v>
      </c>
      <c r="BE135">
        <v>0</v>
      </c>
      <c r="BF135" t="s">
        <v>514</v>
      </c>
      <c r="BG135" s="3">
        <v>0.31383101851851852</v>
      </c>
      <c r="BH135" s="1">
        <v>45149</v>
      </c>
      <c r="BI135">
        <v>0.18</v>
      </c>
      <c r="BJ135">
        <v>1E-3</v>
      </c>
      <c r="BK135">
        <v>1E-3</v>
      </c>
      <c r="BL135">
        <v>-9999</v>
      </c>
      <c r="BM135">
        <v>-0.39100000000000001</v>
      </c>
      <c r="BN135">
        <v>1.464</v>
      </c>
      <c r="BO135">
        <v>-9999</v>
      </c>
      <c r="BP135">
        <v>1</v>
      </c>
      <c r="BQ135">
        <v>150</v>
      </c>
      <c r="BR135">
        <v>5.0000000000000001E-3</v>
      </c>
      <c r="BS135">
        <v>2</v>
      </c>
      <c r="BT135">
        <v>0</v>
      </c>
      <c r="BU135" t="s">
        <v>200</v>
      </c>
      <c r="BV135">
        <v>7000</v>
      </c>
      <c r="BW135">
        <v>500</v>
      </c>
      <c r="BX135">
        <v>5</v>
      </c>
      <c r="BY135">
        <v>2</v>
      </c>
      <c r="BZ135">
        <v>300</v>
      </c>
      <c r="CA135">
        <v>300</v>
      </c>
      <c r="CB135">
        <v>300</v>
      </c>
      <c r="CC135">
        <v>92.186447000000001</v>
      </c>
      <c r="CD135">
        <v>25</v>
      </c>
      <c r="CE135">
        <v>2.3232629999999999</v>
      </c>
      <c r="CF135">
        <v>94.865798999999996</v>
      </c>
      <c r="CG135">
        <v>95.500679000000005</v>
      </c>
      <c r="CH135">
        <v>-0.63488</v>
      </c>
      <c r="CI135">
        <v>2.4808870000000001</v>
      </c>
      <c r="CJ135">
        <v>2.4902820000000001</v>
      </c>
      <c r="CK135">
        <v>1.6649879999999999</v>
      </c>
      <c r="CL135">
        <v>0.93997200000000003</v>
      </c>
      <c r="CM135">
        <v>0.14544099999999999</v>
      </c>
      <c r="CN135">
        <v>4.7560999999999999E-2</v>
      </c>
      <c r="CO135">
        <v>0.11670800000000001</v>
      </c>
      <c r="CP135">
        <v>1.905027</v>
      </c>
      <c r="CQ135">
        <v>83.362342999999996</v>
      </c>
      <c r="CR135">
        <v>3.8400000000000001E-4</v>
      </c>
      <c r="CS135">
        <v>2.4333689999999999</v>
      </c>
      <c r="CT135">
        <v>-3.6000000000000001E-5</v>
      </c>
      <c r="CU135">
        <v>1</v>
      </c>
      <c r="CV135">
        <v>2.4396819999999999</v>
      </c>
      <c r="CW135">
        <v>1.1E-5</v>
      </c>
      <c r="CX135">
        <v>1</v>
      </c>
      <c r="CY135">
        <v>0.60025499999999998</v>
      </c>
      <c r="CZ135">
        <v>0.60245199999999999</v>
      </c>
      <c r="DA135">
        <v>0.106742</v>
      </c>
      <c r="DB135">
        <v>0</v>
      </c>
      <c r="DC135" t="s">
        <v>650</v>
      </c>
      <c r="DD135" t="s">
        <v>515</v>
      </c>
      <c r="DE135" t="s">
        <v>516</v>
      </c>
      <c r="DF135" t="s">
        <v>517</v>
      </c>
      <c r="DG135" t="s">
        <v>518</v>
      </c>
      <c r="DH135" t="s">
        <v>205</v>
      </c>
      <c r="DI135" t="s">
        <v>519</v>
      </c>
    </row>
    <row r="136" spans="1:113">
      <c r="A136">
        <v>5</v>
      </c>
      <c r="B136" s="3">
        <v>0.31505787037037036</v>
      </c>
      <c r="C136" s="1">
        <v>45149</v>
      </c>
      <c r="D136" t="s">
        <v>196</v>
      </c>
      <c r="E136" t="s">
        <v>197</v>
      </c>
      <c r="G136">
        <v>5</v>
      </c>
      <c r="J136">
        <v>4.4926000000000001E-2</v>
      </c>
      <c r="K136">
        <v>2.9234300000000002</v>
      </c>
      <c r="L136">
        <v>4.4246000000000001E-2</v>
      </c>
      <c r="M136">
        <v>2.9221569999999999</v>
      </c>
      <c r="N136">
        <v>2.3011050000000002</v>
      </c>
      <c r="O136">
        <v>2.2244619999999999</v>
      </c>
      <c r="P136">
        <v>8.2569750000000006</v>
      </c>
      <c r="Q136">
        <v>5.9558710000000001</v>
      </c>
      <c r="R136">
        <v>23.302679000000001</v>
      </c>
      <c r="S136">
        <v>24.105560000000001</v>
      </c>
      <c r="T136">
        <v>86.497146999999998</v>
      </c>
      <c r="U136">
        <v>0.44178600000000001</v>
      </c>
      <c r="V136" t="s">
        <v>651</v>
      </c>
      <c r="W136">
        <v>0</v>
      </c>
      <c r="X136">
        <v>0</v>
      </c>
      <c r="Y136">
        <v>0</v>
      </c>
      <c r="Z136">
        <v>66.882132999999996</v>
      </c>
      <c r="AA136">
        <v>97.118423000000007</v>
      </c>
      <c r="AB136">
        <v>0.311334</v>
      </c>
      <c r="AC136">
        <v>0.5</v>
      </c>
      <c r="AD136">
        <v>0.8</v>
      </c>
      <c r="AE136">
        <v>31.629390999999998</v>
      </c>
      <c r="AF136">
        <v>29.23</v>
      </c>
      <c r="AG136">
        <v>28.26</v>
      </c>
      <c r="AH136">
        <v>41.13</v>
      </c>
      <c r="AI136">
        <v>42.03</v>
      </c>
      <c r="AJ136">
        <v>95.46</v>
      </c>
      <c r="AK136">
        <v>156.9</v>
      </c>
      <c r="AL136">
        <v>155.1</v>
      </c>
      <c r="AM136">
        <v>1.1000000000000001</v>
      </c>
      <c r="AN136">
        <v>254</v>
      </c>
      <c r="AO136">
        <v>3.988</v>
      </c>
      <c r="AP136">
        <v>-14</v>
      </c>
      <c r="AQ136">
        <v>-12</v>
      </c>
      <c r="AR136">
        <v>9</v>
      </c>
      <c r="AZ136" s="3">
        <v>0</v>
      </c>
      <c r="BA136" t="s">
        <v>513</v>
      </c>
      <c r="BB136" t="s">
        <v>514</v>
      </c>
      <c r="BC136" t="s">
        <v>514</v>
      </c>
      <c r="BD136" t="s">
        <v>514</v>
      </c>
      <c r="BE136">
        <v>0</v>
      </c>
      <c r="BF136" t="s">
        <v>514</v>
      </c>
      <c r="BG136" s="3">
        <v>0.31383101851851852</v>
      </c>
      <c r="BH136" s="1">
        <v>45149</v>
      </c>
      <c r="BI136">
        <v>0.18</v>
      </c>
      <c r="BJ136">
        <v>1E-3</v>
      </c>
      <c r="BK136">
        <v>1E-3</v>
      </c>
      <c r="BL136">
        <v>-9999</v>
      </c>
      <c r="BM136">
        <v>0.25900000000000001</v>
      </c>
      <c r="BN136">
        <v>0.96699999999999997</v>
      </c>
      <c r="BO136">
        <v>-9999</v>
      </c>
      <c r="BP136">
        <v>1</v>
      </c>
      <c r="BQ136">
        <v>150</v>
      </c>
      <c r="BR136">
        <v>5.0000000000000001E-3</v>
      </c>
      <c r="BS136">
        <v>2</v>
      </c>
      <c r="BT136">
        <v>0</v>
      </c>
      <c r="BU136" t="s">
        <v>200</v>
      </c>
      <c r="BV136">
        <v>7000</v>
      </c>
      <c r="BW136">
        <v>500</v>
      </c>
      <c r="BX136">
        <v>5</v>
      </c>
      <c r="BY136">
        <v>2</v>
      </c>
      <c r="BZ136">
        <v>300</v>
      </c>
      <c r="CA136">
        <v>300</v>
      </c>
      <c r="CB136">
        <v>300</v>
      </c>
      <c r="CC136">
        <v>90.871810999999994</v>
      </c>
      <c r="CD136">
        <v>25</v>
      </c>
      <c r="CE136">
        <v>-4.5275730000000003</v>
      </c>
      <c r="CF136">
        <v>88.860870000000006</v>
      </c>
      <c r="CG136">
        <v>90.659653000000006</v>
      </c>
      <c r="CH136">
        <v>-1.7987820000000001</v>
      </c>
      <c r="CI136">
        <v>2.4823469999999999</v>
      </c>
      <c r="CJ136">
        <v>2.4921929999999999</v>
      </c>
      <c r="CK136">
        <v>1.6682110000000001</v>
      </c>
      <c r="CL136">
        <v>0.94018100000000004</v>
      </c>
      <c r="CM136">
        <v>0.145283</v>
      </c>
      <c r="CN136">
        <v>1.3188999999999999E-2</v>
      </c>
      <c r="CO136">
        <v>0.119771</v>
      </c>
      <c r="CP136">
        <v>0.33140599999999998</v>
      </c>
      <c r="CQ136">
        <v>66.882132999999996</v>
      </c>
      <c r="CR136">
        <v>3.8200000000000002E-4</v>
      </c>
      <c r="CS136">
        <v>2.4333689999999999</v>
      </c>
      <c r="CT136">
        <v>-3.6000000000000001E-5</v>
      </c>
      <c r="CU136">
        <v>1</v>
      </c>
      <c r="CV136">
        <v>2.4396819999999999</v>
      </c>
      <c r="CW136">
        <v>1.1E-5</v>
      </c>
      <c r="CX136">
        <v>1</v>
      </c>
      <c r="CY136">
        <v>0.60025499999999998</v>
      </c>
      <c r="CZ136">
        <v>0.60245199999999999</v>
      </c>
      <c r="DA136">
        <v>0.106742</v>
      </c>
      <c r="DB136">
        <v>0</v>
      </c>
      <c r="DC136" t="s">
        <v>651</v>
      </c>
      <c r="DD136" t="s">
        <v>515</v>
      </c>
      <c r="DE136" t="s">
        <v>516</v>
      </c>
      <c r="DF136" t="s">
        <v>517</v>
      </c>
      <c r="DG136" t="s">
        <v>518</v>
      </c>
      <c r="DH136" t="s">
        <v>205</v>
      </c>
      <c r="DI136" t="s">
        <v>519</v>
      </c>
    </row>
    <row r="137" spans="1:113">
      <c r="A137">
        <v>6</v>
      </c>
      <c r="B137" s="3">
        <v>0.3152430555555556</v>
      </c>
      <c r="C137" s="1">
        <v>45149</v>
      </c>
      <c r="D137" t="s">
        <v>196</v>
      </c>
      <c r="E137" t="s">
        <v>197</v>
      </c>
      <c r="G137">
        <v>6</v>
      </c>
      <c r="J137">
        <v>3.0714000000000002E-2</v>
      </c>
      <c r="K137">
        <v>2.921281</v>
      </c>
      <c r="L137">
        <v>3.0394000000000001E-2</v>
      </c>
      <c r="M137">
        <v>2.531479</v>
      </c>
      <c r="N137">
        <v>2.2616529999999999</v>
      </c>
      <c r="O137">
        <v>2.1951200000000002</v>
      </c>
      <c r="P137">
        <v>9.7131749999999997</v>
      </c>
      <c r="Q137">
        <v>7.4515209999999996</v>
      </c>
      <c r="R137">
        <v>22.996442999999999</v>
      </c>
      <c r="S137">
        <v>23.693460000000002</v>
      </c>
      <c r="T137">
        <v>101.756851</v>
      </c>
      <c r="U137">
        <v>0.44178600000000001</v>
      </c>
      <c r="V137" t="s">
        <v>652</v>
      </c>
      <c r="W137">
        <v>0</v>
      </c>
      <c r="X137">
        <v>0</v>
      </c>
      <c r="Y137">
        <v>0</v>
      </c>
      <c r="Z137">
        <v>88.191032000000007</v>
      </c>
      <c r="AA137">
        <v>98.423835999999994</v>
      </c>
      <c r="AB137">
        <v>0.103967</v>
      </c>
      <c r="AC137">
        <v>0.5</v>
      </c>
      <c r="AD137">
        <v>0.8</v>
      </c>
      <c r="AE137">
        <v>81.874756000000005</v>
      </c>
      <c r="AF137">
        <v>28.71</v>
      </c>
      <c r="AG137">
        <v>27.86</v>
      </c>
      <c r="AH137">
        <v>41.14</v>
      </c>
      <c r="AI137">
        <v>45.15</v>
      </c>
      <c r="AJ137">
        <v>95.45</v>
      </c>
      <c r="AK137">
        <v>156.6</v>
      </c>
      <c r="AL137">
        <v>154.9</v>
      </c>
      <c r="AM137">
        <v>1.1000000000000001</v>
      </c>
      <c r="AN137">
        <v>1969</v>
      </c>
      <c r="AO137">
        <v>3.9870000000000001</v>
      </c>
      <c r="AP137">
        <v>7</v>
      </c>
      <c r="AQ137">
        <v>-8</v>
      </c>
      <c r="AR137">
        <v>338</v>
      </c>
      <c r="AZ137" s="3">
        <v>0</v>
      </c>
      <c r="BA137" t="s">
        <v>513</v>
      </c>
      <c r="BB137" t="s">
        <v>514</v>
      </c>
      <c r="BC137" t="s">
        <v>514</v>
      </c>
      <c r="BD137" t="s">
        <v>514</v>
      </c>
      <c r="BE137">
        <v>0</v>
      </c>
      <c r="BF137" t="s">
        <v>514</v>
      </c>
      <c r="BG137" s="3">
        <v>0.31383101851851852</v>
      </c>
      <c r="BH137" s="1">
        <v>45149</v>
      </c>
      <c r="BI137">
        <v>0.18</v>
      </c>
      <c r="BJ137">
        <v>1E-3</v>
      </c>
      <c r="BK137">
        <v>0</v>
      </c>
      <c r="BL137">
        <v>-9999</v>
      </c>
      <c r="BM137">
        <v>-0.35399999999999998</v>
      </c>
      <c r="BN137">
        <v>-0.17799999999999999</v>
      </c>
      <c r="BO137">
        <v>-9999</v>
      </c>
      <c r="BP137">
        <v>1</v>
      </c>
      <c r="BQ137">
        <v>150</v>
      </c>
      <c r="BR137">
        <v>5.0000000000000001E-3</v>
      </c>
      <c r="BS137">
        <v>2</v>
      </c>
      <c r="BT137">
        <v>0</v>
      </c>
      <c r="BU137" t="s">
        <v>200</v>
      </c>
      <c r="BV137">
        <v>7000</v>
      </c>
      <c r="BW137">
        <v>500</v>
      </c>
      <c r="BX137">
        <v>5</v>
      </c>
      <c r="BY137">
        <v>2</v>
      </c>
      <c r="BZ137">
        <v>300</v>
      </c>
      <c r="CA137">
        <v>300</v>
      </c>
      <c r="CB137">
        <v>300</v>
      </c>
      <c r="CC137">
        <v>98.423835999999994</v>
      </c>
      <c r="CD137">
        <v>25</v>
      </c>
      <c r="CE137">
        <v>2.2884920000000002</v>
      </c>
      <c r="CF137">
        <v>101.151825</v>
      </c>
      <c r="CG137">
        <v>101.688469</v>
      </c>
      <c r="CH137">
        <v>-0.53664400000000001</v>
      </c>
      <c r="CI137">
        <v>2.4817330000000002</v>
      </c>
      <c r="CJ137">
        <v>2.4913780000000001</v>
      </c>
      <c r="CK137">
        <v>1.66594</v>
      </c>
      <c r="CL137">
        <v>0.93966300000000003</v>
      </c>
      <c r="CM137">
        <v>0.145201</v>
      </c>
      <c r="CN137">
        <v>5.5948999999999999E-2</v>
      </c>
      <c r="CO137">
        <v>0.122179</v>
      </c>
      <c r="CP137">
        <v>1.8482449999999999</v>
      </c>
      <c r="CQ137">
        <v>88.191032000000007</v>
      </c>
      <c r="CR137">
        <v>3.9399999999999998E-4</v>
      </c>
      <c r="CS137">
        <v>2.4333689999999999</v>
      </c>
      <c r="CT137">
        <v>-3.6000000000000001E-5</v>
      </c>
      <c r="CU137">
        <v>1</v>
      </c>
      <c r="CV137">
        <v>2.4396819999999999</v>
      </c>
      <c r="CW137">
        <v>1.1E-5</v>
      </c>
      <c r="CX137">
        <v>1</v>
      </c>
      <c r="CY137">
        <v>0.60025499999999998</v>
      </c>
      <c r="CZ137">
        <v>0.60245199999999999</v>
      </c>
      <c r="DA137">
        <v>0.106742</v>
      </c>
      <c r="DB137">
        <v>0</v>
      </c>
      <c r="DC137" t="s">
        <v>652</v>
      </c>
      <c r="DD137" t="s">
        <v>515</v>
      </c>
      <c r="DE137" t="s">
        <v>516</v>
      </c>
      <c r="DF137" t="s">
        <v>517</v>
      </c>
      <c r="DG137" t="s">
        <v>518</v>
      </c>
      <c r="DH137" t="s">
        <v>205</v>
      </c>
      <c r="DI137" t="s">
        <v>519</v>
      </c>
    </row>
    <row r="138" spans="1:113">
      <c r="A138">
        <v>7</v>
      </c>
      <c r="B138" s="3">
        <v>0.31537037037037036</v>
      </c>
      <c r="C138" s="1">
        <v>45149</v>
      </c>
      <c r="D138" t="s">
        <v>196</v>
      </c>
      <c r="E138" t="s">
        <v>197</v>
      </c>
      <c r="G138">
        <v>7</v>
      </c>
      <c r="J138">
        <v>6.2881000000000006E-2</v>
      </c>
      <c r="K138">
        <v>2.9214669999999998</v>
      </c>
      <c r="L138">
        <v>6.1557000000000001E-2</v>
      </c>
      <c r="M138">
        <v>4.8071900000000003</v>
      </c>
      <c r="N138">
        <v>2.3231570000000001</v>
      </c>
      <c r="O138">
        <v>2.1969099999999999</v>
      </c>
      <c r="P138">
        <v>9.3230920000000008</v>
      </c>
      <c r="Q138">
        <v>6.9999349999999998</v>
      </c>
      <c r="R138">
        <v>23.014412</v>
      </c>
      <c r="S138">
        <v>24.336957999999999</v>
      </c>
      <c r="T138">
        <v>97.666954000000004</v>
      </c>
      <c r="U138">
        <v>0.44178600000000001</v>
      </c>
      <c r="V138" t="s">
        <v>653</v>
      </c>
      <c r="W138">
        <v>0</v>
      </c>
      <c r="X138">
        <v>0</v>
      </c>
      <c r="Y138">
        <v>0</v>
      </c>
      <c r="Z138">
        <v>84.495666999999997</v>
      </c>
      <c r="AA138">
        <v>87.271568000000002</v>
      </c>
      <c r="AB138">
        <v>3.1808000000000003E-2</v>
      </c>
      <c r="AC138">
        <v>0.5</v>
      </c>
      <c r="AD138">
        <v>0.8</v>
      </c>
      <c r="AE138">
        <v>24.475597</v>
      </c>
      <c r="AF138">
        <v>29.47</v>
      </c>
      <c r="AG138">
        <v>27.87</v>
      </c>
      <c r="AH138">
        <v>41.15</v>
      </c>
      <c r="AI138">
        <v>44.36</v>
      </c>
      <c r="AJ138">
        <v>95.46</v>
      </c>
      <c r="AK138">
        <v>156.69999999999999</v>
      </c>
      <c r="AL138">
        <v>155.1</v>
      </c>
      <c r="AM138">
        <v>1</v>
      </c>
      <c r="AN138">
        <v>1924</v>
      </c>
      <c r="AO138">
        <v>3.9870000000000001</v>
      </c>
      <c r="AP138">
        <v>2</v>
      </c>
      <c r="AQ138">
        <v>-6</v>
      </c>
      <c r="AR138">
        <v>343</v>
      </c>
      <c r="AZ138" s="3">
        <v>0</v>
      </c>
      <c r="BA138" t="s">
        <v>513</v>
      </c>
      <c r="BB138" t="s">
        <v>514</v>
      </c>
      <c r="BC138" t="s">
        <v>514</v>
      </c>
      <c r="BD138" t="s">
        <v>514</v>
      </c>
      <c r="BE138">
        <v>0</v>
      </c>
      <c r="BF138" t="s">
        <v>514</v>
      </c>
      <c r="BG138" s="3">
        <v>0.31383101851851852</v>
      </c>
      <c r="BH138" s="1">
        <v>45149</v>
      </c>
      <c r="BI138">
        <v>0.18</v>
      </c>
      <c r="BJ138">
        <v>0</v>
      </c>
      <c r="BK138">
        <v>1E-3</v>
      </c>
      <c r="BL138">
        <v>-9999</v>
      </c>
      <c r="BM138">
        <v>0.33600000000000002</v>
      </c>
      <c r="BN138">
        <v>0.372</v>
      </c>
      <c r="BO138">
        <v>-9999</v>
      </c>
      <c r="BP138">
        <v>1</v>
      </c>
      <c r="BQ138">
        <v>150</v>
      </c>
      <c r="BR138">
        <v>5.0000000000000001E-3</v>
      </c>
      <c r="BS138">
        <v>2</v>
      </c>
      <c r="BT138">
        <v>0</v>
      </c>
      <c r="BU138" t="s">
        <v>200</v>
      </c>
      <c r="BV138">
        <v>7000</v>
      </c>
      <c r="BW138">
        <v>500</v>
      </c>
      <c r="BX138">
        <v>5</v>
      </c>
      <c r="BY138">
        <v>2</v>
      </c>
      <c r="BZ138">
        <v>300</v>
      </c>
      <c r="CA138">
        <v>300</v>
      </c>
      <c r="CB138">
        <v>300</v>
      </c>
      <c r="CC138">
        <v>87.271568000000002</v>
      </c>
      <c r="CD138">
        <v>25</v>
      </c>
      <c r="CE138">
        <v>1.5596699999999999</v>
      </c>
      <c r="CF138">
        <v>88.412047999999999</v>
      </c>
      <c r="CG138">
        <v>89.496505999999997</v>
      </c>
      <c r="CH138">
        <v>-1.084457</v>
      </c>
      <c r="CI138">
        <v>2.4817429999999998</v>
      </c>
      <c r="CJ138">
        <v>2.4925639999999998</v>
      </c>
      <c r="CK138">
        <v>1.6661360000000001</v>
      </c>
      <c r="CL138">
        <v>0.94020800000000004</v>
      </c>
      <c r="CM138">
        <v>0.145144</v>
      </c>
      <c r="CN138">
        <v>4.4743999999999999E-2</v>
      </c>
      <c r="CO138">
        <v>0.12365</v>
      </c>
      <c r="CP138">
        <v>1.8083929999999999</v>
      </c>
      <c r="CQ138">
        <v>84.495666999999997</v>
      </c>
      <c r="CR138">
        <v>3.9100000000000002E-4</v>
      </c>
      <c r="CS138">
        <v>2.4333689999999999</v>
      </c>
      <c r="CT138">
        <v>-3.6000000000000001E-5</v>
      </c>
      <c r="CU138">
        <v>1</v>
      </c>
      <c r="CV138">
        <v>2.4396819999999999</v>
      </c>
      <c r="CW138">
        <v>1.1E-5</v>
      </c>
      <c r="CX138">
        <v>1</v>
      </c>
      <c r="CY138">
        <v>0.60025499999999998</v>
      </c>
      <c r="CZ138">
        <v>0.60245199999999999</v>
      </c>
      <c r="DA138">
        <v>0.106742</v>
      </c>
      <c r="DB138">
        <v>0</v>
      </c>
      <c r="DC138" t="s">
        <v>653</v>
      </c>
      <c r="DD138" t="s">
        <v>515</v>
      </c>
      <c r="DE138" t="s">
        <v>516</v>
      </c>
      <c r="DF138" t="s">
        <v>517</v>
      </c>
      <c r="DG138" t="s">
        <v>518</v>
      </c>
      <c r="DH138" t="s">
        <v>205</v>
      </c>
      <c r="DI138" t="s">
        <v>519</v>
      </c>
    </row>
    <row r="139" spans="1:113">
      <c r="A139">
        <v>8</v>
      </c>
      <c r="B139" s="3">
        <v>0.31550925925925927</v>
      </c>
      <c r="C139" s="1">
        <v>45149</v>
      </c>
      <c r="D139" t="s">
        <v>196</v>
      </c>
      <c r="E139" t="s">
        <v>197</v>
      </c>
      <c r="G139">
        <v>8</v>
      </c>
      <c r="J139">
        <v>5.0458000000000003E-2</v>
      </c>
      <c r="K139">
        <v>2.9228420000000002</v>
      </c>
      <c r="L139">
        <v>4.9602E-2</v>
      </c>
      <c r="M139">
        <v>2.7150720000000002</v>
      </c>
      <c r="N139">
        <v>2.1916880000000001</v>
      </c>
      <c r="O139">
        <v>2.1203639999999999</v>
      </c>
      <c r="P139">
        <v>7.1606240000000003</v>
      </c>
      <c r="Q139">
        <v>4.9689360000000002</v>
      </c>
      <c r="R139">
        <v>22.213522000000001</v>
      </c>
      <c r="S139">
        <v>22.960728</v>
      </c>
      <c r="T139">
        <v>75.016677999999999</v>
      </c>
      <c r="U139">
        <v>0.44178600000000001</v>
      </c>
      <c r="V139" t="s">
        <v>654</v>
      </c>
      <c r="W139">
        <v>0</v>
      </c>
      <c r="X139">
        <v>0</v>
      </c>
      <c r="Y139">
        <v>0</v>
      </c>
      <c r="Z139">
        <v>142.645599</v>
      </c>
      <c r="AA139">
        <v>464.00030500000003</v>
      </c>
      <c r="AB139">
        <v>0.69257400000000002</v>
      </c>
      <c r="AC139">
        <v>0.5</v>
      </c>
      <c r="AD139">
        <v>0.8</v>
      </c>
      <c r="AE139">
        <v>106.58111599999999</v>
      </c>
      <c r="AF139">
        <v>27.8</v>
      </c>
      <c r="AG139">
        <v>26.9</v>
      </c>
      <c r="AH139">
        <v>41.15</v>
      </c>
      <c r="AI139">
        <v>39.35</v>
      </c>
      <c r="AJ139">
        <v>95.45</v>
      </c>
      <c r="AK139">
        <v>156.80000000000001</v>
      </c>
      <c r="AL139">
        <v>155.1</v>
      </c>
      <c r="AM139">
        <v>1.1000000000000001</v>
      </c>
      <c r="AN139">
        <v>385</v>
      </c>
      <c r="AO139">
        <v>3.9860000000000002</v>
      </c>
      <c r="AP139">
        <v>35</v>
      </c>
      <c r="AQ139">
        <v>-15</v>
      </c>
      <c r="AR139">
        <v>23</v>
      </c>
      <c r="AZ139" s="3">
        <v>0</v>
      </c>
      <c r="BA139" t="s">
        <v>513</v>
      </c>
      <c r="BB139" t="s">
        <v>514</v>
      </c>
      <c r="BC139" t="s">
        <v>514</v>
      </c>
      <c r="BD139" t="s">
        <v>514</v>
      </c>
      <c r="BE139">
        <v>0</v>
      </c>
      <c r="BF139" t="s">
        <v>514</v>
      </c>
      <c r="BG139" s="3">
        <v>0.31383101851851852</v>
      </c>
      <c r="BH139" s="1">
        <v>45149</v>
      </c>
      <c r="BI139">
        <v>0.18</v>
      </c>
      <c r="BJ139">
        <v>0</v>
      </c>
      <c r="BK139">
        <v>2E-3</v>
      </c>
      <c r="BL139">
        <v>-9999</v>
      </c>
      <c r="BM139">
        <v>1.5840000000000001</v>
      </c>
      <c r="BN139">
        <v>0.41099999999999998</v>
      </c>
      <c r="BO139">
        <v>-9999</v>
      </c>
      <c r="BP139">
        <v>1</v>
      </c>
      <c r="BQ139">
        <v>150</v>
      </c>
      <c r="BR139">
        <v>5.0000000000000001E-3</v>
      </c>
      <c r="BS139">
        <v>2</v>
      </c>
      <c r="BT139">
        <v>0</v>
      </c>
      <c r="BU139" t="s">
        <v>200</v>
      </c>
      <c r="BV139">
        <v>7000</v>
      </c>
      <c r="BW139">
        <v>500</v>
      </c>
      <c r="BX139">
        <v>5</v>
      </c>
      <c r="BY139">
        <v>2</v>
      </c>
      <c r="BZ139">
        <v>300</v>
      </c>
      <c r="CA139">
        <v>300</v>
      </c>
      <c r="CB139">
        <v>300</v>
      </c>
      <c r="CC139">
        <v>430.631866</v>
      </c>
      <c r="CD139">
        <v>25</v>
      </c>
      <c r="CE139">
        <v>-22.952632999999999</v>
      </c>
      <c r="CF139">
        <v>422.31417800000003</v>
      </c>
      <c r="CG139">
        <v>431.25741599999998</v>
      </c>
      <c r="CH139">
        <v>-8.9432369999999999</v>
      </c>
      <c r="CI139">
        <v>2.480232</v>
      </c>
      <c r="CJ139">
        <v>2.4899680000000002</v>
      </c>
      <c r="CK139">
        <v>1.6675880000000001</v>
      </c>
      <c r="CL139">
        <v>0.94000300000000003</v>
      </c>
      <c r="CM139">
        <v>0.145144</v>
      </c>
      <c r="CN139">
        <v>-2.2963999999999998E-2</v>
      </c>
      <c r="CO139">
        <v>0.12545400000000001</v>
      </c>
      <c r="CP139">
        <v>0.44705800000000001</v>
      </c>
      <c r="CQ139">
        <v>142.645599</v>
      </c>
      <c r="CR139">
        <v>3.7599999999999998E-4</v>
      </c>
      <c r="CS139">
        <v>2.4333689999999999</v>
      </c>
      <c r="CT139">
        <v>-3.6000000000000001E-5</v>
      </c>
      <c r="CU139">
        <v>1</v>
      </c>
      <c r="CV139">
        <v>2.4396819999999999</v>
      </c>
      <c r="CW139">
        <v>1.1E-5</v>
      </c>
      <c r="CX139">
        <v>1</v>
      </c>
      <c r="CY139">
        <v>0.60025499999999998</v>
      </c>
      <c r="CZ139">
        <v>0.60245199999999999</v>
      </c>
      <c r="DA139">
        <v>0.106742</v>
      </c>
      <c r="DB139">
        <v>0</v>
      </c>
      <c r="DC139" t="s">
        <v>654</v>
      </c>
      <c r="DD139" t="s">
        <v>515</v>
      </c>
      <c r="DE139" t="s">
        <v>516</v>
      </c>
      <c r="DF139" t="s">
        <v>517</v>
      </c>
      <c r="DG139" t="s">
        <v>518</v>
      </c>
      <c r="DH139" t="s">
        <v>205</v>
      </c>
      <c r="DI139" t="s">
        <v>519</v>
      </c>
    </row>
    <row r="140" spans="1:113">
      <c r="A140">
        <v>9</v>
      </c>
      <c r="B140" s="3">
        <v>0.31579861111111113</v>
      </c>
      <c r="C140" s="1">
        <v>45149</v>
      </c>
      <c r="D140" t="s">
        <v>196</v>
      </c>
      <c r="E140" t="s">
        <v>197</v>
      </c>
      <c r="G140">
        <v>9</v>
      </c>
      <c r="J140">
        <v>4.3550999999999999E-2</v>
      </c>
      <c r="K140">
        <v>2.9221050000000002</v>
      </c>
      <c r="L140">
        <v>4.2910999999999998E-2</v>
      </c>
      <c r="M140">
        <v>3.3322180000000001</v>
      </c>
      <c r="N140">
        <v>2.1504970000000001</v>
      </c>
      <c r="O140">
        <v>2.0628690000000001</v>
      </c>
      <c r="P140">
        <v>9.1251709999999999</v>
      </c>
      <c r="Q140">
        <v>6.9746740000000003</v>
      </c>
      <c r="R140">
        <v>21.610679999999999</v>
      </c>
      <c r="S140">
        <v>22.528669000000001</v>
      </c>
      <c r="T140">
        <v>95.595566000000005</v>
      </c>
      <c r="U140">
        <v>0.44178600000000001</v>
      </c>
      <c r="V140" t="s">
        <v>655</v>
      </c>
      <c r="W140">
        <v>0</v>
      </c>
      <c r="X140">
        <v>0</v>
      </c>
      <c r="Y140">
        <v>0</v>
      </c>
      <c r="Z140">
        <v>94.066497999999996</v>
      </c>
      <c r="AA140">
        <v>104.12442799999999</v>
      </c>
      <c r="AB140">
        <v>9.6595E-2</v>
      </c>
      <c r="AC140">
        <v>0.5</v>
      </c>
      <c r="AD140">
        <v>0.8</v>
      </c>
      <c r="AE140">
        <v>74.954948000000002</v>
      </c>
      <c r="AF140">
        <v>27.31</v>
      </c>
      <c r="AG140">
        <v>26.2</v>
      </c>
      <c r="AH140">
        <v>41.13</v>
      </c>
      <c r="AI140">
        <v>43.94</v>
      </c>
      <c r="AJ140">
        <v>95.46</v>
      </c>
      <c r="AK140">
        <v>156.80000000000001</v>
      </c>
      <c r="AL140">
        <v>155.1</v>
      </c>
      <c r="AM140">
        <v>1</v>
      </c>
      <c r="AN140">
        <v>1940</v>
      </c>
      <c r="AO140">
        <v>3.9860000000000002</v>
      </c>
      <c r="AP140">
        <v>-6</v>
      </c>
      <c r="AQ140">
        <v>-6</v>
      </c>
      <c r="AR140">
        <v>300</v>
      </c>
      <c r="AZ140" s="3">
        <v>0</v>
      </c>
      <c r="BA140" t="s">
        <v>513</v>
      </c>
      <c r="BB140" t="s">
        <v>514</v>
      </c>
      <c r="BC140" t="s">
        <v>514</v>
      </c>
      <c r="BD140" t="s">
        <v>514</v>
      </c>
      <c r="BE140">
        <v>0</v>
      </c>
      <c r="BF140" t="s">
        <v>514</v>
      </c>
      <c r="BG140" s="3">
        <v>0.31383101851851852</v>
      </c>
      <c r="BH140" s="1">
        <v>45149</v>
      </c>
      <c r="BI140">
        <v>0.18</v>
      </c>
      <c r="BJ140">
        <v>0</v>
      </c>
      <c r="BK140">
        <v>-1E-3</v>
      </c>
      <c r="BL140">
        <v>0</v>
      </c>
      <c r="BM140">
        <v>-0.13500000000000001</v>
      </c>
      <c r="BN140">
        <v>-0.19700000000000001</v>
      </c>
      <c r="BO140">
        <v>3.383</v>
      </c>
      <c r="BP140">
        <v>1</v>
      </c>
      <c r="BQ140">
        <v>150</v>
      </c>
      <c r="BR140">
        <v>5.0000000000000001E-3</v>
      </c>
      <c r="BS140">
        <v>2</v>
      </c>
      <c r="BT140">
        <v>0</v>
      </c>
      <c r="BU140" t="s">
        <v>200</v>
      </c>
      <c r="BV140">
        <v>7000</v>
      </c>
      <c r="BW140">
        <v>500</v>
      </c>
      <c r="BX140">
        <v>5</v>
      </c>
      <c r="BY140">
        <v>2</v>
      </c>
      <c r="BZ140">
        <v>300</v>
      </c>
      <c r="CA140">
        <v>300</v>
      </c>
      <c r="CB140">
        <v>300</v>
      </c>
      <c r="CC140">
        <v>104.12442799999999</v>
      </c>
      <c r="CD140">
        <v>25</v>
      </c>
      <c r="CE140">
        <v>2.453198</v>
      </c>
      <c r="CF140">
        <v>106.841324</v>
      </c>
      <c r="CG140">
        <v>107.624016</v>
      </c>
      <c r="CH140">
        <v>-0.78269200000000005</v>
      </c>
      <c r="CI140">
        <v>2.4791349999999999</v>
      </c>
      <c r="CJ140">
        <v>2.4891930000000002</v>
      </c>
      <c r="CK140">
        <v>1.6668099999999999</v>
      </c>
      <c r="CL140">
        <v>0.94013800000000003</v>
      </c>
      <c r="CM140">
        <v>0.14524799999999999</v>
      </c>
      <c r="CN140">
        <v>3.9265000000000001E-2</v>
      </c>
      <c r="CO140">
        <v>0.12879099999999999</v>
      </c>
      <c r="CP140">
        <v>1.8227249999999999</v>
      </c>
      <c r="CQ140">
        <v>94.066497999999996</v>
      </c>
      <c r="CR140">
        <v>3.88E-4</v>
      </c>
      <c r="CS140">
        <v>2.4333689999999999</v>
      </c>
      <c r="CT140">
        <v>-3.6000000000000001E-5</v>
      </c>
      <c r="CU140">
        <v>1</v>
      </c>
      <c r="CV140">
        <v>2.4396819999999999</v>
      </c>
      <c r="CW140">
        <v>1.1E-5</v>
      </c>
      <c r="CX140">
        <v>1</v>
      </c>
      <c r="CY140">
        <v>0.60025499999999998</v>
      </c>
      <c r="CZ140">
        <v>0.60245199999999999</v>
      </c>
      <c r="DA140">
        <v>0.106742</v>
      </c>
      <c r="DB140">
        <v>0</v>
      </c>
      <c r="DC140" t="s">
        <v>655</v>
      </c>
      <c r="DD140" t="s">
        <v>515</v>
      </c>
      <c r="DE140" t="s">
        <v>516</v>
      </c>
      <c r="DF140" t="s">
        <v>517</v>
      </c>
      <c r="DG140" t="s">
        <v>518</v>
      </c>
      <c r="DH140" t="s">
        <v>205</v>
      </c>
      <c r="DI140" t="s">
        <v>519</v>
      </c>
    </row>
    <row r="141" spans="1:113">
      <c r="A141">
        <v>10</v>
      </c>
      <c r="B141" s="3">
        <v>0.31594907407407408</v>
      </c>
      <c r="C141" s="1">
        <v>45149</v>
      </c>
      <c r="D141" t="s">
        <v>196</v>
      </c>
      <c r="E141" t="s">
        <v>197</v>
      </c>
      <c r="G141">
        <v>10</v>
      </c>
      <c r="J141">
        <v>7.3178000000000007E-2</v>
      </c>
      <c r="K141">
        <v>2.9232749999999998</v>
      </c>
      <c r="L141">
        <v>7.1390999999999996E-2</v>
      </c>
      <c r="M141">
        <v>4.94815</v>
      </c>
      <c r="N141">
        <v>2.2279499999999999</v>
      </c>
      <c r="O141">
        <v>2.098052</v>
      </c>
      <c r="P141">
        <v>8.4734210000000001</v>
      </c>
      <c r="Q141">
        <v>6.2454710000000002</v>
      </c>
      <c r="R141">
        <v>21.978570999999999</v>
      </c>
      <c r="S141">
        <v>23.339338000000001</v>
      </c>
      <c r="T141">
        <v>88.765029999999996</v>
      </c>
      <c r="U141">
        <v>0.44178600000000001</v>
      </c>
      <c r="V141" t="s">
        <v>656</v>
      </c>
      <c r="W141">
        <v>0</v>
      </c>
      <c r="X141">
        <v>0</v>
      </c>
      <c r="Y141">
        <v>0</v>
      </c>
      <c r="Z141">
        <v>107.886314</v>
      </c>
      <c r="AA141">
        <v>128.18414300000001</v>
      </c>
      <c r="AB141">
        <v>0.15834899999999999</v>
      </c>
      <c r="AC141">
        <v>0.5</v>
      </c>
      <c r="AD141">
        <v>0.8</v>
      </c>
      <c r="AE141">
        <v>124.795547</v>
      </c>
      <c r="AF141">
        <v>28.31</v>
      </c>
      <c r="AG141">
        <v>26.66</v>
      </c>
      <c r="AH141">
        <v>41.12</v>
      </c>
      <c r="AI141">
        <v>42.52</v>
      </c>
      <c r="AJ141">
        <v>95.46</v>
      </c>
      <c r="AK141">
        <v>156.9</v>
      </c>
      <c r="AL141">
        <v>155.4</v>
      </c>
      <c r="AM141">
        <v>0.9</v>
      </c>
      <c r="AN141">
        <v>1970</v>
      </c>
      <c r="AO141">
        <v>3.9849999999999999</v>
      </c>
      <c r="AP141">
        <v>3</v>
      </c>
      <c r="AQ141">
        <v>-12</v>
      </c>
      <c r="AR141">
        <v>305</v>
      </c>
      <c r="AZ141" s="3">
        <v>0</v>
      </c>
      <c r="BA141" t="s">
        <v>513</v>
      </c>
      <c r="BB141" t="s">
        <v>514</v>
      </c>
      <c r="BC141" t="s">
        <v>514</v>
      </c>
      <c r="BD141" t="s">
        <v>514</v>
      </c>
      <c r="BE141">
        <v>0</v>
      </c>
      <c r="BF141" t="s">
        <v>514</v>
      </c>
      <c r="BG141" s="3">
        <v>0.31383101851851852</v>
      </c>
      <c r="BH141" s="1">
        <v>45149</v>
      </c>
      <c r="BI141">
        <v>0.18</v>
      </c>
      <c r="BJ141">
        <v>0</v>
      </c>
      <c r="BK141">
        <v>0</v>
      </c>
      <c r="BL141">
        <v>0</v>
      </c>
      <c r="BM141">
        <v>-1.335</v>
      </c>
      <c r="BN141">
        <v>-4.4400000000000004</v>
      </c>
      <c r="BO141">
        <v>-23.606000000000002</v>
      </c>
      <c r="BP141">
        <v>1</v>
      </c>
      <c r="BQ141">
        <v>150</v>
      </c>
      <c r="BR141">
        <v>5.0000000000000001E-3</v>
      </c>
      <c r="BS141">
        <v>2</v>
      </c>
      <c r="BT141">
        <v>0</v>
      </c>
      <c r="BU141" t="s">
        <v>200</v>
      </c>
      <c r="BV141">
        <v>7000</v>
      </c>
      <c r="BW141">
        <v>500</v>
      </c>
      <c r="BX141">
        <v>5</v>
      </c>
      <c r="BY141">
        <v>2</v>
      </c>
      <c r="BZ141">
        <v>300</v>
      </c>
      <c r="CA141">
        <v>300</v>
      </c>
      <c r="CB141">
        <v>300</v>
      </c>
      <c r="CC141">
        <v>126.650688</v>
      </c>
      <c r="CD141">
        <v>25</v>
      </c>
      <c r="CE141">
        <v>-0.96169700000000002</v>
      </c>
      <c r="CF141">
        <v>127.79080999999999</v>
      </c>
      <c r="CG141">
        <v>126.812241</v>
      </c>
      <c r="CH141">
        <v>0.97856900000000002</v>
      </c>
      <c r="CI141">
        <v>2.4798680000000002</v>
      </c>
      <c r="CJ141">
        <v>2.490767</v>
      </c>
      <c r="CK141">
        <v>1.6680470000000001</v>
      </c>
      <c r="CL141">
        <v>0.94101000000000001</v>
      </c>
      <c r="CM141">
        <v>0.14532900000000001</v>
      </c>
      <c r="CN141">
        <v>1.9986E-2</v>
      </c>
      <c r="CO141">
        <v>0.13051699999999999</v>
      </c>
      <c r="CP141">
        <v>1.8495619999999999</v>
      </c>
      <c r="CQ141">
        <v>107.886314</v>
      </c>
      <c r="CR141">
        <v>3.7399999999999998E-4</v>
      </c>
      <c r="CS141">
        <v>2.4333689999999999</v>
      </c>
      <c r="CT141">
        <v>-3.6000000000000001E-5</v>
      </c>
      <c r="CU141">
        <v>1</v>
      </c>
      <c r="CV141">
        <v>2.4396819999999999</v>
      </c>
      <c r="CW141">
        <v>1.1E-5</v>
      </c>
      <c r="CX141">
        <v>1</v>
      </c>
      <c r="CY141">
        <v>0.60025499999999998</v>
      </c>
      <c r="CZ141">
        <v>0.60245199999999999</v>
      </c>
      <c r="DA141">
        <v>0.106742</v>
      </c>
      <c r="DB141">
        <v>0</v>
      </c>
      <c r="DC141" t="s">
        <v>656</v>
      </c>
      <c r="DD141" t="s">
        <v>515</v>
      </c>
      <c r="DE141" t="s">
        <v>516</v>
      </c>
      <c r="DF141" t="s">
        <v>517</v>
      </c>
      <c r="DG141" t="s">
        <v>518</v>
      </c>
      <c r="DH141" t="s">
        <v>205</v>
      </c>
      <c r="DI141" t="s">
        <v>519</v>
      </c>
    </row>
    <row r="142" spans="1:113">
      <c r="A142">
        <v>11</v>
      </c>
      <c r="B142" s="3">
        <v>0.31612268518518521</v>
      </c>
      <c r="C142" s="1">
        <v>45149</v>
      </c>
      <c r="D142" t="s">
        <v>196</v>
      </c>
      <c r="E142" t="s">
        <v>197</v>
      </c>
      <c r="G142">
        <v>11</v>
      </c>
      <c r="J142">
        <v>8.4336999999999995E-2</v>
      </c>
      <c r="K142">
        <v>2.9217789999999999</v>
      </c>
      <c r="L142">
        <v>8.1971000000000002E-2</v>
      </c>
      <c r="M142">
        <v>6.1281879999999997</v>
      </c>
      <c r="N142">
        <v>2.2620019999999998</v>
      </c>
      <c r="O142">
        <v>2.1009989999999998</v>
      </c>
      <c r="P142">
        <v>8.9782139999999995</v>
      </c>
      <c r="Q142">
        <v>6.7162119999999996</v>
      </c>
      <c r="R142">
        <v>22.010014999999999</v>
      </c>
      <c r="S142">
        <v>23.696684000000001</v>
      </c>
      <c r="T142">
        <v>94.055565000000001</v>
      </c>
      <c r="U142">
        <v>0.44178600000000001</v>
      </c>
      <c r="V142" t="s">
        <v>657</v>
      </c>
      <c r="W142">
        <v>0</v>
      </c>
      <c r="X142">
        <v>0</v>
      </c>
      <c r="Y142">
        <v>0</v>
      </c>
      <c r="Z142">
        <v>101.304886</v>
      </c>
      <c r="AA142">
        <v>108.99996899999999</v>
      </c>
      <c r="AB142">
        <v>7.0596999999999993E-2</v>
      </c>
      <c r="AC142">
        <v>0.5</v>
      </c>
      <c r="AD142">
        <v>0.8</v>
      </c>
      <c r="AE142">
        <v>54.254303</v>
      </c>
      <c r="AF142">
        <v>28.76</v>
      </c>
      <c r="AG142">
        <v>26.71</v>
      </c>
      <c r="AH142">
        <v>41.11</v>
      </c>
      <c r="AI142">
        <v>43.63</v>
      </c>
      <c r="AJ142">
        <v>95.46</v>
      </c>
      <c r="AK142">
        <v>156.69999999999999</v>
      </c>
      <c r="AL142">
        <v>155.4</v>
      </c>
      <c r="AM142">
        <v>0.8</v>
      </c>
      <c r="AN142">
        <v>1921</v>
      </c>
      <c r="AO142">
        <v>3.9849999999999999</v>
      </c>
      <c r="AP142">
        <v>-4</v>
      </c>
      <c r="AQ142">
        <v>-9</v>
      </c>
      <c r="AR142">
        <v>327</v>
      </c>
      <c r="AZ142" s="3">
        <v>0</v>
      </c>
      <c r="BA142" t="s">
        <v>513</v>
      </c>
      <c r="BB142" t="s">
        <v>514</v>
      </c>
      <c r="BC142" t="s">
        <v>514</v>
      </c>
      <c r="BD142" t="s">
        <v>514</v>
      </c>
      <c r="BE142">
        <v>0</v>
      </c>
      <c r="BF142" t="s">
        <v>514</v>
      </c>
      <c r="BG142" s="3">
        <v>0.31383101851851852</v>
      </c>
      <c r="BH142" s="1">
        <v>45149</v>
      </c>
      <c r="BI142">
        <v>0.18</v>
      </c>
      <c r="BJ142">
        <v>2E-3</v>
      </c>
      <c r="BK142">
        <v>2E-3</v>
      </c>
      <c r="BL142">
        <v>5.0000000000000001E-3</v>
      </c>
      <c r="BM142">
        <v>-6.4569999999999999</v>
      </c>
      <c r="BN142">
        <v>-3.8090000000000002</v>
      </c>
      <c r="BO142">
        <v>7.1050000000000004</v>
      </c>
      <c r="BP142">
        <v>1</v>
      </c>
      <c r="BQ142">
        <v>150</v>
      </c>
      <c r="BR142">
        <v>5.0000000000000001E-3</v>
      </c>
      <c r="BS142">
        <v>2</v>
      </c>
      <c r="BT142">
        <v>0</v>
      </c>
      <c r="BU142" t="s">
        <v>200</v>
      </c>
      <c r="BV142">
        <v>7000</v>
      </c>
      <c r="BW142">
        <v>500</v>
      </c>
      <c r="BX142">
        <v>5</v>
      </c>
      <c r="BY142">
        <v>2</v>
      </c>
      <c r="BZ142">
        <v>300</v>
      </c>
      <c r="CA142">
        <v>300</v>
      </c>
      <c r="CB142">
        <v>300</v>
      </c>
      <c r="CC142">
        <v>108.99996899999999</v>
      </c>
      <c r="CD142">
        <v>25</v>
      </c>
      <c r="CE142">
        <v>3.528359</v>
      </c>
      <c r="CF142">
        <v>110.724808</v>
      </c>
      <c r="CG142">
        <v>114.03331799999999</v>
      </c>
      <c r="CH142">
        <v>-3.3085100000000001</v>
      </c>
      <c r="CI142">
        <v>2.479943</v>
      </c>
      <c r="CJ142">
        <v>2.4914580000000002</v>
      </c>
      <c r="CK142">
        <v>1.6664650000000001</v>
      </c>
      <c r="CL142">
        <v>0.94095200000000001</v>
      </c>
      <c r="CM142">
        <v>0.145366</v>
      </c>
      <c r="CN142">
        <v>3.524E-2</v>
      </c>
      <c r="CO142">
        <v>0.132469</v>
      </c>
      <c r="CP142">
        <v>1.8062210000000001</v>
      </c>
      <c r="CQ142">
        <v>101.304886</v>
      </c>
      <c r="CR142">
        <v>3.79E-4</v>
      </c>
      <c r="CS142">
        <v>2.4333689999999999</v>
      </c>
      <c r="CT142">
        <v>-3.6000000000000001E-5</v>
      </c>
      <c r="CU142">
        <v>1</v>
      </c>
      <c r="CV142">
        <v>2.4396819999999999</v>
      </c>
      <c r="CW142">
        <v>1.1E-5</v>
      </c>
      <c r="CX142">
        <v>1</v>
      </c>
      <c r="CY142">
        <v>0.60025499999999998</v>
      </c>
      <c r="CZ142">
        <v>0.60245199999999999</v>
      </c>
      <c r="DA142">
        <v>0.106742</v>
      </c>
      <c r="DB142">
        <v>0</v>
      </c>
      <c r="DC142" t="s">
        <v>657</v>
      </c>
      <c r="DD142" t="s">
        <v>515</v>
      </c>
      <c r="DE142" t="s">
        <v>516</v>
      </c>
      <c r="DF142" t="s">
        <v>517</v>
      </c>
      <c r="DG142" t="s">
        <v>518</v>
      </c>
      <c r="DH142" t="s">
        <v>205</v>
      </c>
      <c r="DI142" t="s">
        <v>519</v>
      </c>
    </row>
    <row r="143" spans="1:113">
      <c r="A143">
        <v>12</v>
      </c>
      <c r="B143" s="3">
        <v>0.31636574074074075</v>
      </c>
      <c r="C143" s="1">
        <v>45149</v>
      </c>
      <c r="D143" t="s">
        <v>196</v>
      </c>
      <c r="E143" t="s">
        <v>197</v>
      </c>
      <c r="G143">
        <v>12</v>
      </c>
      <c r="J143">
        <v>9.7549999999999998E-3</v>
      </c>
      <c r="K143">
        <v>2.9224839999999999</v>
      </c>
      <c r="L143">
        <v>9.7230000000000007E-3</v>
      </c>
      <c r="M143">
        <v>0.72513799999999995</v>
      </c>
      <c r="N143">
        <v>2.1447940000000001</v>
      </c>
      <c r="O143">
        <v>2.1257290000000002</v>
      </c>
      <c r="P143">
        <v>8.8545789999999993</v>
      </c>
      <c r="Q143">
        <v>6.7097850000000001</v>
      </c>
      <c r="R143">
        <v>22.267507999999999</v>
      </c>
      <c r="S143">
        <v>22.467227999999999</v>
      </c>
      <c r="T143">
        <v>92.753799000000001</v>
      </c>
      <c r="U143">
        <v>0.44178600000000001</v>
      </c>
      <c r="V143" t="s">
        <v>658</v>
      </c>
      <c r="W143">
        <v>0</v>
      </c>
      <c r="X143">
        <v>0</v>
      </c>
      <c r="Y143">
        <v>0</v>
      </c>
      <c r="Z143">
        <v>86.228012000000007</v>
      </c>
      <c r="AA143">
        <v>131.72226000000001</v>
      </c>
      <c r="AB143">
        <v>0.34538000000000002</v>
      </c>
      <c r="AC143">
        <v>0.5</v>
      </c>
      <c r="AD143">
        <v>0.8</v>
      </c>
      <c r="AE143">
        <v>273.08114599999999</v>
      </c>
      <c r="AF143">
        <v>27.26</v>
      </c>
      <c r="AG143">
        <v>27.01</v>
      </c>
      <c r="AH143">
        <v>41.12</v>
      </c>
      <c r="AI143">
        <v>43.36</v>
      </c>
      <c r="AJ143">
        <v>95.46</v>
      </c>
      <c r="AK143">
        <v>156.80000000000001</v>
      </c>
      <c r="AL143">
        <v>154.9</v>
      </c>
      <c r="AM143">
        <v>1.2</v>
      </c>
      <c r="AN143">
        <v>1977</v>
      </c>
      <c r="AO143">
        <v>3.984</v>
      </c>
      <c r="AP143">
        <v>3</v>
      </c>
      <c r="AQ143">
        <v>-3</v>
      </c>
      <c r="AR143">
        <v>3</v>
      </c>
      <c r="AZ143" s="3">
        <v>0</v>
      </c>
      <c r="BA143" t="s">
        <v>513</v>
      </c>
      <c r="BB143" t="s">
        <v>514</v>
      </c>
      <c r="BC143" t="s">
        <v>514</v>
      </c>
      <c r="BD143" t="s">
        <v>514</v>
      </c>
      <c r="BE143">
        <v>0</v>
      </c>
      <c r="BF143" t="s">
        <v>514</v>
      </c>
      <c r="BG143" s="3">
        <v>0.31383101851851852</v>
      </c>
      <c r="BH143" s="1">
        <v>45149</v>
      </c>
      <c r="BI143">
        <v>0.18</v>
      </c>
      <c r="BJ143">
        <v>0</v>
      </c>
      <c r="BK143">
        <v>0</v>
      </c>
      <c r="BL143">
        <v>-1E-3</v>
      </c>
      <c r="BM143">
        <v>-4.7779999999999996</v>
      </c>
      <c r="BN143">
        <v>-3.786</v>
      </c>
      <c r="BO143">
        <v>-11.760999999999999</v>
      </c>
      <c r="BP143">
        <v>1</v>
      </c>
      <c r="BQ143">
        <v>150</v>
      </c>
      <c r="BR143">
        <v>5.0000000000000001E-3</v>
      </c>
      <c r="BS143">
        <v>2</v>
      </c>
      <c r="BT143">
        <v>0</v>
      </c>
      <c r="BU143" t="s">
        <v>200</v>
      </c>
      <c r="BV143">
        <v>7000</v>
      </c>
      <c r="BW143">
        <v>500</v>
      </c>
      <c r="BX143">
        <v>5</v>
      </c>
      <c r="BY143">
        <v>2</v>
      </c>
      <c r="BZ143">
        <v>300</v>
      </c>
      <c r="CA143">
        <v>300</v>
      </c>
      <c r="CB143">
        <v>300</v>
      </c>
      <c r="CC143">
        <v>118.04330400000001</v>
      </c>
      <c r="CD143">
        <v>25</v>
      </c>
      <c r="CE143">
        <v>-13.425331999999999</v>
      </c>
      <c r="CF143">
        <v>107.035515</v>
      </c>
      <c r="CG143">
        <v>112.570465</v>
      </c>
      <c r="CH143">
        <v>-5.5349500000000003</v>
      </c>
      <c r="CI143">
        <v>2.4804140000000001</v>
      </c>
      <c r="CJ143">
        <v>2.4891109999999999</v>
      </c>
      <c r="CK143">
        <v>1.6672100000000001</v>
      </c>
      <c r="CL143">
        <v>0.93970799999999999</v>
      </c>
      <c r="CM143">
        <v>0.14532100000000001</v>
      </c>
      <c r="CN143">
        <v>3.1472E-2</v>
      </c>
      <c r="CO143">
        <v>0.135237</v>
      </c>
      <c r="CP143">
        <v>1.8552310000000001</v>
      </c>
      <c r="CQ143">
        <v>86.228012000000007</v>
      </c>
      <c r="CR143">
        <v>3.8699999999999997E-4</v>
      </c>
      <c r="CS143">
        <v>2.4333689999999999</v>
      </c>
      <c r="CT143">
        <v>-3.6000000000000001E-5</v>
      </c>
      <c r="CU143">
        <v>1</v>
      </c>
      <c r="CV143">
        <v>2.4396819999999999</v>
      </c>
      <c r="CW143">
        <v>1.1E-5</v>
      </c>
      <c r="CX143">
        <v>1</v>
      </c>
      <c r="CY143">
        <v>0.60025499999999998</v>
      </c>
      <c r="CZ143">
        <v>0.60245199999999999</v>
      </c>
      <c r="DA143">
        <v>0.106742</v>
      </c>
      <c r="DB143">
        <v>0</v>
      </c>
      <c r="DC143" t="s">
        <v>658</v>
      </c>
      <c r="DD143" t="s">
        <v>515</v>
      </c>
      <c r="DE143" t="s">
        <v>516</v>
      </c>
      <c r="DF143" t="s">
        <v>517</v>
      </c>
      <c r="DG143" t="s">
        <v>518</v>
      </c>
      <c r="DH143" t="s">
        <v>205</v>
      </c>
      <c r="DI143" t="s">
        <v>519</v>
      </c>
    </row>
    <row r="144" spans="1:113">
      <c r="A144">
        <v>1</v>
      </c>
      <c r="B144" s="3">
        <v>0.44390046296296298</v>
      </c>
      <c r="C144" s="1">
        <v>45149</v>
      </c>
      <c r="D144" t="s">
        <v>196</v>
      </c>
      <c r="E144" t="s">
        <v>197</v>
      </c>
      <c r="G144">
        <v>1</v>
      </c>
      <c r="J144">
        <v>2.7089999999999999E-2</v>
      </c>
      <c r="K144">
        <v>2.9209740000000002</v>
      </c>
      <c r="L144">
        <v>2.6841E-2</v>
      </c>
      <c r="M144">
        <v>1.6228020000000001</v>
      </c>
      <c r="N144">
        <v>2.1419039999999998</v>
      </c>
      <c r="O144">
        <v>2.0992109999999999</v>
      </c>
      <c r="P144">
        <v>7.6149050000000003</v>
      </c>
      <c r="Q144">
        <v>5.473001</v>
      </c>
      <c r="R144">
        <v>22.003736</v>
      </c>
      <c r="S144">
        <v>22.451236999999999</v>
      </c>
      <c r="T144">
        <v>79.818725999999998</v>
      </c>
      <c r="U144">
        <v>0.44178600000000001</v>
      </c>
      <c r="V144" t="s">
        <v>659</v>
      </c>
      <c r="W144">
        <v>0</v>
      </c>
      <c r="X144">
        <v>0</v>
      </c>
      <c r="Y144">
        <v>0</v>
      </c>
      <c r="Z144">
        <v>81.837058999999996</v>
      </c>
      <c r="AA144">
        <v>135.439728</v>
      </c>
      <c r="AB144">
        <v>0.39576800000000001</v>
      </c>
      <c r="AC144">
        <v>0.5</v>
      </c>
      <c r="AD144">
        <v>0.8</v>
      </c>
      <c r="AE144">
        <v>246.78706399999999</v>
      </c>
      <c r="AF144">
        <v>31.48</v>
      </c>
      <c r="AG144">
        <v>30.86</v>
      </c>
      <c r="AH144">
        <v>38.4</v>
      </c>
      <c r="AI144">
        <v>40.5</v>
      </c>
      <c r="AJ144">
        <v>95.4</v>
      </c>
      <c r="AK144">
        <v>156.6</v>
      </c>
      <c r="AL144">
        <v>155.4</v>
      </c>
      <c r="AM144">
        <v>0.8</v>
      </c>
      <c r="AN144">
        <v>1559</v>
      </c>
      <c r="AO144">
        <v>3.9860000000000002</v>
      </c>
      <c r="AP144">
        <v>18</v>
      </c>
      <c r="AQ144">
        <v>-4</v>
      </c>
      <c r="AR144">
        <v>76</v>
      </c>
      <c r="AZ144" s="3">
        <v>0</v>
      </c>
      <c r="BA144" t="s">
        <v>513</v>
      </c>
      <c r="BB144" t="s">
        <v>514</v>
      </c>
      <c r="BC144" t="s">
        <v>514</v>
      </c>
      <c r="BD144" t="s">
        <v>514</v>
      </c>
      <c r="BE144">
        <v>0</v>
      </c>
      <c r="BF144" t="s">
        <v>514</v>
      </c>
      <c r="BG144" s="3">
        <v>0.44375000000000003</v>
      </c>
      <c r="BH144" s="1">
        <v>45149</v>
      </c>
      <c r="BI144">
        <v>-0.25</v>
      </c>
      <c r="BJ144">
        <v>1E-3</v>
      </c>
      <c r="BK144">
        <v>1E-3</v>
      </c>
      <c r="BL144">
        <v>-9999</v>
      </c>
      <c r="BM144">
        <v>1.323</v>
      </c>
      <c r="BN144">
        <v>1.6859999999999999</v>
      </c>
      <c r="BO144">
        <v>-9999</v>
      </c>
      <c r="BP144">
        <v>1</v>
      </c>
      <c r="BQ144">
        <v>150</v>
      </c>
      <c r="BR144">
        <v>5.0000000000000001E-3</v>
      </c>
      <c r="BS144">
        <v>2</v>
      </c>
      <c r="BT144">
        <v>0</v>
      </c>
      <c r="BU144" t="s">
        <v>200</v>
      </c>
      <c r="BV144">
        <v>7000</v>
      </c>
      <c r="BW144">
        <v>500</v>
      </c>
      <c r="BX144">
        <v>5</v>
      </c>
      <c r="BY144">
        <v>2</v>
      </c>
      <c r="BZ144">
        <v>300</v>
      </c>
      <c r="CA144">
        <v>300</v>
      </c>
      <c r="CB144">
        <v>300</v>
      </c>
      <c r="CC144">
        <v>126.812698</v>
      </c>
      <c r="CD144">
        <v>25</v>
      </c>
      <c r="CE144">
        <v>-6.2588109999999997</v>
      </c>
      <c r="CF144">
        <v>124.464508</v>
      </c>
      <c r="CG144">
        <v>126.511276</v>
      </c>
      <c r="CH144">
        <v>-2.0467680000000001</v>
      </c>
      <c r="CI144">
        <v>2.4867330000000001</v>
      </c>
      <c r="CJ144">
        <v>2.4965920000000001</v>
      </c>
      <c r="CK144">
        <v>1.665616</v>
      </c>
      <c r="CL144">
        <v>0.94095799999999996</v>
      </c>
      <c r="CM144">
        <v>0.161249</v>
      </c>
      <c r="CN144">
        <v>2.8513E-2</v>
      </c>
      <c r="CO144">
        <v>7.1276999999999993E-2</v>
      </c>
      <c r="CP144">
        <v>1.4856990000000001</v>
      </c>
      <c r="CQ144">
        <v>81.837058999999996</v>
      </c>
      <c r="CR144">
        <v>3.7199999999999999E-4</v>
      </c>
      <c r="CS144">
        <v>2.4333689999999999</v>
      </c>
      <c r="CT144">
        <v>-3.6000000000000001E-5</v>
      </c>
      <c r="CU144">
        <v>1</v>
      </c>
      <c r="CV144">
        <v>2.4396819999999999</v>
      </c>
      <c r="CW144">
        <v>1.1E-5</v>
      </c>
      <c r="CX144">
        <v>1</v>
      </c>
      <c r="CY144">
        <v>0.60025499999999998</v>
      </c>
      <c r="CZ144">
        <v>0.60245199999999999</v>
      </c>
      <c r="DA144">
        <v>0.106742</v>
      </c>
      <c r="DB144">
        <v>0</v>
      </c>
      <c r="DC144" t="s">
        <v>659</v>
      </c>
      <c r="DD144" t="s">
        <v>515</v>
      </c>
      <c r="DE144" t="s">
        <v>516</v>
      </c>
      <c r="DF144" t="s">
        <v>517</v>
      </c>
      <c r="DG144" t="s">
        <v>518</v>
      </c>
      <c r="DH144" t="s">
        <v>205</v>
      </c>
      <c r="DI144" t="s">
        <v>519</v>
      </c>
    </row>
    <row r="145" spans="1:113">
      <c r="A145">
        <v>2</v>
      </c>
      <c r="B145" s="3">
        <v>0.44407407407407407</v>
      </c>
      <c r="C145" s="1">
        <v>45149</v>
      </c>
      <c r="D145" t="s">
        <v>196</v>
      </c>
      <c r="E145" t="s">
        <v>197</v>
      </c>
      <c r="G145">
        <v>2</v>
      </c>
      <c r="J145">
        <v>1.6636999999999999E-2</v>
      </c>
      <c r="K145">
        <v>2.923448</v>
      </c>
      <c r="L145">
        <v>1.6542000000000001E-2</v>
      </c>
      <c r="M145">
        <v>0.99365999999999999</v>
      </c>
      <c r="N145">
        <v>2.1757659999999999</v>
      </c>
      <c r="O145">
        <v>2.1496879999999998</v>
      </c>
      <c r="P145">
        <v>7.6118670000000002</v>
      </c>
      <c r="Q145">
        <v>5.4361009999999998</v>
      </c>
      <c r="R145">
        <v>22.534776999999998</v>
      </c>
      <c r="S145">
        <v>22.808149</v>
      </c>
      <c r="T145">
        <v>79.793769999999995</v>
      </c>
      <c r="U145">
        <v>0.44178600000000001</v>
      </c>
      <c r="V145" t="s">
        <v>660</v>
      </c>
      <c r="W145">
        <v>0</v>
      </c>
      <c r="X145">
        <v>0</v>
      </c>
      <c r="Y145">
        <v>0</v>
      </c>
      <c r="Z145">
        <v>79.576851000000005</v>
      </c>
      <c r="AA145">
        <v>101.73719</v>
      </c>
      <c r="AB145">
        <v>0.21781900000000001</v>
      </c>
      <c r="AC145">
        <v>0.5</v>
      </c>
      <c r="AD145">
        <v>0.8</v>
      </c>
      <c r="AE145">
        <v>13.239952000000001</v>
      </c>
      <c r="AF145">
        <v>31.9</v>
      </c>
      <c r="AG145">
        <v>31.52</v>
      </c>
      <c r="AH145">
        <v>38.450000000000003</v>
      </c>
      <c r="AI145">
        <v>40.49</v>
      </c>
      <c r="AJ145">
        <v>95.39</v>
      </c>
      <c r="AK145">
        <v>156.9</v>
      </c>
      <c r="AL145">
        <v>153.9</v>
      </c>
      <c r="AM145">
        <v>1.9</v>
      </c>
      <c r="AN145">
        <v>152</v>
      </c>
      <c r="AO145">
        <v>3.9820000000000002</v>
      </c>
      <c r="AP145">
        <v>46</v>
      </c>
      <c r="AQ145">
        <v>-23</v>
      </c>
      <c r="AR145">
        <v>89</v>
      </c>
      <c r="AZ145" s="3">
        <v>0</v>
      </c>
      <c r="BA145" t="s">
        <v>513</v>
      </c>
      <c r="BB145" t="s">
        <v>514</v>
      </c>
      <c r="BC145" t="s">
        <v>514</v>
      </c>
      <c r="BD145" t="s">
        <v>514</v>
      </c>
      <c r="BE145">
        <v>0</v>
      </c>
      <c r="BF145" t="s">
        <v>514</v>
      </c>
      <c r="BG145" s="3">
        <v>0.44375000000000003</v>
      </c>
      <c r="BH145" s="1">
        <v>45149</v>
      </c>
      <c r="BI145">
        <v>-0.25</v>
      </c>
      <c r="BJ145">
        <v>2E-3</v>
      </c>
      <c r="BK145">
        <v>1E-3</v>
      </c>
      <c r="BL145">
        <v>-9999</v>
      </c>
      <c r="BM145">
        <v>4.2430000000000003</v>
      </c>
      <c r="BN145">
        <v>-0.53300000000000003</v>
      </c>
      <c r="BO145">
        <v>-9999</v>
      </c>
      <c r="BP145">
        <v>1</v>
      </c>
      <c r="BQ145">
        <v>150</v>
      </c>
      <c r="BR145">
        <v>5.0000000000000001E-3</v>
      </c>
      <c r="BS145">
        <v>2</v>
      </c>
      <c r="BT145">
        <v>0</v>
      </c>
      <c r="BU145" t="s">
        <v>200</v>
      </c>
      <c r="BV145">
        <v>7000</v>
      </c>
      <c r="BW145">
        <v>500</v>
      </c>
      <c r="BX145">
        <v>5</v>
      </c>
      <c r="BY145">
        <v>2</v>
      </c>
      <c r="BZ145">
        <v>300</v>
      </c>
      <c r="CA145">
        <v>300</v>
      </c>
      <c r="CB145">
        <v>300</v>
      </c>
      <c r="CC145">
        <v>100.479485</v>
      </c>
      <c r="CD145">
        <v>25</v>
      </c>
      <c r="CE145">
        <v>-0.80156700000000003</v>
      </c>
      <c r="CF145">
        <v>100.56102</v>
      </c>
      <c r="CG145">
        <v>100.59371899999999</v>
      </c>
      <c r="CH145">
        <v>-3.27E-2</v>
      </c>
      <c r="CI145">
        <v>2.4877449999999999</v>
      </c>
      <c r="CJ145">
        <v>2.4972310000000002</v>
      </c>
      <c r="CK145">
        <v>1.6682300000000001</v>
      </c>
      <c r="CL145">
        <v>0.93708000000000002</v>
      </c>
      <c r="CM145">
        <v>0.160964</v>
      </c>
      <c r="CN145">
        <v>2.7813000000000001E-2</v>
      </c>
      <c r="CO145">
        <v>7.3871999999999993E-2</v>
      </c>
      <c r="CP145">
        <v>0.24116000000000001</v>
      </c>
      <c r="CQ145">
        <v>79.576851000000005</v>
      </c>
      <c r="CR145">
        <v>3.77E-4</v>
      </c>
      <c r="CS145">
        <v>2.4333689999999999</v>
      </c>
      <c r="CT145">
        <v>-3.6000000000000001E-5</v>
      </c>
      <c r="CU145">
        <v>1</v>
      </c>
      <c r="CV145">
        <v>2.4396819999999999</v>
      </c>
      <c r="CW145">
        <v>1.1E-5</v>
      </c>
      <c r="CX145">
        <v>1</v>
      </c>
      <c r="CY145">
        <v>0.60025499999999998</v>
      </c>
      <c r="CZ145">
        <v>0.60245199999999999</v>
      </c>
      <c r="DA145">
        <v>0.106742</v>
      </c>
      <c r="DB145">
        <v>0</v>
      </c>
      <c r="DC145" t="s">
        <v>660</v>
      </c>
      <c r="DD145" t="s">
        <v>515</v>
      </c>
      <c r="DE145" t="s">
        <v>516</v>
      </c>
      <c r="DF145" t="s">
        <v>517</v>
      </c>
      <c r="DG145" t="s">
        <v>518</v>
      </c>
      <c r="DH145" t="s">
        <v>205</v>
      </c>
      <c r="DI145" t="s">
        <v>519</v>
      </c>
    </row>
    <row r="146" spans="1:113">
      <c r="A146">
        <v>3</v>
      </c>
      <c r="B146" s="3">
        <v>0.44422453703703701</v>
      </c>
      <c r="C146" s="1">
        <v>45149</v>
      </c>
      <c r="D146" t="s">
        <v>196</v>
      </c>
      <c r="E146" t="s">
        <v>197</v>
      </c>
      <c r="G146">
        <v>3</v>
      </c>
      <c r="J146">
        <v>1.261E-2</v>
      </c>
      <c r="K146">
        <v>2.921872</v>
      </c>
      <c r="L146">
        <v>1.2555999999999999E-2</v>
      </c>
      <c r="M146">
        <v>0.83731699999999998</v>
      </c>
      <c r="N146">
        <v>2.1519400000000002</v>
      </c>
      <c r="O146">
        <v>2.1299320000000002</v>
      </c>
      <c r="P146">
        <v>8.1692970000000003</v>
      </c>
      <c r="Q146">
        <v>6.0173579999999998</v>
      </c>
      <c r="R146">
        <v>22.327967000000001</v>
      </c>
      <c r="S146">
        <v>22.558674</v>
      </c>
      <c r="T146">
        <v>85.638328999999999</v>
      </c>
      <c r="U146">
        <v>0.44178600000000001</v>
      </c>
      <c r="V146" t="s">
        <v>661</v>
      </c>
      <c r="W146">
        <v>0</v>
      </c>
      <c r="X146">
        <v>0</v>
      </c>
      <c r="Y146">
        <v>0</v>
      </c>
      <c r="Z146">
        <v>89.818595999999999</v>
      </c>
      <c r="AA146">
        <v>101.089119</v>
      </c>
      <c r="AB146">
        <v>0.11149100000000001</v>
      </c>
      <c r="AC146">
        <v>0.5</v>
      </c>
      <c r="AD146">
        <v>0.8</v>
      </c>
      <c r="AE146">
        <v>72.353012000000007</v>
      </c>
      <c r="AF146">
        <v>31.5</v>
      </c>
      <c r="AG146">
        <v>31.17</v>
      </c>
      <c r="AH146">
        <v>38.479999999999997</v>
      </c>
      <c r="AI146">
        <v>41.83</v>
      </c>
      <c r="AJ146">
        <v>95.39</v>
      </c>
      <c r="AK146">
        <v>156.69999999999999</v>
      </c>
      <c r="AL146">
        <v>155.4</v>
      </c>
      <c r="AM146">
        <v>0.8</v>
      </c>
      <c r="AN146">
        <v>1622</v>
      </c>
      <c r="AO146">
        <v>3.9870000000000001</v>
      </c>
      <c r="AP146">
        <v>29</v>
      </c>
      <c r="AQ146">
        <v>-23</v>
      </c>
      <c r="AR146">
        <v>84</v>
      </c>
      <c r="AZ146" s="3">
        <v>0</v>
      </c>
      <c r="BA146" t="s">
        <v>513</v>
      </c>
      <c r="BB146" t="s">
        <v>514</v>
      </c>
      <c r="BC146" t="s">
        <v>514</v>
      </c>
      <c r="BD146" t="s">
        <v>514</v>
      </c>
      <c r="BE146">
        <v>0</v>
      </c>
      <c r="BF146" t="s">
        <v>514</v>
      </c>
      <c r="BG146" s="3">
        <v>0.44375000000000003</v>
      </c>
      <c r="BH146" s="1">
        <v>45149</v>
      </c>
      <c r="BI146">
        <v>-0.25</v>
      </c>
      <c r="BJ146">
        <v>1E-3</v>
      </c>
      <c r="BK146">
        <v>0</v>
      </c>
      <c r="BL146">
        <v>0</v>
      </c>
      <c r="BM146">
        <v>-2.105</v>
      </c>
      <c r="BN146">
        <v>0.497</v>
      </c>
      <c r="BO146">
        <v>18.236999999999998</v>
      </c>
      <c r="BP146">
        <v>1</v>
      </c>
      <c r="BQ146">
        <v>150</v>
      </c>
      <c r="BR146">
        <v>5.0000000000000001E-3</v>
      </c>
      <c r="BS146">
        <v>2</v>
      </c>
      <c r="BT146">
        <v>0</v>
      </c>
      <c r="BU146" t="s">
        <v>200</v>
      </c>
      <c r="BV146">
        <v>7000</v>
      </c>
      <c r="BW146">
        <v>500</v>
      </c>
      <c r="BX146">
        <v>5</v>
      </c>
      <c r="BY146">
        <v>2</v>
      </c>
      <c r="BZ146">
        <v>300</v>
      </c>
      <c r="CA146">
        <v>300</v>
      </c>
      <c r="CB146">
        <v>300</v>
      </c>
      <c r="CC146">
        <v>98.843338000000003</v>
      </c>
      <c r="CD146">
        <v>25</v>
      </c>
      <c r="CE146">
        <v>-1.4640489999999999</v>
      </c>
      <c r="CF146">
        <v>98.418471999999994</v>
      </c>
      <c r="CG146">
        <v>99.000595000000004</v>
      </c>
      <c r="CH146">
        <v>-0.58212299999999995</v>
      </c>
      <c r="CI146">
        <v>2.4872100000000001</v>
      </c>
      <c r="CJ146">
        <v>2.4966029999999999</v>
      </c>
      <c r="CK146">
        <v>1.6665639999999999</v>
      </c>
      <c r="CL146">
        <v>0.94091400000000003</v>
      </c>
      <c r="CM146">
        <v>0.16075900000000001</v>
      </c>
      <c r="CN146">
        <v>4.5333999999999999E-2</v>
      </c>
      <c r="CO146">
        <v>7.6085E-2</v>
      </c>
      <c r="CP146">
        <v>1.5418529999999999</v>
      </c>
      <c r="CQ146">
        <v>89.818595999999999</v>
      </c>
      <c r="CR146">
        <v>3.88E-4</v>
      </c>
      <c r="CS146">
        <v>2.4333689999999999</v>
      </c>
      <c r="CT146">
        <v>-3.6000000000000001E-5</v>
      </c>
      <c r="CU146">
        <v>1</v>
      </c>
      <c r="CV146">
        <v>2.4396819999999999</v>
      </c>
      <c r="CW146">
        <v>1.1E-5</v>
      </c>
      <c r="CX146">
        <v>1</v>
      </c>
      <c r="CY146">
        <v>0.60025499999999998</v>
      </c>
      <c r="CZ146">
        <v>0.60245199999999999</v>
      </c>
      <c r="DA146">
        <v>0.106742</v>
      </c>
      <c r="DB146">
        <v>0</v>
      </c>
      <c r="DC146" t="s">
        <v>661</v>
      </c>
      <c r="DD146" t="s">
        <v>515</v>
      </c>
      <c r="DE146" t="s">
        <v>516</v>
      </c>
      <c r="DF146" t="s">
        <v>517</v>
      </c>
      <c r="DG146" t="s">
        <v>518</v>
      </c>
      <c r="DH146" t="s">
        <v>205</v>
      </c>
      <c r="DI146" t="s">
        <v>519</v>
      </c>
    </row>
    <row r="147" spans="1:113">
      <c r="A147">
        <v>4</v>
      </c>
      <c r="B147" s="3">
        <v>0.4443981481481481</v>
      </c>
      <c r="C147" s="1">
        <v>45149</v>
      </c>
      <c r="D147" t="s">
        <v>196</v>
      </c>
      <c r="E147" t="s">
        <v>197</v>
      </c>
      <c r="G147">
        <v>4</v>
      </c>
      <c r="J147">
        <v>1.7791000000000001E-2</v>
      </c>
      <c r="K147">
        <v>2.9209649999999998</v>
      </c>
      <c r="L147">
        <v>1.7683000000000001E-2</v>
      </c>
      <c r="M147">
        <v>1.330355</v>
      </c>
      <c r="N147">
        <v>2.1494650000000002</v>
      </c>
      <c r="O147">
        <v>2.1144729999999998</v>
      </c>
      <c r="P147">
        <v>8.9098480000000002</v>
      </c>
      <c r="Q147">
        <v>6.760383</v>
      </c>
      <c r="R147">
        <v>22.166439</v>
      </c>
      <c r="S147">
        <v>22.533266000000001</v>
      </c>
      <c r="T147">
        <v>93.403694000000002</v>
      </c>
      <c r="U147">
        <v>0.44178600000000001</v>
      </c>
      <c r="V147" t="s">
        <v>662</v>
      </c>
      <c r="W147">
        <v>0</v>
      </c>
      <c r="X147">
        <v>0</v>
      </c>
      <c r="Y147">
        <v>0</v>
      </c>
      <c r="Z147">
        <v>97.013000000000005</v>
      </c>
      <c r="AA147">
        <v>105.365036</v>
      </c>
      <c r="AB147">
        <v>7.9268000000000005E-2</v>
      </c>
      <c r="AC147">
        <v>0.5</v>
      </c>
      <c r="AD147">
        <v>0.8</v>
      </c>
      <c r="AE147">
        <v>58.639088000000001</v>
      </c>
      <c r="AF147">
        <v>31.38</v>
      </c>
      <c r="AG147">
        <v>30.87</v>
      </c>
      <c r="AH147">
        <v>38.53</v>
      </c>
      <c r="AI147">
        <v>43.48</v>
      </c>
      <c r="AJ147">
        <v>95.39</v>
      </c>
      <c r="AK147">
        <v>156.6</v>
      </c>
      <c r="AL147">
        <v>155.1</v>
      </c>
      <c r="AM147">
        <v>1</v>
      </c>
      <c r="AN147">
        <v>1849</v>
      </c>
      <c r="AO147">
        <v>3.9780000000000002</v>
      </c>
      <c r="AP147">
        <v>43</v>
      </c>
      <c r="AQ147">
        <v>-28</v>
      </c>
      <c r="AR147">
        <v>40</v>
      </c>
      <c r="AZ147" s="3">
        <v>0</v>
      </c>
      <c r="BA147" t="s">
        <v>513</v>
      </c>
      <c r="BB147">
        <v>38.493378</v>
      </c>
      <c r="BC147">
        <v>-1.3630580000000001</v>
      </c>
      <c r="BD147">
        <v>608.09997599999997</v>
      </c>
      <c r="BE147">
        <v>5</v>
      </c>
      <c r="BF147">
        <v>1.49</v>
      </c>
      <c r="BG147" s="3">
        <v>0.44375000000000003</v>
      </c>
      <c r="BH147" s="1">
        <v>45149</v>
      </c>
      <c r="BI147">
        <v>-0.25</v>
      </c>
      <c r="BJ147">
        <v>0</v>
      </c>
      <c r="BK147">
        <v>0</v>
      </c>
      <c r="BL147">
        <v>-9999</v>
      </c>
      <c r="BM147">
        <v>0.105</v>
      </c>
      <c r="BN147">
        <v>6.5000000000000002E-2</v>
      </c>
      <c r="BO147">
        <v>-9999</v>
      </c>
      <c r="BP147">
        <v>1</v>
      </c>
      <c r="BQ147">
        <v>150</v>
      </c>
      <c r="BR147">
        <v>5.0000000000000001E-3</v>
      </c>
      <c r="BS147">
        <v>2</v>
      </c>
      <c r="BT147">
        <v>0</v>
      </c>
      <c r="BU147" t="s">
        <v>200</v>
      </c>
      <c r="BV147">
        <v>7000</v>
      </c>
      <c r="BW147">
        <v>500</v>
      </c>
      <c r="BX147">
        <v>5</v>
      </c>
      <c r="BY147">
        <v>2</v>
      </c>
      <c r="BZ147">
        <v>300</v>
      </c>
      <c r="CA147">
        <v>300</v>
      </c>
      <c r="CB147">
        <v>300</v>
      </c>
      <c r="CC147">
        <v>105.365036</v>
      </c>
      <c r="CD147">
        <v>25</v>
      </c>
      <c r="CE147">
        <v>2.1439170000000001</v>
      </c>
      <c r="CF147">
        <v>107.64849100000001</v>
      </c>
      <c r="CG147">
        <v>108.423424</v>
      </c>
      <c r="CH147">
        <v>-0.77493299999999998</v>
      </c>
      <c r="CI147">
        <v>2.4867360000000001</v>
      </c>
      <c r="CJ147">
        <v>2.4964200000000001</v>
      </c>
      <c r="CK147">
        <v>1.6656070000000001</v>
      </c>
      <c r="CL147">
        <v>0.94013599999999997</v>
      </c>
      <c r="CM147">
        <v>0.160472</v>
      </c>
      <c r="CN147">
        <v>6.7394999999999997E-2</v>
      </c>
      <c r="CO147">
        <v>7.8416E-2</v>
      </c>
      <c r="CP147">
        <v>1.7426539999999999</v>
      </c>
      <c r="CQ147">
        <v>97.013000000000005</v>
      </c>
      <c r="CR147">
        <v>3.9199999999999999E-4</v>
      </c>
      <c r="CS147">
        <v>2.4333689999999999</v>
      </c>
      <c r="CT147">
        <v>-3.6000000000000001E-5</v>
      </c>
      <c r="CU147">
        <v>1</v>
      </c>
      <c r="CV147">
        <v>2.4396819999999999</v>
      </c>
      <c r="CW147">
        <v>1.1E-5</v>
      </c>
      <c r="CX147">
        <v>1</v>
      </c>
      <c r="CY147">
        <v>0.60025499999999998</v>
      </c>
      <c r="CZ147">
        <v>0.60245199999999999</v>
      </c>
      <c r="DA147">
        <v>0.106742</v>
      </c>
      <c r="DB147">
        <v>0</v>
      </c>
      <c r="DC147" t="s">
        <v>662</v>
      </c>
      <c r="DD147" t="s">
        <v>515</v>
      </c>
      <c r="DE147" t="s">
        <v>516</v>
      </c>
      <c r="DF147" t="s">
        <v>517</v>
      </c>
      <c r="DG147" t="s">
        <v>518</v>
      </c>
      <c r="DH147" t="s">
        <v>205</v>
      </c>
      <c r="DI147" t="s">
        <v>519</v>
      </c>
    </row>
    <row r="148" spans="1:113">
      <c r="A148">
        <v>5</v>
      </c>
      <c r="B148" s="3">
        <v>0.44743055555555555</v>
      </c>
      <c r="C148" s="1">
        <v>45149</v>
      </c>
      <c r="D148" t="s">
        <v>196</v>
      </c>
      <c r="E148" t="s">
        <v>197</v>
      </c>
      <c r="G148">
        <v>5</v>
      </c>
      <c r="J148">
        <v>8.2054000000000002E-2</v>
      </c>
      <c r="K148">
        <v>2.9210590000000001</v>
      </c>
      <c r="L148">
        <v>7.9811999999999994E-2</v>
      </c>
      <c r="M148">
        <v>3.930272</v>
      </c>
      <c r="N148">
        <v>2.3209759999999999</v>
      </c>
      <c r="O148">
        <v>2.2178049999999998</v>
      </c>
      <c r="P148">
        <v>6.7936209999999999</v>
      </c>
      <c r="Q148">
        <v>4.472645</v>
      </c>
      <c r="R148">
        <v>23.251453000000001</v>
      </c>
      <c r="S148">
        <v>24.333096999999999</v>
      </c>
      <c r="T148">
        <v>71.224273999999994</v>
      </c>
      <c r="U148">
        <v>0.44178600000000001</v>
      </c>
      <c r="V148" t="s">
        <v>663</v>
      </c>
      <c r="W148">
        <v>0</v>
      </c>
      <c r="X148">
        <v>0</v>
      </c>
      <c r="Y148">
        <v>0</v>
      </c>
      <c r="Z148">
        <v>119.788887</v>
      </c>
      <c r="AA148">
        <v>408.71618699999999</v>
      </c>
      <c r="AB148">
        <v>0.70691400000000004</v>
      </c>
      <c r="AC148">
        <v>0.5</v>
      </c>
      <c r="AD148">
        <v>0.8</v>
      </c>
      <c r="AE148">
        <v>22.114061</v>
      </c>
      <c r="AF148">
        <v>33.74</v>
      </c>
      <c r="AG148">
        <v>32.24</v>
      </c>
      <c r="AH148">
        <v>38.61</v>
      </c>
      <c r="AI148">
        <v>38.369999999999997</v>
      </c>
      <c r="AJ148">
        <v>95.38</v>
      </c>
      <c r="AK148">
        <v>156.6</v>
      </c>
      <c r="AL148">
        <v>155.1</v>
      </c>
      <c r="AM148">
        <v>0.9</v>
      </c>
      <c r="AN148">
        <v>78</v>
      </c>
      <c r="AO148">
        <v>3.9780000000000002</v>
      </c>
      <c r="AP148">
        <v>44</v>
      </c>
      <c r="AQ148">
        <v>-19</v>
      </c>
      <c r="AR148">
        <v>202</v>
      </c>
      <c r="AS148">
        <v>94.38</v>
      </c>
      <c r="AT148">
        <v>-9999</v>
      </c>
      <c r="AU148">
        <v>47.14</v>
      </c>
      <c r="AV148">
        <v>-131.63</v>
      </c>
      <c r="AW148">
        <v>15.2</v>
      </c>
      <c r="AX148">
        <v>258.41000000000003</v>
      </c>
      <c r="AY148">
        <v>51.69</v>
      </c>
      <c r="AZ148" s="3">
        <v>0.65425925925925921</v>
      </c>
      <c r="BA148" s="1">
        <v>45149</v>
      </c>
      <c r="BB148">
        <v>38.493361999999998</v>
      </c>
      <c r="BC148">
        <v>-1.3630720000000001</v>
      </c>
      <c r="BD148">
        <v>607.59997599999997</v>
      </c>
      <c r="BE148">
        <v>5</v>
      </c>
      <c r="BF148">
        <v>1.49</v>
      </c>
      <c r="BG148" s="3">
        <v>0.44375000000000003</v>
      </c>
      <c r="BH148" s="1">
        <v>45149</v>
      </c>
      <c r="BI148">
        <v>-0.25</v>
      </c>
      <c r="BJ148">
        <v>0</v>
      </c>
      <c r="BK148">
        <v>0</v>
      </c>
      <c r="BL148">
        <v>-9999</v>
      </c>
      <c r="BM148">
        <v>0.92900000000000005</v>
      </c>
      <c r="BN148">
        <v>2.399</v>
      </c>
      <c r="BO148">
        <v>-9999</v>
      </c>
      <c r="BP148">
        <v>1</v>
      </c>
      <c r="BQ148">
        <v>150</v>
      </c>
      <c r="BR148">
        <v>5.0000000000000001E-3</v>
      </c>
      <c r="BS148">
        <v>2</v>
      </c>
      <c r="BT148">
        <v>0</v>
      </c>
      <c r="BU148" t="s">
        <v>200</v>
      </c>
      <c r="BV148">
        <v>7000</v>
      </c>
      <c r="BW148">
        <v>500</v>
      </c>
      <c r="BX148">
        <v>5</v>
      </c>
      <c r="BY148">
        <v>2</v>
      </c>
      <c r="BZ148">
        <v>300</v>
      </c>
      <c r="CA148">
        <v>300</v>
      </c>
      <c r="CB148">
        <v>300</v>
      </c>
      <c r="CC148">
        <v>401.507385</v>
      </c>
      <c r="CD148">
        <v>25</v>
      </c>
      <c r="CE148">
        <v>-4.3958079999999997</v>
      </c>
      <c r="CF148">
        <v>406.90292399999998</v>
      </c>
      <c r="CG148">
        <v>402.44537400000002</v>
      </c>
      <c r="CH148">
        <v>4.4575500000000003</v>
      </c>
      <c r="CI148">
        <v>2.4888159999999999</v>
      </c>
      <c r="CJ148">
        <v>2.5000200000000001</v>
      </c>
      <c r="CK148">
        <v>1.6657059999999999</v>
      </c>
      <c r="CL148">
        <v>0.94022399999999995</v>
      </c>
      <c r="CM148">
        <v>0.159968</v>
      </c>
      <c r="CN148">
        <v>-2.2729999999999998E-3</v>
      </c>
      <c r="CO148">
        <v>0.11586</v>
      </c>
      <c r="CP148">
        <v>0.17591999999999999</v>
      </c>
      <c r="CQ148">
        <v>119.788887</v>
      </c>
      <c r="CR148">
        <v>3.77E-4</v>
      </c>
      <c r="CS148">
        <v>2.4333689999999999</v>
      </c>
      <c r="CT148">
        <v>-3.6000000000000001E-5</v>
      </c>
      <c r="CU148">
        <v>1</v>
      </c>
      <c r="CV148">
        <v>2.4396819999999999</v>
      </c>
      <c r="CW148">
        <v>1.1E-5</v>
      </c>
      <c r="CX148">
        <v>1</v>
      </c>
      <c r="CY148">
        <v>0.60025499999999998</v>
      </c>
      <c r="CZ148">
        <v>0.60245199999999999</v>
      </c>
      <c r="DA148">
        <v>0.106742</v>
      </c>
      <c r="DB148">
        <v>0</v>
      </c>
      <c r="DC148" t="s">
        <v>663</v>
      </c>
      <c r="DD148" t="s">
        <v>515</v>
      </c>
      <c r="DE148" t="s">
        <v>516</v>
      </c>
      <c r="DF148" t="s">
        <v>517</v>
      </c>
      <c r="DG148" t="s">
        <v>518</v>
      </c>
      <c r="DH148" t="s">
        <v>205</v>
      </c>
      <c r="DI148" t="s">
        <v>519</v>
      </c>
    </row>
    <row r="149" spans="1:113">
      <c r="A149">
        <v>6</v>
      </c>
      <c r="B149" s="3">
        <v>0.44761574074074079</v>
      </c>
      <c r="C149" s="1">
        <v>45149</v>
      </c>
      <c r="D149" t="s">
        <v>196</v>
      </c>
      <c r="E149" t="s">
        <v>197</v>
      </c>
      <c r="G149">
        <v>6</v>
      </c>
      <c r="J149">
        <v>7.5649999999999997E-3</v>
      </c>
      <c r="K149">
        <v>2.9214169999999999</v>
      </c>
      <c r="L149">
        <v>7.5459999999999998E-3</v>
      </c>
      <c r="M149">
        <v>0.497363</v>
      </c>
      <c r="N149">
        <v>2.228898</v>
      </c>
      <c r="O149">
        <v>2.2158329999999999</v>
      </c>
      <c r="P149">
        <v>8.1729909999999997</v>
      </c>
      <c r="Q149">
        <v>5.9440929999999996</v>
      </c>
      <c r="R149">
        <v>23.231021999999999</v>
      </c>
      <c r="S149">
        <v>23.367998</v>
      </c>
      <c r="T149">
        <v>85.686485000000005</v>
      </c>
      <c r="U149">
        <v>0.44178600000000001</v>
      </c>
      <c r="V149" t="s">
        <v>664</v>
      </c>
      <c r="W149">
        <v>0</v>
      </c>
      <c r="X149">
        <v>0</v>
      </c>
      <c r="Y149">
        <v>0</v>
      </c>
      <c r="Z149">
        <v>97.352744999999999</v>
      </c>
      <c r="AA149">
        <v>128.223434</v>
      </c>
      <c r="AB149">
        <v>0.240757</v>
      </c>
      <c r="AC149">
        <v>0.5</v>
      </c>
      <c r="AD149">
        <v>0.8</v>
      </c>
      <c r="AE149">
        <v>55.751868999999999</v>
      </c>
      <c r="AF149">
        <v>32.32</v>
      </c>
      <c r="AG149">
        <v>32.130000000000003</v>
      </c>
      <c r="AH149">
        <v>38.65</v>
      </c>
      <c r="AI149">
        <v>41.84</v>
      </c>
      <c r="AJ149">
        <v>95.38</v>
      </c>
      <c r="AK149">
        <v>156.69999999999999</v>
      </c>
      <c r="AL149">
        <v>154.9</v>
      </c>
      <c r="AM149">
        <v>1.1000000000000001</v>
      </c>
      <c r="AN149">
        <v>579</v>
      </c>
      <c r="AO149">
        <v>3.9769999999999999</v>
      </c>
      <c r="AP149">
        <v>16</v>
      </c>
      <c r="AQ149">
        <v>8</v>
      </c>
      <c r="AR149">
        <v>237</v>
      </c>
      <c r="AS149">
        <v>64.5</v>
      </c>
      <c r="AT149">
        <v>43.05</v>
      </c>
      <c r="AU149">
        <v>17.84</v>
      </c>
      <c r="AV149">
        <v>-150.02000000000001</v>
      </c>
      <c r="AW149">
        <v>15.2</v>
      </c>
      <c r="AX149">
        <v>258.41000000000003</v>
      </c>
      <c r="AY149">
        <v>51.69</v>
      </c>
      <c r="AZ149" s="3">
        <v>0.65442129629629631</v>
      </c>
      <c r="BA149" s="1">
        <v>45149</v>
      </c>
      <c r="BB149">
        <v>38.493340000000003</v>
      </c>
      <c r="BC149">
        <v>-1.36307</v>
      </c>
      <c r="BD149">
        <v>611.90002400000003</v>
      </c>
      <c r="BE149">
        <v>5</v>
      </c>
      <c r="BF149">
        <v>1.49</v>
      </c>
      <c r="BG149" s="3">
        <v>0.44375000000000003</v>
      </c>
      <c r="BH149" s="1">
        <v>45149</v>
      </c>
      <c r="BI149">
        <v>-0.25</v>
      </c>
      <c r="BJ149">
        <v>0</v>
      </c>
      <c r="BK149">
        <v>0</v>
      </c>
      <c r="BL149">
        <v>-9999</v>
      </c>
      <c r="BM149">
        <v>1.171</v>
      </c>
      <c r="BN149">
        <v>3.4630000000000001</v>
      </c>
      <c r="BO149">
        <v>-9999</v>
      </c>
      <c r="BP149">
        <v>1</v>
      </c>
      <c r="BQ149">
        <v>150</v>
      </c>
      <c r="BR149">
        <v>5.0000000000000001E-3</v>
      </c>
      <c r="BS149">
        <v>2</v>
      </c>
      <c r="BT149">
        <v>0</v>
      </c>
      <c r="BU149" t="s">
        <v>200</v>
      </c>
      <c r="BV149">
        <v>7000</v>
      </c>
      <c r="BW149">
        <v>500</v>
      </c>
      <c r="BX149">
        <v>5</v>
      </c>
      <c r="BY149">
        <v>2</v>
      </c>
      <c r="BZ149">
        <v>300</v>
      </c>
      <c r="CA149">
        <v>300</v>
      </c>
      <c r="CB149">
        <v>300</v>
      </c>
      <c r="CC149">
        <v>127.646683</v>
      </c>
      <c r="CD149">
        <v>25</v>
      </c>
      <c r="CE149">
        <v>-0.38797300000000001</v>
      </c>
      <c r="CF149">
        <v>127.67815400000001</v>
      </c>
      <c r="CG149">
        <v>127.66997499999999</v>
      </c>
      <c r="CH149">
        <v>8.1790000000000005E-3</v>
      </c>
      <c r="CI149">
        <v>2.4886520000000001</v>
      </c>
      <c r="CJ149">
        <v>2.4978539999999998</v>
      </c>
      <c r="CK149">
        <v>1.666083</v>
      </c>
      <c r="CL149">
        <v>0.93972699999999998</v>
      </c>
      <c r="CM149">
        <v>0.15970300000000001</v>
      </c>
      <c r="CN149">
        <v>4.3208999999999997E-2</v>
      </c>
      <c r="CO149">
        <v>0.117912</v>
      </c>
      <c r="CP149">
        <v>0.61883500000000002</v>
      </c>
      <c r="CQ149">
        <v>97.352744999999999</v>
      </c>
      <c r="CR149">
        <v>3.77E-4</v>
      </c>
      <c r="CS149">
        <v>2.4333689999999999</v>
      </c>
      <c r="CT149">
        <v>-3.6000000000000001E-5</v>
      </c>
      <c r="CU149">
        <v>1</v>
      </c>
      <c r="CV149">
        <v>2.4396819999999999</v>
      </c>
      <c r="CW149">
        <v>1.1E-5</v>
      </c>
      <c r="CX149">
        <v>1</v>
      </c>
      <c r="CY149">
        <v>0.60025499999999998</v>
      </c>
      <c r="CZ149">
        <v>0.60245199999999999</v>
      </c>
      <c r="DA149">
        <v>0.106742</v>
      </c>
      <c r="DB149">
        <v>0</v>
      </c>
      <c r="DC149" t="s">
        <v>664</v>
      </c>
      <c r="DD149" t="s">
        <v>515</v>
      </c>
      <c r="DE149" t="s">
        <v>516</v>
      </c>
      <c r="DF149" t="s">
        <v>517</v>
      </c>
      <c r="DG149" t="s">
        <v>518</v>
      </c>
      <c r="DH149" t="s">
        <v>205</v>
      </c>
      <c r="DI149" t="s">
        <v>519</v>
      </c>
    </row>
    <row r="150" spans="1:113">
      <c r="A150">
        <v>7</v>
      </c>
      <c r="B150" s="3">
        <v>0.44776620370370374</v>
      </c>
      <c r="C150" s="1">
        <v>45149</v>
      </c>
      <c r="D150" t="s">
        <v>196</v>
      </c>
      <c r="E150" t="s">
        <v>197</v>
      </c>
      <c r="G150">
        <v>7</v>
      </c>
      <c r="J150">
        <v>8.3699999999999996E-4</v>
      </c>
      <c r="K150">
        <v>2.9222619999999999</v>
      </c>
      <c r="L150">
        <v>8.3699999999999996E-4</v>
      </c>
      <c r="M150">
        <v>5.2138999999999998E-2</v>
      </c>
      <c r="N150">
        <v>2.190483</v>
      </c>
      <c r="O150">
        <v>2.189114</v>
      </c>
      <c r="P150">
        <v>7.82158</v>
      </c>
      <c r="Q150">
        <v>5.6310979999999997</v>
      </c>
      <c r="R150">
        <v>22.951011999999999</v>
      </c>
      <c r="S150">
        <v>22.965368000000002</v>
      </c>
      <c r="T150">
        <v>82.002685999999997</v>
      </c>
      <c r="U150">
        <v>0.44178600000000001</v>
      </c>
      <c r="V150" t="s">
        <v>665</v>
      </c>
      <c r="W150">
        <v>0</v>
      </c>
      <c r="X150">
        <v>0</v>
      </c>
      <c r="Y150">
        <v>0</v>
      </c>
      <c r="Z150">
        <v>79.870818999999997</v>
      </c>
      <c r="AA150">
        <v>120.272751</v>
      </c>
      <c r="AB150">
        <v>0.33591900000000002</v>
      </c>
      <c r="AC150">
        <v>0.5</v>
      </c>
      <c r="AD150">
        <v>0.8</v>
      </c>
      <c r="AE150">
        <v>186.389893</v>
      </c>
      <c r="AF150">
        <v>31.69</v>
      </c>
      <c r="AG150">
        <v>31.67</v>
      </c>
      <c r="AH150">
        <v>38.69</v>
      </c>
      <c r="AI150">
        <v>41.01</v>
      </c>
      <c r="AJ150">
        <v>95.38</v>
      </c>
      <c r="AK150">
        <v>156.80000000000001</v>
      </c>
      <c r="AL150">
        <v>155</v>
      </c>
      <c r="AM150">
        <v>1.1000000000000001</v>
      </c>
      <c r="AN150">
        <v>1387</v>
      </c>
      <c r="AO150">
        <v>3.9470000000000001</v>
      </c>
      <c r="AP150">
        <v>42</v>
      </c>
      <c r="AQ150">
        <v>-21</v>
      </c>
      <c r="AR150">
        <v>354</v>
      </c>
      <c r="AS150">
        <v>40.74</v>
      </c>
      <c r="AT150">
        <v>75.760000000000005</v>
      </c>
      <c r="AU150">
        <v>46.07</v>
      </c>
      <c r="AV150">
        <v>23.84</v>
      </c>
      <c r="AW150">
        <v>15.2</v>
      </c>
      <c r="AX150">
        <v>258.41000000000003</v>
      </c>
      <c r="AY150">
        <v>51.69</v>
      </c>
      <c r="AZ150" s="3">
        <v>0.65458333333333341</v>
      </c>
      <c r="BA150" s="1">
        <v>45149</v>
      </c>
      <c r="BB150">
        <v>38.493374000000003</v>
      </c>
      <c r="BC150">
        <v>-1.363062</v>
      </c>
      <c r="BD150">
        <v>613.5</v>
      </c>
      <c r="BE150">
        <v>5</v>
      </c>
      <c r="BF150">
        <v>1.49</v>
      </c>
      <c r="BG150" s="3">
        <v>0.44375000000000003</v>
      </c>
      <c r="BH150" s="1">
        <v>45149</v>
      </c>
      <c r="BI150">
        <v>-0.25</v>
      </c>
      <c r="BJ150">
        <v>0</v>
      </c>
      <c r="BK150">
        <v>0</v>
      </c>
      <c r="BL150">
        <v>-9999</v>
      </c>
      <c r="BM150">
        <v>6.7930000000000001</v>
      </c>
      <c r="BN150">
        <v>-0.60199999999999998</v>
      </c>
      <c r="BO150">
        <v>-9999</v>
      </c>
      <c r="BP150">
        <v>1</v>
      </c>
      <c r="BQ150">
        <v>150</v>
      </c>
      <c r="BR150">
        <v>5.0000000000000001E-3</v>
      </c>
      <c r="BS150">
        <v>2</v>
      </c>
      <c r="BT150">
        <v>0</v>
      </c>
      <c r="BU150" t="s">
        <v>200</v>
      </c>
      <c r="BV150">
        <v>7000</v>
      </c>
      <c r="BW150">
        <v>500</v>
      </c>
      <c r="BX150">
        <v>5</v>
      </c>
      <c r="BY150">
        <v>2</v>
      </c>
      <c r="BZ150">
        <v>300</v>
      </c>
      <c r="CA150">
        <v>300</v>
      </c>
      <c r="CB150">
        <v>300</v>
      </c>
      <c r="CC150">
        <v>114.603996</v>
      </c>
      <c r="CD150">
        <v>25</v>
      </c>
      <c r="CE150">
        <v>-3.883391</v>
      </c>
      <c r="CF150">
        <v>113.552925</v>
      </c>
      <c r="CG150">
        <v>114.732933</v>
      </c>
      <c r="CH150">
        <v>-1.1800079999999999</v>
      </c>
      <c r="CI150">
        <v>2.4879410000000002</v>
      </c>
      <c r="CJ150">
        <v>2.4968810000000001</v>
      </c>
      <c r="CK150">
        <v>1.666976</v>
      </c>
      <c r="CL150">
        <v>0.93982399999999999</v>
      </c>
      <c r="CM150">
        <v>0.15944</v>
      </c>
      <c r="CN150">
        <v>3.1433999999999997E-2</v>
      </c>
      <c r="CO150">
        <v>0.119434</v>
      </c>
      <c r="CP150">
        <v>1.3337749999999999</v>
      </c>
      <c r="CQ150">
        <v>79.870818999999997</v>
      </c>
      <c r="CR150">
        <v>3.7199999999999999E-4</v>
      </c>
      <c r="CS150">
        <v>2.4333689999999999</v>
      </c>
      <c r="CT150">
        <v>-3.6000000000000001E-5</v>
      </c>
      <c r="CU150">
        <v>1</v>
      </c>
      <c r="CV150">
        <v>2.4396819999999999</v>
      </c>
      <c r="CW150">
        <v>1.1E-5</v>
      </c>
      <c r="CX150">
        <v>1</v>
      </c>
      <c r="CY150">
        <v>0.60025499999999998</v>
      </c>
      <c r="CZ150">
        <v>0.60245199999999999</v>
      </c>
      <c r="DA150">
        <v>0.106742</v>
      </c>
      <c r="DB150">
        <v>0</v>
      </c>
      <c r="DC150" t="s">
        <v>665</v>
      </c>
      <c r="DD150" t="s">
        <v>515</v>
      </c>
      <c r="DE150" t="s">
        <v>516</v>
      </c>
      <c r="DF150" t="s">
        <v>517</v>
      </c>
      <c r="DG150" t="s">
        <v>518</v>
      </c>
      <c r="DH150" t="s">
        <v>205</v>
      </c>
      <c r="DI150" t="s">
        <v>519</v>
      </c>
    </row>
    <row r="151" spans="1:113">
      <c r="A151">
        <v>8</v>
      </c>
      <c r="B151" s="3">
        <v>0.44792824074074072</v>
      </c>
      <c r="C151" s="1">
        <v>45149</v>
      </c>
      <c r="D151" t="s">
        <v>196</v>
      </c>
      <c r="E151" t="s">
        <v>197</v>
      </c>
      <c r="G151">
        <v>8</v>
      </c>
      <c r="J151">
        <v>8.4080000000000005E-3</v>
      </c>
      <c r="K151">
        <v>2.9210919999999998</v>
      </c>
      <c r="L151">
        <v>8.3829999999999998E-3</v>
      </c>
      <c r="M151">
        <v>0.45768599999999998</v>
      </c>
      <c r="N151">
        <v>2.2081569999999999</v>
      </c>
      <c r="O151">
        <v>2.1961279999999999</v>
      </c>
      <c r="P151">
        <v>7.1600380000000001</v>
      </c>
      <c r="Q151">
        <v>4.9518810000000002</v>
      </c>
      <c r="R151">
        <v>23.023163</v>
      </c>
      <c r="S151">
        <v>23.149270999999999</v>
      </c>
      <c r="T151">
        <v>75.062454000000002</v>
      </c>
      <c r="U151">
        <v>0.44178600000000001</v>
      </c>
      <c r="V151" t="s">
        <v>666</v>
      </c>
      <c r="W151">
        <v>0</v>
      </c>
      <c r="X151">
        <v>0</v>
      </c>
      <c r="Y151">
        <v>0</v>
      </c>
      <c r="Z151">
        <v>74.903724999999994</v>
      </c>
      <c r="AA151">
        <v>117.463707</v>
      </c>
      <c r="AB151">
        <v>0.36232500000000001</v>
      </c>
      <c r="AC151">
        <v>0.5</v>
      </c>
      <c r="AD151">
        <v>0.8</v>
      </c>
      <c r="AE151">
        <v>22.002113000000001</v>
      </c>
      <c r="AF151">
        <v>31.88</v>
      </c>
      <c r="AG151">
        <v>31.71</v>
      </c>
      <c r="AH151">
        <v>38.729999999999997</v>
      </c>
      <c r="AI151">
        <v>39.35</v>
      </c>
      <c r="AJ151">
        <v>95.39</v>
      </c>
      <c r="AK151">
        <v>156.6</v>
      </c>
      <c r="AL151">
        <v>155.19999999999999</v>
      </c>
      <c r="AM151">
        <v>0.9</v>
      </c>
      <c r="AN151">
        <v>152</v>
      </c>
      <c r="AO151">
        <v>3.9660000000000002</v>
      </c>
      <c r="AP151">
        <v>15</v>
      </c>
      <c r="AQ151">
        <v>-16</v>
      </c>
      <c r="AR151">
        <v>15</v>
      </c>
      <c r="AS151">
        <v>31.09</v>
      </c>
      <c r="AT151">
        <v>85.63</v>
      </c>
      <c r="AU151">
        <v>21.8</v>
      </c>
      <c r="AV151">
        <v>62.93</v>
      </c>
      <c r="AW151">
        <v>15.2</v>
      </c>
      <c r="AX151">
        <v>258.41000000000003</v>
      </c>
      <c r="AY151">
        <v>51.69</v>
      </c>
      <c r="AZ151" s="3">
        <v>0.65475694444444443</v>
      </c>
      <c r="BA151" s="1">
        <v>45149</v>
      </c>
      <c r="BB151">
        <v>38.492485000000002</v>
      </c>
      <c r="BC151">
        <v>-1.3634120000000001</v>
      </c>
      <c r="BD151">
        <v>612.5</v>
      </c>
      <c r="BE151">
        <v>6</v>
      </c>
      <c r="BF151">
        <v>1.39</v>
      </c>
      <c r="BG151" s="3">
        <v>0.44375000000000003</v>
      </c>
      <c r="BH151" s="1">
        <v>45149</v>
      </c>
      <c r="BI151">
        <v>-0.25</v>
      </c>
      <c r="BJ151">
        <v>1E-3</v>
      </c>
      <c r="BK151">
        <v>1E-3</v>
      </c>
      <c r="BL151">
        <v>-9999</v>
      </c>
      <c r="BM151">
        <v>8.4169999999999998</v>
      </c>
      <c r="BN151">
        <v>-2.0419999999999998</v>
      </c>
      <c r="BO151">
        <v>-9999</v>
      </c>
      <c r="BP151">
        <v>1</v>
      </c>
      <c r="BQ151">
        <v>150</v>
      </c>
      <c r="BR151">
        <v>5.0000000000000001E-3</v>
      </c>
      <c r="BS151">
        <v>2</v>
      </c>
      <c r="BT151">
        <v>0</v>
      </c>
      <c r="BU151" t="s">
        <v>200</v>
      </c>
      <c r="BV151">
        <v>7000</v>
      </c>
      <c r="BW151">
        <v>500</v>
      </c>
      <c r="BX151">
        <v>5</v>
      </c>
      <c r="BY151">
        <v>2</v>
      </c>
      <c r="BZ151">
        <v>300</v>
      </c>
      <c r="CA151">
        <v>300</v>
      </c>
      <c r="CB151">
        <v>300</v>
      </c>
      <c r="CC151">
        <v>114.78746</v>
      </c>
      <c r="CD151">
        <v>25</v>
      </c>
      <c r="CE151">
        <v>-1.7815650000000001</v>
      </c>
      <c r="CF151">
        <v>114.296432</v>
      </c>
      <c r="CG151">
        <v>114.922234</v>
      </c>
      <c r="CH151">
        <v>-0.62580100000000005</v>
      </c>
      <c r="CI151">
        <v>2.4879889999999998</v>
      </c>
      <c r="CJ151">
        <v>2.497169</v>
      </c>
      <c r="CK151">
        <v>1.6657409999999999</v>
      </c>
      <c r="CL151">
        <v>0.94035100000000005</v>
      </c>
      <c r="CM151">
        <v>0.15920400000000001</v>
      </c>
      <c r="CN151">
        <v>8.8940000000000009E-3</v>
      </c>
      <c r="CO151">
        <v>0.12119199999999999</v>
      </c>
      <c r="CP151">
        <v>0.24102899999999999</v>
      </c>
      <c r="CQ151">
        <v>74.903724999999994</v>
      </c>
      <c r="CR151">
        <v>3.79E-4</v>
      </c>
      <c r="CS151">
        <v>2.4333689999999999</v>
      </c>
      <c r="CT151">
        <v>-3.6000000000000001E-5</v>
      </c>
      <c r="CU151">
        <v>1</v>
      </c>
      <c r="CV151">
        <v>2.4396819999999999</v>
      </c>
      <c r="CW151">
        <v>1.1E-5</v>
      </c>
      <c r="CX151">
        <v>1</v>
      </c>
      <c r="CY151">
        <v>0.60025499999999998</v>
      </c>
      <c r="CZ151">
        <v>0.60245199999999999</v>
      </c>
      <c r="DA151">
        <v>0.106742</v>
      </c>
      <c r="DB151">
        <v>0</v>
      </c>
      <c r="DC151" t="s">
        <v>666</v>
      </c>
      <c r="DD151" t="s">
        <v>515</v>
      </c>
      <c r="DE151" t="s">
        <v>516</v>
      </c>
      <c r="DF151" t="s">
        <v>517</v>
      </c>
      <c r="DG151" t="s">
        <v>518</v>
      </c>
      <c r="DH151" t="s">
        <v>205</v>
      </c>
      <c r="DI151" t="s">
        <v>519</v>
      </c>
    </row>
    <row r="152" spans="1:113">
      <c r="A152">
        <v>9</v>
      </c>
      <c r="B152" s="3">
        <v>0.45380787037037035</v>
      </c>
      <c r="C152" s="1">
        <v>45149</v>
      </c>
      <c r="D152" t="s">
        <v>196</v>
      </c>
      <c r="E152" t="s">
        <v>197</v>
      </c>
      <c r="G152">
        <v>9</v>
      </c>
      <c r="J152">
        <v>3.6806999999999999E-2</v>
      </c>
      <c r="K152">
        <v>2.9206650000000001</v>
      </c>
      <c r="L152">
        <v>3.6348999999999999E-2</v>
      </c>
      <c r="M152">
        <v>1.9118470000000001</v>
      </c>
      <c r="N152">
        <v>2.3311869999999999</v>
      </c>
      <c r="O152">
        <v>2.2809979999999999</v>
      </c>
      <c r="P152">
        <v>7.0992879999999996</v>
      </c>
      <c r="Q152">
        <v>4.7681019999999998</v>
      </c>
      <c r="R152">
        <v>23.917728</v>
      </c>
      <c r="S152">
        <v>24.443988999999998</v>
      </c>
      <c r="T152">
        <v>74.440597999999994</v>
      </c>
      <c r="U152">
        <v>0.44178600000000001</v>
      </c>
      <c r="V152" t="s">
        <v>667</v>
      </c>
      <c r="W152">
        <v>0</v>
      </c>
      <c r="X152">
        <v>0</v>
      </c>
      <c r="Y152">
        <v>0</v>
      </c>
      <c r="Z152">
        <v>91.754081999999997</v>
      </c>
      <c r="AA152">
        <v>140.56083699999999</v>
      </c>
      <c r="AB152">
        <v>0.34722900000000001</v>
      </c>
      <c r="AC152">
        <v>0.5</v>
      </c>
      <c r="AD152">
        <v>0.8</v>
      </c>
      <c r="AE152">
        <v>137.863708</v>
      </c>
      <c r="AF152">
        <v>33.85</v>
      </c>
      <c r="AG152">
        <v>33.119999999999997</v>
      </c>
      <c r="AH152">
        <v>38.630000000000003</v>
      </c>
      <c r="AI152">
        <v>39.19</v>
      </c>
      <c r="AJ152">
        <v>95.37</v>
      </c>
      <c r="AK152">
        <v>156.6</v>
      </c>
      <c r="AL152">
        <v>144</v>
      </c>
      <c r="AM152">
        <v>8.1</v>
      </c>
      <c r="AN152">
        <v>993</v>
      </c>
      <c r="AO152">
        <v>3.964</v>
      </c>
      <c r="AP152">
        <v>25</v>
      </c>
      <c r="AQ152">
        <v>-14</v>
      </c>
      <c r="AR152">
        <v>359</v>
      </c>
      <c r="AS152">
        <v>39.909999999999997</v>
      </c>
      <c r="AT152">
        <v>76.709999999999994</v>
      </c>
      <c r="AU152">
        <v>28.43</v>
      </c>
      <c r="AV152">
        <v>29.54</v>
      </c>
      <c r="AW152">
        <v>15.2</v>
      </c>
      <c r="AX152">
        <v>260.07</v>
      </c>
      <c r="AY152">
        <v>53.42</v>
      </c>
      <c r="AZ152" s="3">
        <v>0.66062500000000002</v>
      </c>
      <c r="BA152" s="1">
        <v>45149</v>
      </c>
      <c r="BB152">
        <v>38.4925</v>
      </c>
      <c r="BC152">
        <v>-1.363415</v>
      </c>
      <c r="BD152">
        <v>609.79998799999998</v>
      </c>
      <c r="BE152">
        <v>6</v>
      </c>
      <c r="BF152">
        <v>1.39</v>
      </c>
      <c r="BG152" s="3">
        <v>0.45371527777777776</v>
      </c>
      <c r="BH152" s="1">
        <v>45149</v>
      </c>
      <c r="BI152">
        <v>-0.18</v>
      </c>
      <c r="BJ152">
        <v>0</v>
      </c>
      <c r="BK152">
        <v>0</v>
      </c>
      <c r="BL152">
        <v>-9999</v>
      </c>
      <c r="BM152">
        <v>13.352</v>
      </c>
      <c r="BN152">
        <v>-1.026</v>
      </c>
      <c r="BO152">
        <v>-9999</v>
      </c>
      <c r="BP152">
        <v>1</v>
      </c>
      <c r="BQ152">
        <v>150</v>
      </c>
      <c r="BR152">
        <v>5.0000000000000001E-3</v>
      </c>
      <c r="BS152">
        <v>2</v>
      </c>
      <c r="BT152">
        <v>0</v>
      </c>
      <c r="BU152" t="s">
        <v>200</v>
      </c>
      <c r="BV152">
        <v>7000</v>
      </c>
      <c r="BW152">
        <v>500</v>
      </c>
      <c r="BX152">
        <v>5</v>
      </c>
      <c r="BY152">
        <v>2</v>
      </c>
      <c r="BZ152">
        <v>300</v>
      </c>
      <c r="CA152">
        <v>300</v>
      </c>
      <c r="CB152">
        <v>300</v>
      </c>
      <c r="CC152">
        <v>132.758972</v>
      </c>
      <c r="CD152">
        <v>25</v>
      </c>
      <c r="CE152">
        <v>-5.7473089999999996</v>
      </c>
      <c r="CF152">
        <v>130.63896199999999</v>
      </c>
      <c r="CG152">
        <v>132.36206100000001</v>
      </c>
      <c r="CH152">
        <v>-1.7230989999999999</v>
      </c>
      <c r="CI152">
        <v>2.4901580000000001</v>
      </c>
      <c r="CJ152">
        <v>2.5000770000000001</v>
      </c>
      <c r="CK152">
        <v>1.6652910000000001</v>
      </c>
      <c r="CL152">
        <v>0.91185799999999995</v>
      </c>
      <c r="CM152">
        <v>0.15984599999999999</v>
      </c>
      <c r="CN152">
        <v>8.1689999999999992E-3</v>
      </c>
      <c r="CO152">
        <v>0.18155199999999999</v>
      </c>
      <c r="CP152">
        <v>0.98475900000000005</v>
      </c>
      <c r="CQ152">
        <v>91.754081999999997</v>
      </c>
      <c r="CR152">
        <v>3.86E-4</v>
      </c>
      <c r="CS152">
        <v>2.4333689999999999</v>
      </c>
      <c r="CT152">
        <v>-3.6000000000000001E-5</v>
      </c>
      <c r="CU152">
        <v>1</v>
      </c>
      <c r="CV152">
        <v>2.4396819999999999</v>
      </c>
      <c r="CW152">
        <v>1.1E-5</v>
      </c>
      <c r="CX152">
        <v>1</v>
      </c>
      <c r="CY152">
        <v>0.60025499999999998</v>
      </c>
      <c r="CZ152">
        <v>0.60245199999999999</v>
      </c>
      <c r="DA152">
        <v>0.106742</v>
      </c>
      <c r="DB152">
        <v>0</v>
      </c>
      <c r="DC152" t="s">
        <v>667</v>
      </c>
      <c r="DD152" t="s">
        <v>515</v>
      </c>
      <c r="DE152" t="s">
        <v>516</v>
      </c>
      <c r="DF152" t="s">
        <v>517</v>
      </c>
      <c r="DG152" t="s">
        <v>518</v>
      </c>
      <c r="DH152" t="s">
        <v>205</v>
      </c>
      <c r="DI152" t="s">
        <v>519</v>
      </c>
    </row>
    <row r="153" spans="1:113">
      <c r="A153">
        <v>10</v>
      </c>
      <c r="B153" s="3">
        <v>0.45393518518518516</v>
      </c>
      <c r="C153" s="1">
        <v>45149</v>
      </c>
      <c r="D153" t="s">
        <v>196</v>
      </c>
      <c r="E153" t="s">
        <v>197</v>
      </c>
      <c r="G153">
        <v>10</v>
      </c>
      <c r="J153">
        <v>1.7895000000000001E-2</v>
      </c>
      <c r="K153">
        <v>2.9215810000000002</v>
      </c>
      <c r="L153">
        <v>1.7786E-2</v>
      </c>
      <c r="M153">
        <v>0.81517099999999998</v>
      </c>
      <c r="N153">
        <v>2.2966769999999999</v>
      </c>
      <c r="O153">
        <v>2.2752840000000001</v>
      </c>
      <c r="P153">
        <v>6.4667830000000004</v>
      </c>
      <c r="Q153">
        <v>4.1701059999999996</v>
      </c>
      <c r="R153">
        <v>23.857443</v>
      </c>
      <c r="S153">
        <v>24.081748999999999</v>
      </c>
      <c r="T153">
        <v>67.807304000000002</v>
      </c>
      <c r="U153">
        <v>0.44178600000000001</v>
      </c>
      <c r="V153" t="s">
        <v>668</v>
      </c>
      <c r="W153">
        <v>0</v>
      </c>
      <c r="X153">
        <v>0</v>
      </c>
      <c r="Y153">
        <v>0</v>
      </c>
      <c r="Z153">
        <v>100.891113</v>
      </c>
      <c r="AA153">
        <v>464.36547899999999</v>
      </c>
      <c r="AB153">
        <v>0.78273300000000001</v>
      </c>
      <c r="AC153">
        <v>0.5</v>
      </c>
      <c r="AD153">
        <v>0.8</v>
      </c>
      <c r="AE153">
        <v>22.887122999999999</v>
      </c>
      <c r="AF153">
        <v>33.33</v>
      </c>
      <c r="AG153">
        <v>33.020000000000003</v>
      </c>
      <c r="AH153">
        <v>38.64</v>
      </c>
      <c r="AI153">
        <v>37.47</v>
      </c>
      <c r="AJ153">
        <v>95.37</v>
      </c>
      <c r="AK153">
        <v>156.69999999999999</v>
      </c>
      <c r="AL153">
        <v>153.80000000000001</v>
      </c>
      <c r="AM153">
        <v>1.9</v>
      </c>
      <c r="AN153">
        <v>73</v>
      </c>
      <c r="AO153">
        <v>3.964</v>
      </c>
      <c r="AP153">
        <v>12</v>
      </c>
      <c r="AQ153">
        <v>-9</v>
      </c>
      <c r="AR153">
        <v>328</v>
      </c>
      <c r="AS153">
        <v>50.94</v>
      </c>
      <c r="AT153">
        <v>63.02</v>
      </c>
      <c r="AU153">
        <v>14.96</v>
      </c>
      <c r="AV153">
        <v>5.3</v>
      </c>
      <c r="AW153">
        <v>15.2</v>
      </c>
      <c r="AX153">
        <v>260.07</v>
      </c>
      <c r="AY153">
        <v>53.42</v>
      </c>
      <c r="AZ153" s="3">
        <v>0.66076388888888882</v>
      </c>
      <c r="BA153" s="1">
        <v>45149</v>
      </c>
      <c r="BB153">
        <v>38.492466</v>
      </c>
      <c r="BC153">
        <v>-1.3633679999999999</v>
      </c>
      <c r="BD153">
        <v>606.5</v>
      </c>
      <c r="BE153">
        <v>7</v>
      </c>
      <c r="BF153">
        <v>1.23</v>
      </c>
      <c r="BG153" s="3">
        <v>0.45371527777777776</v>
      </c>
      <c r="BH153" s="1">
        <v>45149</v>
      </c>
      <c r="BI153">
        <v>-0.18</v>
      </c>
      <c r="BJ153">
        <v>0</v>
      </c>
      <c r="BK153">
        <v>-1E-3</v>
      </c>
      <c r="BL153">
        <v>-9999</v>
      </c>
      <c r="BM153">
        <v>9.0999999999999998E-2</v>
      </c>
      <c r="BN153">
        <v>-6.8000000000000005E-2</v>
      </c>
      <c r="BO153">
        <v>-9999</v>
      </c>
      <c r="BP153">
        <v>1</v>
      </c>
      <c r="BQ153">
        <v>150</v>
      </c>
      <c r="BR153">
        <v>5.0000000000000001E-3</v>
      </c>
      <c r="BS153">
        <v>2</v>
      </c>
      <c r="BT153">
        <v>0</v>
      </c>
      <c r="BU153" t="s">
        <v>200</v>
      </c>
      <c r="BV153">
        <v>7000</v>
      </c>
      <c r="BW153">
        <v>500</v>
      </c>
      <c r="BX153">
        <v>5</v>
      </c>
      <c r="BY153">
        <v>2</v>
      </c>
      <c r="BZ153">
        <v>300</v>
      </c>
      <c r="CA153">
        <v>300</v>
      </c>
      <c r="CB153">
        <v>300</v>
      </c>
      <c r="CC153">
        <v>464.36547899999999</v>
      </c>
      <c r="CD153">
        <v>25</v>
      </c>
      <c r="CE153">
        <v>7.1958019999999996</v>
      </c>
      <c r="CF153">
        <v>478.37805200000003</v>
      </c>
      <c r="CG153">
        <v>474.630585</v>
      </c>
      <c r="CH153">
        <v>3.7474669999999999</v>
      </c>
      <c r="CI153">
        <v>2.4900090000000001</v>
      </c>
      <c r="CJ153">
        <v>2.4992899999999998</v>
      </c>
      <c r="CK153">
        <v>1.666256</v>
      </c>
      <c r="CL153">
        <v>0.93673399999999996</v>
      </c>
      <c r="CM153">
        <v>0.15979699999999999</v>
      </c>
      <c r="CN153">
        <v>-1.4437999999999999E-2</v>
      </c>
      <c r="CO153">
        <v>0.18278800000000001</v>
      </c>
      <c r="CP153">
        <v>0.171404</v>
      </c>
      <c r="CQ153">
        <v>100.891113</v>
      </c>
      <c r="CR153">
        <v>3.6900000000000002E-4</v>
      </c>
      <c r="CS153">
        <v>2.4333689999999999</v>
      </c>
      <c r="CT153">
        <v>-3.6000000000000001E-5</v>
      </c>
      <c r="CU153">
        <v>1</v>
      </c>
      <c r="CV153">
        <v>2.4396819999999999</v>
      </c>
      <c r="CW153">
        <v>1.1E-5</v>
      </c>
      <c r="CX153">
        <v>1</v>
      </c>
      <c r="CY153">
        <v>0.60025499999999998</v>
      </c>
      <c r="CZ153">
        <v>0.60245199999999999</v>
      </c>
      <c r="DA153">
        <v>0.106742</v>
      </c>
      <c r="DB153">
        <v>0</v>
      </c>
      <c r="DC153" t="s">
        <v>668</v>
      </c>
      <c r="DD153" t="s">
        <v>515</v>
      </c>
      <c r="DE153" t="s">
        <v>516</v>
      </c>
      <c r="DF153" t="s">
        <v>517</v>
      </c>
      <c r="DG153" t="s">
        <v>518</v>
      </c>
      <c r="DH153" t="s">
        <v>205</v>
      </c>
      <c r="DI153" t="s">
        <v>519</v>
      </c>
    </row>
    <row r="154" spans="1:113">
      <c r="A154">
        <v>11</v>
      </c>
      <c r="B154" s="3">
        <v>0.45424768518518516</v>
      </c>
      <c r="C154" s="1">
        <v>45149</v>
      </c>
      <c r="D154" t="s">
        <v>196</v>
      </c>
      <c r="E154" t="s">
        <v>197</v>
      </c>
      <c r="G154">
        <v>11</v>
      </c>
      <c r="J154">
        <v>9.3951000000000007E-2</v>
      </c>
      <c r="K154">
        <v>2.9225310000000002</v>
      </c>
      <c r="L154">
        <v>9.1023999999999994E-2</v>
      </c>
      <c r="M154">
        <v>4.4042450000000004</v>
      </c>
      <c r="N154">
        <v>2.5091399999999999</v>
      </c>
      <c r="O154">
        <v>2.3939029999999999</v>
      </c>
      <c r="P154">
        <v>6.8964530000000002</v>
      </c>
      <c r="Q154">
        <v>4.3873139999999999</v>
      </c>
      <c r="R154">
        <v>25.099305999999999</v>
      </c>
      <c r="S154">
        <v>26.307528999999999</v>
      </c>
      <c r="T154">
        <v>72.307113999999999</v>
      </c>
      <c r="U154">
        <v>0.44178600000000001</v>
      </c>
      <c r="V154" t="s">
        <v>669</v>
      </c>
      <c r="W154">
        <v>0</v>
      </c>
      <c r="X154">
        <v>0</v>
      </c>
      <c r="Y154">
        <v>0</v>
      </c>
      <c r="Z154">
        <v>180.91499300000001</v>
      </c>
      <c r="AA154">
        <v>365.02865600000001</v>
      </c>
      <c r="AB154">
        <v>0.50438099999999997</v>
      </c>
      <c r="AC154">
        <v>0.5</v>
      </c>
      <c r="AD154">
        <v>0.8</v>
      </c>
      <c r="AE154">
        <v>208.89193700000001</v>
      </c>
      <c r="AF154">
        <v>36.39</v>
      </c>
      <c r="AG154">
        <v>34.72</v>
      </c>
      <c r="AH154">
        <v>38.65</v>
      </c>
      <c r="AI154">
        <v>38.65</v>
      </c>
      <c r="AJ154">
        <v>95.38</v>
      </c>
      <c r="AK154">
        <v>156.80000000000001</v>
      </c>
      <c r="AL154">
        <v>148.9</v>
      </c>
      <c r="AM154">
        <v>5</v>
      </c>
      <c r="AN154">
        <v>1035</v>
      </c>
      <c r="AO154">
        <v>3.964</v>
      </c>
      <c r="AP154">
        <v>7</v>
      </c>
      <c r="AQ154">
        <v>-6</v>
      </c>
      <c r="AR154">
        <v>150</v>
      </c>
      <c r="AS154">
        <v>57.13</v>
      </c>
      <c r="AT154">
        <v>54.28</v>
      </c>
      <c r="AU154">
        <v>9.2100000000000009</v>
      </c>
      <c r="AV154">
        <v>-169.22</v>
      </c>
      <c r="AW154">
        <v>15.2</v>
      </c>
      <c r="AX154">
        <v>260.07</v>
      </c>
      <c r="AY154">
        <v>53.42</v>
      </c>
      <c r="AZ154" s="3">
        <v>0.66106481481481483</v>
      </c>
      <c r="BA154" s="1">
        <v>45149</v>
      </c>
      <c r="BB154">
        <v>38.492480999999998</v>
      </c>
      <c r="BC154">
        <v>-1.363348</v>
      </c>
      <c r="BD154">
        <v>603.20001200000002</v>
      </c>
      <c r="BE154">
        <v>7</v>
      </c>
      <c r="BF154">
        <v>1.23</v>
      </c>
      <c r="BG154" s="3">
        <v>0.45371527777777776</v>
      </c>
      <c r="BH154" s="1">
        <v>45149</v>
      </c>
      <c r="BI154">
        <v>-0.18</v>
      </c>
      <c r="BJ154">
        <v>1E-3</v>
      </c>
      <c r="BK154">
        <v>1E-3</v>
      </c>
      <c r="BL154">
        <v>-9999</v>
      </c>
      <c r="BM154">
        <v>-0.112</v>
      </c>
      <c r="BN154">
        <v>2.2050000000000001</v>
      </c>
      <c r="BO154">
        <v>-9999</v>
      </c>
      <c r="BP154">
        <v>1</v>
      </c>
      <c r="BQ154">
        <v>150</v>
      </c>
      <c r="BR154">
        <v>5.0000000000000001E-3</v>
      </c>
      <c r="BS154">
        <v>2</v>
      </c>
      <c r="BT154">
        <v>0</v>
      </c>
      <c r="BU154" t="s">
        <v>200</v>
      </c>
      <c r="BV154">
        <v>7000</v>
      </c>
      <c r="BW154">
        <v>500</v>
      </c>
      <c r="BX154">
        <v>5</v>
      </c>
      <c r="BY154">
        <v>2</v>
      </c>
      <c r="BZ154">
        <v>300</v>
      </c>
      <c r="CA154">
        <v>300</v>
      </c>
      <c r="CB154">
        <v>300</v>
      </c>
      <c r="CC154">
        <v>349.57766700000002</v>
      </c>
      <c r="CD154">
        <v>25</v>
      </c>
      <c r="CE154">
        <v>-10.720501000000001</v>
      </c>
      <c r="CF154">
        <v>350.36910999999998</v>
      </c>
      <c r="CG154">
        <v>349.73541299999999</v>
      </c>
      <c r="CH154">
        <v>0.63369799999999998</v>
      </c>
      <c r="CI154">
        <v>2.4925709999999999</v>
      </c>
      <c r="CJ154">
        <v>2.5039220000000002</v>
      </c>
      <c r="CK154">
        <v>1.667259</v>
      </c>
      <c r="CL154">
        <v>0.92427999999999999</v>
      </c>
      <c r="CM154">
        <v>0.15970300000000001</v>
      </c>
      <c r="CN154">
        <v>8.0099999999999995E-4</v>
      </c>
      <c r="CO154">
        <v>0.18579899999999999</v>
      </c>
      <c r="CP154">
        <v>1.0226059999999999</v>
      </c>
      <c r="CQ154">
        <v>180.91499300000001</v>
      </c>
      <c r="CR154">
        <v>3.7199999999999999E-4</v>
      </c>
      <c r="CS154">
        <v>2.4333689999999999</v>
      </c>
      <c r="CT154">
        <v>-3.6000000000000001E-5</v>
      </c>
      <c r="CU154">
        <v>1</v>
      </c>
      <c r="CV154">
        <v>2.4396819999999999</v>
      </c>
      <c r="CW154">
        <v>1.1E-5</v>
      </c>
      <c r="CX154">
        <v>1</v>
      </c>
      <c r="CY154">
        <v>0.60025499999999998</v>
      </c>
      <c r="CZ154">
        <v>0.60245199999999999</v>
      </c>
      <c r="DA154">
        <v>0.106742</v>
      </c>
      <c r="DB154">
        <v>0</v>
      </c>
      <c r="DC154" t="s">
        <v>669</v>
      </c>
      <c r="DD154" t="s">
        <v>515</v>
      </c>
      <c r="DE154" t="s">
        <v>516</v>
      </c>
      <c r="DF154" t="s">
        <v>517</v>
      </c>
      <c r="DG154" t="s">
        <v>518</v>
      </c>
      <c r="DH154" t="s">
        <v>205</v>
      </c>
      <c r="DI154" t="s">
        <v>519</v>
      </c>
    </row>
    <row r="155" spans="1:113">
      <c r="A155">
        <v>12</v>
      </c>
      <c r="B155" s="3">
        <v>0.45436342592592593</v>
      </c>
      <c r="C155" s="1">
        <v>45149</v>
      </c>
      <c r="D155" t="s">
        <v>196</v>
      </c>
      <c r="E155" t="s">
        <v>197</v>
      </c>
      <c r="G155">
        <v>12</v>
      </c>
      <c r="J155">
        <v>2.5080999999999999E-2</v>
      </c>
      <c r="K155">
        <v>2.922291</v>
      </c>
      <c r="L155">
        <v>2.4867E-2</v>
      </c>
      <c r="M155">
        <v>1.1201810000000001</v>
      </c>
      <c r="N155">
        <v>2.4528949999999998</v>
      </c>
      <c r="O155">
        <v>2.4235639999999998</v>
      </c>
      <c r="P155">
        <v>6.5463849999999999</v>
      </c>
      <c r="Q155">
        <v>4.0934900000000001</v>
      </c>
      <c r="R155">
        <v>25.411625000000001</v>
      </c>
      <c r="S155">
        <v>25.719169999999998</v>
      </c>
      <c r="T155">
        <v>68.640349999999998</v>
      </c>
      <c r="U155">
        <v>0.44178600000000001</v>
      </c>
      <c r="V155" t="s">
        <v>670</v>
      </c>
      <c r="W155">
        <v>0</v>
      </c>
      <c r="X155">
        <v>0</v>
      </c>
      <c r="Y155">
        <v>0</v>
      </c>
      <c r="Z155">
        <v>103.722092</v>
      </c>
      <c r="AA155">
        <v>435.9151</v>
      </c>
      <c r="AB155">
        <v>0.76205900000000004</v>
      </c>
      <c r="AC155">
        <v>0.5</v>
      </c>
      <c r="AD155">
        <v>0.8</v>
      </c>
      <c r="AE155">
        <v>15.614584000000001</v>
      </c>
      <c r="AF155">
        <v>35.56</v>
      </c>
      <c r="AG155">
        <v>35.130000000000003</v>
      </c>
      <c r="AH155">
        <v>38.659999999999997</v>
      </c>
      <c r="AI155">
        <v>37.69</v>
      </c>
      <c r="AJ155">
        <v>95.37</v>
      </c>
      <c r="AK155">
        <v>156.80000000000001</v>
      </c>
      <c r="AL155">
        <v>155.1</v>
      </c>
      <c r="AM155">
        <v>1.1000000000000001</v>
      </c>
      <c r="AN155">
        <v>51</v>
      </c>
      <c r="AO155">
        <v>3.9630000000000001</v>
      </c>
      <c r="AP155">
        <v>0</v>
      </c>
      <c r="AQ155">
        <v>-6</v>
      </c>
      <c r="AR155">
        <v>89</v>
      </c>
      <c r="AS155">
        <v>54.75</v>
      </c>
      <c r="AT155">
        <v>57.71</v>
      </c>
      <c r="AU155">
        <v>6</v>
      </c>
      <c r="AV155">
        <v>179</v>
      </c>
      <c r="AW155">
        <v>15.2</v>
      </c>
      <c r="AX155">
        <v>260.25</v>
      </c>
      <c r="AY155">
        <v>53.62</v>
      </c>
      <c r="AZ155" s="3">
        <v>0.66119212962962959</v>
      </c>
      <c r="BA155" s="1">
        <v>45149</v>
      </c>
      <c r="BB155">
        <v>38.492457999999999</v>
      </c>
      <c r="BC155">
        <v>-1.3634379999999999</v>
      </c>
      <c r="BD155">
        <v>598.90002400000003</v>
      </c>
      <c r="BE155">
        <v>7</v>
      </c>
      <c r="BF155">
        <v>1.23</v>
      </c>
      <c r="BG155" s="3">
        <v>0.45371527777777776</v>
      </c>
      <c r="BH155" s="1">
        <v>45149</v>
      </c>
      <c r="BI155">
        <v>-0.18</v>
      </c>
      <c r="BJ155">
        <v>-1E-3</v>
      </c>
      <c r="BK155">
        <v>1E-3</v>
      </c>
      <c r="BL155">
        <v>-9999</v>
      </c>
      <c r="BM155">
        <v>-2.5999999999999999E-2</v>
      </c>
      <c r="BN155">
        <v>8.1000000000000003E-2</v>
      </c>
      <c r="BO155">
        <v>-9999</v>
      </c>
      <c r="BP155">
        <v>1</v>
      </c>
      <c r="BQ155">
        <v>150</v>
      </c>
      <c r="BR155">
        <v>5.0000000000000001E-3</v>
      </c>
      <c r="BS155">
        <v>2</v>
      </c>
      <c r="BT155">
        <v>0</v>
      </c>
      <c r="BU155" t="s">
        <v>200</v>
      </c>
      <c r="BV155">
        <v>7000</v>
      </c>
      <c r="BW155">
        <v>500</v>
      </c>
      <c r="BX155">
        <v>5</v>
      </c>
      <c r="BY155">
        <v>2</v>
      </c>
      <c r="BZ155">
        <v>300</v>
      </c>
      <c r="CA155">
        <v>300</v>
      </c>
      <c r="CB155">
        <v>300</v>
      </c>
      <c r="CC155">
        <v>435.9151</v>
      </c>
      <c r="CD155">
        <v>25</v>
      </c>
      <c r="CE155">
        <v>4.9082249999999998</v>
      </c>
      <c r="CF155">
        <v>449.98742700000003</v>
      </c>
      <c r="CG155">
        <v>442.916901</v>
      </c>
      <c r="CH155">
        <v>7.0705260000000001</v>
      </c>
      <c r="CI155">
        <v>2.493201</v>
      </c>
      <c r="CJ155">
        <v>2.5026709999999999</v>
      </c>
      <c r="CK155">
        <v>1.667006</v>
      </c>
      <c r="CL155">
        <v>0.94006699999999999</v>
      </c>
      <c r="CM155">
        <v>0.159664</v>
      </c>
      <c r="CN155">
        <v>-1.1809E-2</v>
      </c>
      <c r="CO155">
        <v>0.186893</v>
      </c>
      <c r="CP155">
        <v>0.15205399999999999</v>
      </c>
      <c r="CQ155">
        <v>103.722092</v>
      </c>
      <c r="CR155">
        <v>3.8400000000000001E-4</v>
      </c>
      <c r="CS155">
        <v>2.4333689999999999</v>
      </c>
      <c r="CT155">
        <v>-3.6000000000000001E-5</v>
      </c>
      <c r="CU155">
        <v>1</v>
      </c>
      <c r="CV155">
        <v>2.4396819999999999</v>
      </c>
      <c r="CW155">
        <v>1.1E-5</v>
      </c>
      <c r="CX155">
        <v>1</v>
      </c>
      <c r="CY155">
        <v>0.60025499999999998</v>
      </c>
      <c r="CZ155">
        <v>0.60245199999999999</v>
      </c>
      <c r="DA155">
        <v>0.106742</v>
      </c>
      <c r="DB155">
        <v>0</v>
      </c>
      <c r="DC155" t="s">
        <v>670</v>
      </c>
      <c r="DD155" t="s">
        <v>515</v>
      </c>
      <c r="DE155" t="s">
        <v>516</v>
      </c>
      <c r="DF155" t="s">
        <v>517</v>
      </c>
      <c r="DG155" t="s">
        <v>518</v>
      </c>
      <c r="DH155" t="s">
        <v>205</v>
      </c>
      <c r="DI155" t="s">
        <v>519</v>
      </c>
    </row>
    <row r="156" spans="1:113">
      <c r="A156">
        <v>13</v>
      </c>
      <c r="B156" s="3">
        <v>0.45452546296296298</v>
      </c>
      <c r="C156" s="1">
        <v>45149</v>
      </c>
      <c r="D156" t="s">
        <v>196</v>
      </c>
      <c r="E156" t="s">
        <v>197</v>
      </c>
      <c r="G156">
        <v>13</v>
      </c>
      <c r="J156">
        <v>2.9357999999999999E-2</v>
      </c>
      <c r="K156">
        <v>2.922301</v>
      </c>
      <c r="L156">
        <v>2.9066000000000002E-2</v>
      </c>
      <c r="M156">
        <v>1.31359</v>
      </c>
      <c r="N156">
        <v>2.4575800000000001</v>
      </c>
      <c r="O156">
        <v>2.4231850000000001</v>
      </c>
      <c r="P156">
        <v>6.5640660000000004</v>
      </c>
      <c r="Q156">
        <v>4.1064860000000003</v>
      </c>
      <c r="R156">
        <v>25.406654</v>
      </c>
      <c r="S156">
        <v>25.767281000000001</v>
      </c>
      <c r="T156">
        <v>68.823036000000002</v>
      </c>
      <c r="U156">
        <v>0.44178600000000001</v>
      </c>
      <c r="V156" t="s">
        <v>671</v>
      </c>
      <c r="W156">
        <v>0</v>
      </c>
      <c r="X156">
        <v>0</v>
      </c>
      <c r="Y156">
        <v>0</v>
      </c>
      <c r="Z156">
        <v>118.19171900000001</v>
      </c>
      <c r="AA156">
        <v>488.83938599999999</v>
      </c>
      <c r="AB156">
        <v>0.75822000000000001</v>
      </c>
      <c r="AC156">
        <v>0.5</v>
      </c>
      <c r="AD156">
        <v>0.8</v>
      </c>
      <c r="AE156">
        <v>177.50791899999999</v>
      </c>
      <c r="AF156">
        <v>35.619999999999997</v>
      </c>
      <c r="AG156">
        <v>35.119999999999997</v>
      </c>
      <c r="AH156">
        <v>38.659999999999997</v>
      </c>
      <c r="AI156">
        <v>37.74</v>
      </c>
      <c r="AJ156">
        <v>95.38</v>
      </c>
      <c r="AK156">
        <v>156.80000000000001</v>
      </c>
      <c r="AL156">
        <v>155</v>
      </c>
      <c r="AM156">
        <v>1.1000000000000001</v>
      </c>
      <c r="AN156">
        <v>585</v>
      </c>
      <c r="AO156">
        <v>3.9569999999999999</v>
      </c>
      <c r="AP156">
        <v>-5</v>
      </c>
      <c r="AQ156">
        <v>13</v>
      </c>
      <c r="AR156">
        <v>172</v>
      </c>
      <c r="AS156">
        <v>40.630000000000003</v>
      </c>
      <c r="AT156">
        <v>75.89</v>
      </c>
      <c r="AU156">
        <v>13.91</v>
      </c>
      <c r="AV156">
        <v>61.32</v>
      </c>
      <c r="AW156">
        <v>15.2</v>
      </c>
      <c r="AX156">
        <v>260.25</v>
      </c>
      <c r="AY156">
        <v>53.62</v>
      </c>
      <c r="AZ156" s="3">
        <v>0.66134259259259254</v>
      </c>
      <c r="BA156" s="1">
        <v>45149</v>
      </c>
      <c r="BB156">
        <v>38.492671999999999</v>
      </c>
      <c r="BC156">
        <v>-1.3632219999999999</v>
      </c>
      <c r="BD156">
        <v>601.79998799999998</v>
      </c>
      <c r="BE156">
        <v>10</v>
      </c>
      <c r="BF156">
        <v>1.01</v>
      </c>
      <c r="BG156" s="3">
        <v>0.45371527777777776</v>
      </c>
      <c r="BH156" s="1">
        <v>45149</v>
      </c>
      <c r="BI156">
        <v>-0.18</v>
      </c>
      <c r="BJ156">
        <v>1E-3</v>
      </c>
      <c r="BK156">
        <v>2E-3</v>
      </c>
      <c r="BL156">
        <v>-9999</v>
      </c>
      <c r="BM156">
        <v>-5.3319999999999999</v>
      </c>
      <c r="BN156">
        <v>-4.8000000000000001E-2</v>
      </c>
      <c r="BO156">
        <v>-9999</v>
      </c>
      <c r="BP156">
        <v>1</v>
      </c>
      <c r="BQ156">
        <v>150</v>
      </c>
      <c r="BR156">
        <v>5.0000000000000001E-3</v>
      </c>
      <c r="BS156">
        <v>2</v>
      </c>
      <c r="BT156">
        <v>0</v>
      </c>
      <c r="BU156" t="s">
        <v>200</v>
      </c>
      <c r="BV156">
        <v>7000</v>
      </c>
      <c r="BW156">
        <v>500</v>
      </c>
      <c r="BX156">
        <v>5</v>
      </c>
      <c r="BY156">
        <v>2</v>
      </c>
      <c r="BZ156">
        <v>300</v>
      </c>
      <c r="CA156">
        <v>300</v>
      </c>
      <c r="CB156">
        <v>300</v>
      </c>
      <c r="CC156">
        <v>488.83938599999999</v>
      </c>
      <c r="CD156">
        <v>25</v>
      </c>
      <c r="CE156">
        <v>8.6049500000000005</v>
      </c>
      <c r="CF156">
        <v>498.03005999999999</v>
      </c>
      <c r="CG156">
        <v>501.11471599999999</v>
      </c>
      <c r="CH156">
        <v>-3.0846559999999998</v>
      </c>
      <c r="CI156">
        <v>2.4931839999999998</v>
      </c>
      <c r="CJ156">
        <v>2.5027650000000001</v>
      </c>
      <c r="CK156">
        <v>1.6670160000000001</v>
      </c>
      <c r="CL156">
        <v>0.93995200000000001</v>
      </c>
      <c r="CM156">
        <v>0.15964700000000001</v>
      </c>
      <c r="CN156">
        <v>-1.1202E-2</v>
      </c>
      <c r="CO156">
        <v>0.18832599999999999</v>
      </c>
      <c r="CP156">
        <v>0.62445799999999996</v>
      </c>
      <c r="CQ156">
        <v>118.19171900000001</v>
      </c>
      <c r="CR156">
        <v>3.79E-4</v>
      </c>
      <c r="CS156">
        <v>2.4333689999999999</v>
      </c>
      <c r="CT156">
        <v>-3.6000000000000001E-5</v>
      </c>
      <c r="CU156">
        <v>1</v>
      </c>
      <c r="CV156">
        <v>2.4396819999999999</v>
      </c>
      <c r="CW156">
        <v>1.1E-5</v>
      </c>
      <c r="CX156">
        <v>1</v>
      </c>
      <c r="CY156">
        <v>0.60025499999999998</v>
      </c>
      <c r="CZ156">
        <v>0.60245199999999999</v>
      </c>
      <c r="DA156">
        <v>0.106742</v>
      </c>
      <c r="DB156">
        <v>0</v>
      </c>
      <c r="DC156" t="s">
        <v>671</v>
      </c>
      <c r="DD156" t="s">
        <v>515</v>
      </c>
      <c r="DE156" t="s">
        <v>516</v>
      </c>
      <c r="DF156" t="s">
        <v>517</v>
      </c>
      <c r="DG156" t="s">
        <v>518</v>
      </c>
      <c r="DH156" t="s">
        <v>205</v>
      </c>
      <c r="DI156" t="s">
        <v>519</v>
      </c>
    </row>
    <row r="157" spans="1:113">
      <c r="A157">
        <v>14</v>
      </c>
      <c r="B157" s="3">
        <v>0.4580555555555556</v>
      </c>
      <c r="C157" s="1">
        <v>45149</v>
      </c>
      <c r="D157" t="s">
        <v>196</v>
      </c>
      <c r="E157" t="s">
        <v>197</v>
      </c>
      <c r="G157">
        <v>14</v>
      </c>
      <c r="J157">
        <v>7.5291999999999998E-2</v>
      </c>
      <c r="K157">
        <v>2.9218410000000001</v>
      </c>
      <c r="L157">
        <v>7.3400999999999994E-2</v>
      </c>
      <c r="M157">
        <v>3.653832</v>
      </c>
      <c r="N157">
        <v>2.3862869999999998</v>
      </c>
      <c r="O157">
        <v>2.2904870000000002</v>
      </c>
      <c r="P157">
        <v>6.9037980000000001</v>
      </c>
      <c r="Q157">
        <v>4.5175099999999997</v>
      </c>
      <c r="R157">
        <v>24.010237</v>
      </c>
      <c r="S157">
        <v>25.014479000000001</v>
      </c>
      <c r="T157">
        <v>72.369698</v>
      </c>
      <c r="U157">
        <v>0.44178600000000001</v>
      </c>
      <c r="V157" t="s">
        <v>672</v>
      </c>
      <c r="W157">
        <v>0</v>
      </c>
      <c r="X157">
        <v>0</v>
      </c>
      <c r="Y157">
        <v>0</v>
      </c>
      <c r="Z157">
        <v>92.144608000000005</v>
      </c>
      <c r="AA157">
        <v>194.35264599999999</v>
      </c>
      <c r="AB157">
        <v>0.52588999999999997</v>
      </c>
      <c r="AC157">
        <v>0.5</v>
      </c>
      <c r="AD157">
        <v>0.8</v>
      </c>
      <c r="AE157">
        <v>282.27716099999998</v>
      </c>
      <c r="AF157">
        <v>34.89</v>
      </c>
      <c r="AG157">
        <v>33.49</v>
      </c>
      <c r="AH157">
        <v>38.5</v>
      </c>
      <c r="AI157">
        <v>38.67</v>
      </c>
      <c r="AJ157">
        <v>95.4</v>
      </c>
      <c r="AK157">
        <v>156.69999999999999</v>
      </c>
      <c r="AL157">
        <v>155.30000000000001</v>
      </c>
      <c r="AM157">
        <v>0.9</v>
      </c>
      <c r="AN157">
        <v>1342</v>
      </c>
      <c r="AO157">
        <v>3.956</v>
      </c>
      <c r="AP157">
        <v>12</v>
      </c>
      <c r="AQ157">
        <v>-25</v>
      </c>
      <c r="AR157">
        <v>73</v>
      </c>
      <c r="AS157">
        <v>44.4</v>
      </c>
      <c r="AT157">
        <v>71.45</v>
      </c>
      <c r="AU157">
        <v>27.56</v>
      </c>
      <c r="AV157">
        <v>138.97</v>
      </c>
      <c r="AW157">
        <v>15.2</v>
      </c>
      <c r="AX157">
        <v>261.14</v>
      </c>
      <c r="AY157">
        <v>54.58</v>
      </c>
      <c r="AZ157" s="3">
        <v>0.66488425925925931</v>
      </c>
      <c r="BA157" s="1">
        <v>45149</v>
      </c>
      <c r="BB157">
        <v>38.492683</v>
      </c>
      <c r="BC157">
        <v>-1.363202</v>
      </c>
      <c r="BD157">
        <v>601.40002400000003</v>
      </c>
      <c r="BE157">
        <v>10</v>
      </c>
      <c r="BF157">
        <v>1.01</v>
      </c>
      <c r="BG157" s="3">
        <v>0.45371527777777776</v>
      </c>
      <c r="BH157" s="1">
        <v>45149</v>
      </c>
      <c r="BI157">
        <v>-0.18</v>
      </c>
      <c r="BJ157">
        <v>-1E-3</v>
      </c>
      <c r="BK157">
        <v>0</v>
      </c>
      <c r="BL157">
        <v>-9999</v>
      </c>
      <c r="BM157">
        <v>0.95699999999999996</v>
      </c>
      <c r="BN157">
        <v>1.5529999999999999</v>
      </c>
      <c r="BO157">
        <v>-9999</v>
      </c>
      <c r="BP157">
        <v>1</v>
      </c>
      <c r="BQ157">
        <v>150</v>
      </c>
      <c r="BR157">
        <v>5.0000000000000001E-3</v>
      </c>
      <c r="BS157">
        <v>2</v>
      </c>
      <c r="BT157">
        <v>0</v>
      </c>
      <c r="BU157" t="s">
        <v>200</v>
      </c>
      <c r="BV157">
        <v>7000</v>
      </c>
      <c r="BW157">
        <v>500</v>
      </c>
      <c r="BX157">
        <v>5</v>
      </c>
      <c r="BY157">
        <v>2</v>
      </c>
      <c r="BZ157">
        <v>300</v>
      </c>
      <c r="CA157">
        <v>300</v>
      </c>
      <c r="CB157">
        <v>300</v>
      </c>
      <c r="CC157">
        <v>191.39492799999999</v>
      </c>
      <c r="CD157">
        <v>25</v>
      </c>
      <c r="CE157">
        <v>-1.8465320000000001</v>
      </c>
      <c r="CF157">
        <v>192.55722</v>
      </c>
      <c r="CG157">
        <v>191.718491</v>
      </c>
      <c r="CH157">
        <v>0.83872999999999998</v>
      </c>
      <c r="CI157">
        <v>2.4907379999999999</v>
      </c>
      <c r="CJ157">
        <v>2.5016750000000001</v>
      </c>
      <c r="CK157">
        <v>1.6665300000000001</v>
      </c>
      <c r="CL157">
        <v>0.94067900000000004</v>
      </c>
      <c r="CM157">
        <v>0.160637</v>
      </c>
      <c r="CN157">
        <v>3.0330000000000001E-3</v>
      </c>
      <c r="CO157">
        <v>0.22097600000000001</v>
      </c>
      <c r="CP157">
        <v>1.293739</v>
      </c>
      <c r="CQ157">
        <v>92.144608000000005</v>
      </c>
      <c r="CR157">
        <v>3.7300000000000001E-4</v>
      </c>
      <c r="CS157">
        <v>2.4333689999999999</v>
      </c>
      <c r="CT157">
        <v>-3.6000000000000001E-5</v>
      </c>
      <c r="CU157">
        <v>1</v>
      </c>
      <c r="CV157">
        <v>2.4396819999999999</v>
      </c>
      <c r="CW157">
        <v>1.1E-5</v>
      </c>
      <c r="CX157">
        <v>1</v>
      </c>
      <c r="CY157">
        <v>0.60025499999999998</v>
      </c>
      <c r="CZ157">
        <v>0.60245199999999999</v>
      </c>
      <c r="DA157">
        <v>0.106742</v>
      </c>
      <c r="DB157">
        <v>0</v>
      </c>
      <c r="DC157" t="s">
        <v>672</v>
      </c>
      <c r="DD157" t="s">
        <v>515</v>
      </c>
      <c r="DE157" t="s">
        <v>516</v>
      </c>
      <c r="DF157" t="s">
        <v>517</v>
      </c>
      <c r="DG157" t="s">
        <v>518</v>
      </c>
      <c r="DH157" t="s">
        <v>205</v>
      </c>
      <c r="DI157" t="s">
        <v>519</v>
      </c>
    </row>
    <row r="158" spans="1:113">
      <c r="A158">
        <v>15</v>
      </c>
      <c r="B158" s="3">
        <v>0.45814814814814814</v>
      </c>
      <c r="C158" s="1">
        <v>45149</v>
      </c>
      <c r="D158" t="s">
        <v>196</v>
      </c>
      <c r="E158" t="s">
        <v>197</v>
      </c>
      <c r="G158">
        <v>15</v>
      </c>
      <c r="J158">
        <v>4.7058000000000003E-2</v>
      </c>
      <c r="K158">
        <v>2.921198</v>
      </c>
      <c r="L158">
        <v>4.6311999999999999E-2</v>
      </c>
      <c r="M158">
        <v>3.0894170000000001</v>
      </c>
      <c r="N158">
        <v>2.3595549999999998</v>
      </c>
      <c r="O158">
        <v>2.2784800000000001</v>
      </c>
      <c r="P158">
        <v>8.3661469999999998</v>
      </c>
      <c r="Q158">
        <v>6.0065920000000004</v>
      </c>
      <c r="R158">
        <v>23.882190999999999</v>
      </c>
      <c r="S158">
        <v>24.731983</v>
      </c>
      <c r="T158">
        <v>87.690865000000002</v>
      </c>
      <c r="U158">
        <v>0.44178600000000001</v>
      </c>
      <c r="V158" t="s">
        <v>673</v>
      </c>
      <c r="W158">
        <v>0</v>
      </c>
      <c r="X158">
        <v>0</v>
      </c>
      <c r="Y158">
        <v>0</v>
      </c>
      <c r="Z158">
        <v>95.678329000000005</v>
      </c>
      <c r="AA158">
        <v>112.874863</v>
      </c>
      <c r="AB158">
        <v>0.15235000000000001</v>
      </c>
      <c r="AC158">
        <v>0.5</v>
      </c>
      <c r="AD158">
        <v>0.8</v>
      </c>
      <c r="AE158">
        <v>104.89400500000001</v>
      </c>
      <c r="AF158">
        <v>34.49</v>
      </c>
      <c r="AG158">
        <v>33.299999999999997</v>
      </c>
      <c r="AH158">
        <v>38.5</v>
      </c>
      <c r="AI158">
        <v>42.28</v>
      </c>
      <c r="AJ158">
        <v>95.4</v>
      </c>
      <c r="AK158">
        <v>156.6</v>
      </c>
      <c r="AL158">
        <v>154</v>
      </c>
      <c r="AM158">
        <v>1.7</v>
      </c>
      <c r="AN158">
        <v>1721</v>
      </c>
      <c r="AO158">
        <v>3.9550000000000001</v>
      </c>
      <c r="AP158">
        <v>34</v>
      </c>
      <c r="AQ158">
        <v>-14</v>
      </c>
      <c r="AR158">
        <v>85</v>
      </c>
      <c r="AS158">
        <v>26.61</v>
      </c>
      <c r="AT158">
        <v>89.41</v>
      </c>
      <c r="AU158">
        <v>36.450000000000003</v>
      </c>
      <c r="AV158">
        <v>109.03</v>
      </c>
      <c r="AW158">
        <v>15.2</v>
      </c>
      <c r="AX158">
        <v>261.14</v>
      </c>
      <c r="AY158">
        <v>54.58</v>
      </c>
      <c r="AZ158" s="3">
        <v>0.66497685185185185</v>
      </c>
      <c r="BA158" s="1">
        <v>45149</v>
      </c>
      <c r="BB158">
        <v>38.492683</v>
      </c>
      <c r="BC158">
        <v>-1.363218</v>
      </c>
      <c r="BD158">
        <v>601.29998799999998</v>
      </c>
      <c r="BE158">
        <v>9</v>
      </c>
      <c r="BF158">
        <v>1.1299999999999999</v>
      </c>
      <c r="BG158" s="3">
        <v>0.45371527777777776</v>
      </c>
      <c r="BH158" s="1">
        <v>45149</v>
      </c>
      <c r="BI158">
        <v>-0.18</v>
      </c>
      <c r="BJ158">
        <v>1E-3</v>
      </c>
      <c r="BK158">
        <v>2E-3</v>
      </c>
      <c r="BL158">
        <v>-9999</v>
      </c>
      <c r="BM158">
        <v>-0.24099999999999999</v>
      </c>
      <c r="BN158">
        <v>1.5229999999999999</v>
      </c>
      <c r="BO158">
        <v>-9999</v>
      </c>
      <c r="BP158">
        <v>1</v>
      </c>
      <c r="BQ158">
        <v>150</v>
      </c>
      <c r="BR158">
        <v>5.0000000000000001E-3</v>
      </c>
      <c r="BS158">
        <v>2</v>
      </c>
      <c r="BT158">
        <v>0</v>
      </c>
      <c r="BU158" t="s">
        <v>200</v>
      </c>
      <c r="BV158">
        <v>7000</v>
      </c>
      <c r="BW158">
        <v>500</v>
      </c>
      <c r="BX158">
        <v>5</v>
      </c>
      <c r="BY158">
        <v>2</v>
      </c>
      <c r="BZ158">
        <v>300</v>
      </c>
      <c r="CA158">
        <v>300</v>
      </c>
      <c r="CB158">
        <v>300</v>
      </c>
      <c r="CC158">
        <v>111.037018</v>
      </c>
      <c r="CD158">
        <v>25</v>
      </c>
      <c r="CE158">
        <v>-1.2371220000000001</v>
      </c>
      <c r="CF158">
        <v>110.885384</v>
      </c>
      <c r="CG158">
        <v>111.11005400000001</v>
      </c>
      <c r="CH158">
        <v>-0.22467000000000001</v>
      </c>
      <c r="CI158">
        <v>2.490456</v>
      </c>
      <c r="CJ158">
        <v>2.5010650000000001</v>
      </c>
      <c r="CK158">
        <v>1.6658520000000001</v>
      </c>
      <c r="CL158">
        <v>0.93737999999999999</v>
      </c>
      <c r="CM158">
        <v>0.160603</v>
      </c>
      <c r="CN158">
        <v>5.1154999999999999E-2</v>
      </c>
      <c r="CO158">
        <v>0.22173200000000001</v>
      </c>
      <c r="CP158">
        <v>1.6293059999999999</v>
      </c>
      <c r="CQ158">
        <v>95.678329000000005</v>
      </c>
      <c r="CR158">
        <v>3.8200000000000002E-4</v>
      </c>
      <c r="CS158">
        <v>2.4333689999999999</v>
      </c>
      <c r="CT158">
        <v>-3.6000000000000001E-5</v>
      </c>
      <c r="CU158">
        <v>1</v>
      </c>
      <c r="CV158">
        <v>2.4396819999999999</v>
      </c>
      <c r="CW158">
        <v>1.1E-5</v>
      </c>
      <c r="CX158">
        <v>1</v>
      </c>
      <c r="CY158">
        <v>0.60025499999999998</v>
      </c>
      <c r="CZ158">
        <v>0.60245199999999999</v>
      </c>
      <c r="DA158">
        <v>0.106742</v>
      </c>
      <c r="DB158">
        <v>0</v>
      </c>
      <c r="DC158" t="s">
        <v>673</v>
      </c>
      <c r="DD158" t="s">
        <v>515</v>
      </c>
      <c r="DE158" t="s">
        <v>516</v>
      </c>
      <c r="DF158" t="s">
        <v>517</v>
      </c>
      <c r="DG158" t="s">
        <v>518</v>
      </c>
      <c r="DH158" t="s">
        <v>205</v>
      </c>
      <c r="DI158" t="s">
        <v>519</v>
      </c>
    </row>
    <row r="159" spans="1:113">
      <c r="A159">
        <v>16</v>
      </c>
      <c r="B159" s="3">
        <v>0.45827546296296301</v>
      </c>
      <c r="C159" s="1">
        <v>45149</v>
      </c>
      <c r="D159" t="s">
        <v>196</v>
      </c>
      <c r="E159" t="s">
        <v>197</v>
      </c>
      <c r="G159">
        <v>16</v>
      </c>
      <c r="J159">
        <v>3.0471000000000002E-2</v>
      </c>
      <c r="K159">
        <v>2.9217270000000002</v>
      </c>
      <c r="L159">
        <v>3.0155999999999999E-2</v>
      </c>
      <c r="M159">
        <v>1.4391069999999999</v>
      </c>
      <c r="N159">
        <v>2.3303400000000001</v>
      </c>
      <c r="O159">
        <v>2.2925819999999999</v>
      </c>
      <c r="P159">
        <v>6.6680910000000004</v>
      </c>
      <c r="Q159">
        <v>4.3377509999999999</v>
      </c>
      <c r="R159">
        <v>24.032387</v>
      </c>
      <c r="S159">
        <v>24.428191999999999</v>
      </c>
      <c r="T159">
        <v>69.899422000000001</v>
      </c>
      <c r="U159">
        <v>0.44178600000000001</v>
      </c>
      <c r="V159" t="s">
        <v>674</v>
      </c>
      <c r="W159">
        <v>0</v>
      </c>
      <c r="X159">
        <v>0</v>
      </c>
      <c r="Y159">
        <v>0</v>
      </c>
      <c r="Z159">
        <v>152.01509100000001</v>
      </c>
      <c r="AA159">
        <v>461.11041299999999</v>
      </c>
      <c r="AB159">
        <v>0.67032800000000003</v>
      </c>
      <c r="AC159">
        <v>0.5</v>
      </c>
      <c r="AD159">
        <v>0.8</v>
      </c>
      <c r="AE159">
        <v>29.402943</v>
      </c>
      <c r="AF159">
        <v>34.04</v>
      </c>
      <c r="AG159">
        <v>33.49</v>
      </c>
      <c r="AH159">
        <v>38.51</v>
      </c>
      <c r="AI159">
        <v>38.03</v>
      </c>
      <c r="AJ159">
        <v>95.4</v>
      </c>
      <c r="AK159">
        <v>156.69999999999999</v>
      </c>
      <c r="AL159">
        <v>155.19999999999999</v>
      </c>
      <c r="AM159">
        <v>1</v>
      </c>
      <c r="AN159">
        <v>110</v>
      </c>
      <c r="AO159">
        <v>3.9260000000000002</v>
      </c>
      <c r="AP159">
        <v>16</v>
      </c>
      <c r="AQ159">
        <v>-8</v>
      </c>
      <c r="AR159">
        <v>53</v>
      </c>
      <c r="AS159">
        <v>36.75</v>
      </c>
      <c r="AT159">
        <v>80.13</v>
      </c>
      <c r="AU159">
        <v>17.84</v>
      </c>
      <c r="AV159">
        <v>80.02</v>
      </c>
      <c r="AW159">
        <v>15.2</v>
      </c>
      <c r="AX159">
        <v>261.14</v>
      </c>
      <c r="AY159">
        <v>54.58</v>
      </c>
      <c r="AZ159" s="3">
        <v>0.66510416666666672</v>
      </c>
      <c r="BA159" s="1">
        <v>45149</v>
      </c>
      <c r="BB159">
        <v>38.492713999999999</v>
      </c>
      <c r="BC159">
        <v>-1.363218</v>
      </c>
      <c r="BD159">
        <v>600.70001200000002</v>
      </c>
      <c r="BE159">
        <v>10</v>
      </c>
      <c r="BF159">
        <v>1.01</v>
      </c>
      <c r="BG159" s="3">
        <v>0.45371527777777776</v>
      </c>
      <c r="BH159" s="1">
        <v>45149</v>
      </c>
      <c r="BI159">
        <v>-0.18</v>
      </c>
      <c r="BJ159">
        <v>1E-3</v>
      </c>
      <c r="BK159">
        <v>1E-3</v>
      </c>
      <c r="BL159">
        <v>-9999</v>
      </c>
      <c r="BM159">
        <v>-1.502</v>
      </c>
      <c r="BN159">
        <v>-1.8939999999999999</v>
      </c>
      <c r="BO159">
        <v>-9999</v>
      </c>
      <c r="BP159">
        <v>1</v>
      </c>
      <c r="BQ159">
        <v>150</v>
      </c>
      <c r="BR159">
        <v>5.0000000000000001E-3</v>
      </c>
      <c r="BS159">
        <v>2</v>
      </c>
      <c r="BT159">
        <v>0</v>
      </c>
      <c r="BU159" t="s">
        <v>200</v>
      </c>
      <c r="BV159">
        <v>7000</v>
      </c>
      <c r="BW159">
        <v>500</v>
      </c>
      <c r="BX159">
        <v>5</v>
      </c>
      <c r="BY159">
        <v>2</v>
      </c>
      <c r="BZ159">
        <v>300</v>
      </c>
      <c r="CA159">
        <v>300</v>
      </c>
      <c r="CB159">
        <v>300</v>
      </c>
      <c r="CC159">
        <v>445.88326999999998</v>
      </c>
      <c r="CD159">
        <v>25</v>
      </c>
      <c r="CE159">
        <v>-10.39841</v>
      </c>
      <c r="CF159">
        <v>446.40683000000001</v>
      </c>
      <c r="CG159">
        <v>446.27664199999998</v>
      </c>
      <c r="CH159">
        <v>0.130188</v>
      </c>
      <c r="CI159">
        <v>2.490739</v>
      </c>
      <c r="CJ159">
        <v>2.5003860000000002</v>
      </c>
      <c r="CK159">
        <v>1.6664099999999999</v>
      </c>
      <c r="CL159">
        <v>0.940299</v>
      </c>
      <c r="CM159">
        <v>0.16053999999999999</v>
      </c>
      <c r="CN159">
        <v>-5.5510000000000004E-3</v>
      </c>
      <c r="CO159">
        <v>0.22287599999999999</v>
      </c>
      <c r="CP159">
        <v>0.20374200000000001</v>
      </c>
      <c r="CQ159">
        <v>152.01509100000001</v>
      </c>
      <c r="CR159">
        <v>3.7500000000000001E-4</v>
      </c>
      <c r="CS159">
        <v>2.4333689999999999</v>
      </c>
      <c r="CT159">
        <v>-3.6000000000000001E-5</v>
      </c>
      <c r="CU159">
        <v>1</v>
      </c>
      <c r="CV159">
        <v>2.4396819999999999</v>
      </c>
      <c r="CW159">
        <v>1.1E-5</v>
      </c>
      <c r="CX159">
        <v>1</v>
      </c>
      <c r="CY159">
        <v>0.60025499999999998</v>
      </c>
      <c r="CZ159">
        <v>0.60245199999999999</v>
      </c>
      <c r="DA159">
        <v>0.106742</v>
      </c>
      <c r="DB159">
        <v>0</v>
      </c>
      <c r="DC159" t="s">
        <v>674</v>
      </c>
      <c r="DD159" t="s">
        <v>515</v>
      </c>
      <c r="DE159" t="s">
        <v>516</v>
      </c>
      <c r="DF159" t="s">
        <v>517</v>
      </c>
      <c r="DG159" t="s">
        <v>518</v>
      </c>
      <c r="DH159" t="s">
        <v>205</v>
      </c>
      <c r="DI159" t="s">
        <v>519</v>
      </c>
    </row>
    <row r="160" spans="1:113">
      <c r="A160">
        <v>17</v>
      </c>
      <c r="B160" s="3">
        <v>0.45839120370370368</v>
      </c>
      <c r="C160" s="1">
        <v>45149</v>
      </c>
      <c r="D160" t="s">
        <v>196</v>
      </c>
      <c r="E160" t="s">
        <v>197</v>
      </c>
      <c r="G160">
        <v>17</v>
      </c>
      <c r="J160">
        <v>7.2385000000000005E-2</v>
      </c>
      <c r="K160">
        <v>2.9218410000000001</v>
      </c>
      <c r="L160">
        <v>7.0636000000000004E-2</v>
      </c>
      <c r="M160">
        <v>3.4488949999999998</v>
      </c>
      <c r="N160">
        <v>2.4288409999999998</v>
      </c>
      <c r="O160">
        <v>2.3384580000000001</v>
      </c>
      <c r="P160">
        <v>6.8598150000000002</v>
      </c>
      <c r="Q160">
        <v>4.430974</v>
      </c>
      <c r="R160">
        <v>24.513807</v>
      </c>
      <c r="S160">
        <v>25.461288</v>
      </c>
      <c r="T160">
        <v>71.910713000000001</v>
      </c>
      <c r="U160">
        <v>0.44178600000000001</v>
      </c>
      <c r="V160" t="s">
        <v>675</v>
      </c>
      <c r="W160">
        <v>0</v>
      </c>
      <c r="X160">
        <v>0</v>
      </c>
      <c r="Y160">
        <v>0</v>
      </c>
      <c r="Z160">
        <v>78.421356000000003</v>
      </c>
      <c r="AA160">
        <v>147.884064</v>
      </c>
      <c r="AB160">
        <v>0.46971099999999999</v>
      </c>
      <c r="AC160">
        <v>0.5</v>
      </c>
      <c r="AD160">
        <v>0.8</v>
      </c>
      <c r="AE160">
        <v>293.02200299999998</v>
      </c>
      <c r="AF160">
        <v>35.479999999999997</v>
      </c>
      <c r="AG160">
        <v>34.159999999999997</v>
      </c>
      <c r="AH160">
        <v>38.520000000000003</v>
      </c>
      <c r="AI160">
        <v>38.549999999999997</v>
      </c>
      <c r="AJ160">
        <v>95.39</v>
      </c>
      <c r="AK160">
        <v>156.69999999999999</v>
      </c>
      <c r="AL160">
        <v>155.30000000000001</v>
      </c>
      <c r="AM160">
        <v>0.9</v>
      </c>
      <c r="AN160">
        <v>1560</v>
      </c>
      <c r="AO160">
        <v>3.9489999999999998</v>
      </c>
      <c r="AP160">
        <v>16</v>
      </c>
      <c r="AQ160">
        <v>-20</v>
      </c>
      <c r="AR160">
        <v>48</v>
      </c>
      <c r="AS160">
        <v>31.5</v>
      </c>
      <c r="AT160">
        <v>85.26</v>
      </c>
      <c r="AU160">
        <v>25.41</v>
      </c>
      <c r="AV160">
        <v>100.86</v>
      </c>
      <c r="AW160">
        <v>15.2</v>
      </c>
      <c r="AX160">
        <v>261.14</v>
      </c>
      <c r="AY160">
        <v>54.58</v>
      </c>
      <c r="AZ160" s="3">
        <v>0.66521990740740744</v>
      </c>
      <c r="BA160" s="1">
        <v>45149</v>
      </c>
      <c r="BB160">
        <v>38.493107000000002</v>
      </c>
      <c r="BC160">
        <v>-1.3627119999999999</v>
      </c>
      <c r="BD160">
        <v>606.40002400000003</v>
      </c>
      <c r="BE160">
        <v>10</v>
      </c>
      <c r="BF160">
        <v>0.92</v>
      </c>
      <c r="BG160" s="3">
        <v>0.45371527777777776</v>
      </c>
      <c r="BH160" s="1">
        <v>45149</v>
      </c>
      <c r="BI160">
        <v>-0.18</v>
      </c>
      <c r="BJ160">
        <v>2E-3</v>
      </c>
      <c r="BK160">
        <v>2E-3</v>
      </c>
      <c r="BL160">
        <v>-9999</v>
      </c>
      <c r="BM160">
        <v>-1.4990000000000001</v>
      </c>
      <c r="BN160">
        <v>-4.851</v>
      </c>
      <c r="BO160">
        <v>-9999</v>
      </c>
      <c r="BP160">
        <v>1</v>
      </c>
      <c r="BQ160">
        <v>150</v>
      </c>
      <c r="BR160">
        <v>5.0000000000000001E-3</v>
      </c>
      <c r="BS160">
        <v>2</v>
      </c>
      <c r="BT160">
        <v>0</v>
      </c>
      <c r="BU160" t="s">
        <v>200</v>
      </c>
      <c r="BV160">
        <v>7000</v>
      </c>
      <c r="BW160">
        <v>500</v>
      </c>
      <c r="BX160">
        <v>5</v>
      </c>
      <c r="BY160">
        <v>2</v>
      </c>
      <c r="BZ160">
        <v>300</v>
      </c>
      <c r="CA160">
        <v>300</v>
      </c>
      <c r="CB160">
        <v>300</v>
      </c>
      <c r="CC160">
        <v>140.10607899999999</v>
      </c>
      <c r="CD160">
        <v>25</v>
      </c>
      <c r="CE160">
        <v>-5.3767209999999999</v>
      </c>
      <c r="CF160">
        <v>142.053009</v>
      </c>
      <c r="CG160">
        <v>140.213943</v>
      </c>
      <c r="CH160">
        <v>1.8390660000000001</v>
      </c>
      <c r="CI160">
        <v>2.491749</v>
      </c>
      <c r="CJ160">
        <v>2.502564</v>
      </c>
      <c r="CK160">
        <v>1.6665300000000001</v>
      </c>
      <c r="CL160">
        <v>0.94069899999999995</v>
      </c>
      <c r="CM160">
        <v>0.160528</v>
      </c>
      <c r="CN160">
        <v>1.2539999999999999E-3</v>
      </c>
      <c r="CO160">
        <v>0.22378999999999999</v>
      </c>
      <c r="CP160">
        <v>1.4862949999999999</v>
      </c>
      <c r="CQ160">
        <v>78.421356000000003</v>
      </c>
      <c r="CR160">
        <v>3.7800000000000003E-4</v>
      </c>
      <c r="CS160">
        <v>2.4333689999999999</v>
      </c>
      <c r="CT160">
        <v>-3.6000000000000001E-5</v>
      </c>
      <c r="CU160">
        <v>1</v>
      </c>
      <c r="CV160">
        <v>2.4396819999999999</v>
      </c>
      <c r="CW160">
        <v>1.1E-5</v>
      </c>
      <c r="CX160">
        <v>1</v>
      </c>
      <c r="CY160">
        <v>0.60025499999999998</v>
      </c>
      <c r="CZ160">
        <v>0.60245199999999999</v>
      </c>
      <c r="DA160">
        <v>0.106742</v>
      </c>
      <c r="DB160">
        <v>0</v>
      </c>
      <c r="DC160" t="s">
        <v>675</v>
      </c>
      <c r="DD160" t="s">
        <v>515</v>
      </c>
      <c r="DE160" t="s">
        <v>516</v>
      </c>
      <c r="DF160" t="s">
        <v>517</v>
      </c>
      <c r="DG160" t="s">
        <v>518</v>
      </c>
      <c r="DH160" t="s">
        <v>205</v>
      </c>
      <c r="DI160" t="s">
        <v>519</v>
      </c>
    </row>
    <row r="161" spans="1:113">
      <c r="A161">
        <v>18</v>
      </c>
      <c r="B161" s="3">
        <v>0.4618518518518519</v>
      </c>
      <c r="C161" s="1">
        <v>45149</v>
      </c>
      <c r="D161" t="s">
        <v>196</v>
      </c>
      <c r="E161" t="s">
        <v>197</v>
      </c>
      <c r="G161">
        <v>18</v>
      </c>
      <c r="J161">
        <v>1.5107000000000001E-2</v>
      </c>
      <c r="K161">
        <v>2.9218229999999998</v>
      </c>
      <c r="L161">
        <v>1.5029000000000001E-2</v>
      </c>
      <c r="M161">
        <v>0.68830499999999994</v>
      </c>
      <c r="N161">
        <v>2.2928169999999999</v>
      </c>
      <c r="O161">
        <v>2.2747480000000002</v>
      </c>
      <c r="P161">
        <v>6.4619799999999996</v>
      </c>
      <c r="Q161">
        <v>4.1691630000000002</v>
      </c>
      <c r="R161">
        <v>23.841197999999999</v>
      </c>
      <c r="S161">
        <v>24.030569</v>
      </c>
      <c r="T161">
        <v>67.726768000000007</v>
      </c>
      <c r="U161">
        <v>0.44178600000000001</v>
      </c>
      <c r="V161" t="s">
        <v>676</v>
      </c>
      <c r="W161">
        <v>0</v>
      </c>
      <c r="X161">
        <v>0</v>
      </c>
      <c r="Y161">
        <v>0</v>
      </c>
      <c r="Z161">
        <v>93.952056999999996</v>
      </c>
      <c r="AA161">
        <v>215.964325</v>
      </c>
      <c r="AB161">
        <v>0.56496500000000005</v>
      </c>
      <c r="AC161">
        <v>0.5</v>
      </c>
      <c r="AD161">
        <v>0.8</v>
      </c>
      <c r="AE161">
        <v>24.146709000000001</v>
      </c>
      <c r="AF161">
        <v>33.71</v>
      </c>
      <c r="AG161">
        <v>33.44</v>
      </c>
      <c r="AH161">
        <v>38.4</v>
      </c>
      <c r="AI161">
        <v>37.450000000000003</v>
      </c>
      <c r="AJ161">
        <v>95.41</v>
      </c>
      <c r="AK161">
        <v>156.69999999999999</v>
      </c>
      <c r="AL161">
        <v>155</v>
      </c>
      <c r="AM161">
        <v>1.1000000000000001</v>
      </c>
      <c r="AN161">
        <v>107</v>
      </c>
      <c r="AO161">
        <v>3.9180000000000001</v>
      </c>
      <c r="AP161">
        <v>25</v>
      </c>
      <c r="AQ161">
        <v>-26</v>
      </c>
      <c r="AR161">
        <v>325</v>
      </c>
      <c r="AS161">
        <v>50.17</v>
      </c>
      <c r="AT161">
        <v>64.06</v>
      </c>
      <c r="AU161">
        <v>35.450000000000003</v>
      </c>
      <c r="AV161">
        <v>14.09</v>
      </c>
      <c r="AW161">
        <v>15.2</v>
      </c>
      <c r="AX161">
        <v>262.01</v>
      </c>
      <c r="AY161">
        <v>55.55</v>
      </c>
      <c r="AZ161" s="3">
        <v>0.6686805555555555</v>
      </c>
      <c r="BA161" s="1">
        <v>45149</v>
      </c>
      <c r="BB161">
        <v>38.493107000000002</v>
      </c>
      <c r="BC161">
        <v>-1.362692</v>
      </c>
      <c r="BD161">
        <v>605.5</v>
      </c>
      <c r="BE161">
        <v>12</v>
      </c>
      <c r="BF161">
        <v>0.84</v>
      </c>
      <c r="BG161" s="3">
        <v>0.46171296296296299</v>
      </c>
      <c r="BH161" s="1">
        <v>45149</v>
      </c>
      <c r="BI161">
        <v>-0.14000000000000001</v>
      </c>
      <c r="BJ161">
        <v>1E-3</v>
      </c>
      <c r="BK161">
        <v>2E-3</v>
      </c>
      <c r="BL161">
        <v>-9999</v>
      </c>
      <c r="BM161">
        <v>6.016</v>
      </c>
      <c r="BN161">
        <v>2.1259999999999999</v>
      </c>
      <c r="BO161">
        <v>-9999</v>
      </c>
      <c r="BP161">
        <v>1</v>
      </c>
      <c r="BQ161">
        <v>150</v>
      </c>
      <c r="BR161">
        <v>5.0000000000000001E-3</v>
      </c>
      <c r="BS161">
        <v>2</v>
      </c>
      <c r="BT161">
        <v>0</v>
      </c>
      <c r="BU161" t="s">
        <v>200</v>
      </c>
      <c r="BV161">
        <v>7000</v>
      </c>
      <c r="BW161">
        <v>500</v>
      </c>
      <c r="BX161">
        <v>5</v>
      </c>
      <c r="BY161">
        <v>2</v>
      </c>
      <c r="BZ161">
        <v>300</v>
      </c>
      <c r="CA161">
        <v>300</v>
      </c>
      <c r="CB161">
        <v>300</v>
      </c>
      <c r="CC161">
        <v>215.964325</v>
      </c>
      <c r="CD161">
        <v>25</v>
      </c>
      <c r="CE161">
        <v>64.518822</v>
      </c>
      <c r="CF161">
        <v>260.38204999999999</v>
      </c>
      <c r="CG161">
        <v>308.00311299999998</v>
      </c>
      <c r="CH161">
        <v>-47.621062999999999</v>
      </c>
      <c r="CI161">
        <v>2.4906809999999999</v>
      </c>
      <c r="CJ161">
        <v>2.4998339999999999</v>
      </c>
      <c r="CK161">
        <v>1.666512</v>
      </c>
      <c r="CL161">
        <v>0.93991800000000003</v>
      </c>
      <c r="CM161">
        <v>0.16126299999999999</v>
      </c>
      <c r="CN161">
        <v>-1.1527000000000001E-2</v>
      </c>
      <c r="CO161">
        <v>0.25413400000000003</v>
      </c>
      <c r="CP161">
        <v>0.20125799999999999</v>
      </c>
      <c r="CQ161">
        <v>93.952056999999996</v>
      </c>
      <c r="CR161">
        <v>3.68E-4</v>
      </c>
      <c r="CS161">
        <v>2.4333689999999999</v>
      </c>
      <c r="CT161">
        <v>-3.6000000000000001E-5</v>
      </c>
      <c r="CU161">
        <v>1</v>
      </c>
      <c r="CV161">
        <v>2.4396819999999999</v>
      </c>
      <c r="CW161">
        <v>1.1E-5</v>
      </c>
      <c r="CX161">
        <v>1</v>
      </c>
      <c r="CY161">
        <v>0.60025499999999998</v>
      </c>
      <c r="CZ161">
        <v>0.60245199999999999</v>
      </c>
      <c r="DA161">
        <v>0.106742</v>
      </c>
      <c r="DB161">
        <v>0</v>
      </c>
      <c r="DC161" t="s">
        <v>676</v>
      </c>
      <c r="DD161" t="s">
        <v>515</v>
      </c>
      <c r="DE161" t="s">
        <v>516</v>
      </c>
      <c r="DF161" t="s">
        <v>517</v>
      </c>
      <c r="DG161" t="s">
        <v>518</v>
      </c>
      <c r="DH161" t="s">
        <v>205</v>
      </c>
      <c r="DI161" t="s">
        <v>519</v>
      </c>
    </row>
    <row r="162" spans="1:113">
      <c r="A162">
        <v>19</v>
      </c>
      <c r="B162" s="3">
        <v>0.46200231481481485</v>
      </c>
      <c r="C162" s="1">
        <v>45149</v>
      </c>
      <c r="D162" t="s">
        <v>196</v>
      </c>
      <c r="E162" t="s">
        <v>197</v>
      </c>
      <c r="G162">
        <v>19</v>
      </c>
      <c r="J162">
        <v>7.7340000000000006E-2</v>
      </c>
      <c r="K162">
        <v>2.921408</v>
      </c>
      <c r="L162">
        <v>7.5344999999999995E-2</v>
      </c>
      <c r="M162">
        <v>4.0110960000000002</v>
      </c>
      <c r="N162">
        <v>2.3855189999999999</v>
      </c>
      <c r="O162">
        <v>2.2802950000000002</v>
      </c>
      <c r="P162">
        <v>7.2095180000000001</v>
      </c>
      <c r="Q162">
        <v>4.8239989999999997</v>
      </c>
      <c r="R162">
        <v>23.899270999999999</v>
      </c>
      <c r="S162">
        <v>25.002096000000002</v>
      </c>
      <c r="T162">
        <v>75.561363</v>
      </c>
      <c r="U162">
        <v>0.44178600000000001</v>
      </c>
      <c r="V162" t="s">
        <v>677</v>
      </c>
      <c r="W162">
        <v>0</v>
      </c>
      <c r="X162">
        <v>0</v>
      </c>
      <c r="Y162">
        <v>0</v>
      </c>
      <c r="Z162">
        <v>114.505646</v>
      </c>
      <c r="AA162">
        <v>187.10211200000001</v>
      </c>
      <c r="AB162">
        <v>0.38800499999999999</v>
      </c>
      <c r="AC162">
        <v>0.5</v>
      </c>
      <c r="AD162">
        <v>0.8</v>
      </c>
      <c r="AE162">
        <v>227.26960800000001</v>
      </c>
      <c r="AF162">
        <v>35.04</v>
      </c>
      <c r="AG162">
        <v>33.5</v>
      </c>
      <c r="AH162">
        <v>38.409999999999997</v>
      </c>
      <c r="AI162">
        <v>39.479999999999997</v>
      </c>
      <c r="AJ162">
        <v>95.41</v>
      </c>
      <c r="AK162">
        <v>156.69999999999999</v>
      </c>
      <c r="AL162">
        <v>155.4</v>
      </c>
      <c r="AM162">
        <v>0.8</v>
      </c>
      <c r="AN162">
        <v>1464</v>
      </c>
      <c r="AO162">
        <v>3.948</v>
      </c>
      <c r="AP162">
        <v>40</v>
      </c>
      <c r="AQ162">
        <v>-11</v>
      </c>
      <c r="AR162">
        <v>23</v>
      </c>
      <c r="AS162">
        <v>34.32</v>
      </c>
      <c r="AT162">
        <v>82.59</v>
      </c>
      <c r="AU162">
        <v>41.24</v>
      </c>
      <c r="AV162">
        <v>39.83</v>
      </c>
      <c r="AW162">
        <v>15.2</v>
      </c>
      <c r="AX162">
        <v>262.19</v>
      </c>
      <c r="AY162">
        <v>55.74</v>
      </c>
      <c r="AZ162" s="3">
        <v>0.66878472222222218</v>
      </c>
      <c r="BA162" s="1">
        <v>45149</v>
      </c>
      <c r="BB162">
        <v>38.493136999999997</v>
      </c>
      <c r="BC162">
        <v>-1.3627050000000001</v>
      </c>
      <c r="BD162">
        <v>601.40002400000003</v>
      </c>
      <c r="BE162">
        <v>11</v>
      </c>
      <c r="BF162">
        <v>0.91</v>
      </c>
      <c r="BG162" s="3">
        <v>0.46171296296296299</v>
      </c>
      <c r="BH162" s="1">
        <v>45149</v>
      </c>
      <c r="BI162">
        <v>-0.14000000000000001</v>
      </c>
      <c r="BJ162">
        <v>1E-3</v>
      </c>
      <c r="BK162">
        <v>0</v>
      </c>
      <c r="BL162">
        <v>-2E-3</v>
      </c>
      <c r="BM162">
        <v>1.079</v>
      </c>
      <c r="BN162">
        <v>1.208</v>
      </c>
      <c r="BO162">
        <v>12.023999999999999</v>
      </c>
      <c r="BP162">
        <v>1</v>
      </c>
      <c r="BQ162">
        <v>150</v>
      </c>
      <c r="BR162">
        <v>5.0000000000000001E-3</v>
      </c>
      <c r="BS162">
        <v>2</v>
      </c>
      <c r="BT162">
        <v>0</v>
      </c>
      <c r="BU162" t="s">
        <v>200</v>
      </c>
      <c r="BV162">
        <v>7000</v>
      </c>
      <c r="BW162">
        <v>500</v>
      </c>
      <c r="BX162">
        <v>5</v>
      </c>
      <c r="BY162">
        <v>2</v>
      </c>
      <c r="BZ162">
        <v>300</v>
      </c>
      <c r="CA162">
        <v>300</v>
      </c>
      <c r="CB162">
        <v>300</v>
      </c>
      <c r="CC162">
        <v>174.921875</v>
      </c>
      <c r="CD162">
        <v>25</v>
      </c>
      <c r="CE162">
        <v>-8.6488709999999998</v>
      </c>
      <c r="CF162">
        <v>172.68133499999999</v>
      </c>
      <c r="CG162">
        <v>174.76412999999999</v>
      </c>
      <c r="CH162">
        <v>-2.0827939999999998</v>
      </c>
      <c r="CI162">
        <v>2.490767</v>
      </c>
      <c r="CJ162">
        <v>2.5018669999999998</v>
      </c>
      <c r="CK162">
        <v>1.6660740000000001</v>
      </c>
      <c r="CL162">
        <v>0.94080900000000001</v>
      </c>
      <c r="CM162">
        <v>0.16117999999999999</v>
      </c>
      <c r="CN162">
        <v>1.4768E-2</v>
      </c>
      <c r="CO162">
        <v>0.25526399999999999</v>
      </c>
      <c r="CP162">
        <v>1.40205</v>
      </c>
      <c r="CQ162">
        <v>114.505646</v>
      </c>
      <c r="CR162">
        <v>3.7399999999999998E-4</v>
      </c>
      <c r="CS162">
        <v>2.4333689999999999</v>
      </c>
      <c r="CT162">
        <v>-3.6000000000000001E-5</v>
      </c>
      <c r="CU162">
        <v>1</v>
      </c>
      <c r="CV162">
        <v>2.4396819999999999</v>
      </c>
      <c r="CW162">
        <v>1.1E-5</v>
      </c>
      <c r="CX162">
        <v>1</v>
      </c>
      <c r="CY162">
        <v>0.60025499999999998</v>
      </c>
      <c r="CZ162">
        <v>0.60245199999999999</v>
      </c>
      <c r="DA162">
        <v>0.106742</v>
      </c>
      <c r="DB162">
        <v>0</v>
      </c>
      <c r="DC162" t="s">
        <v>677</v>
      </c>
      <c r="DD162" t="s">
        <v>515</v>
      </c>
      <c r="DE162" t="s">
        <v>516</v>
      </c>
      <c r="DF162" t="s">
        <v>517</v>
      </c>
      <c r="DG162" t="s">
        <v>518</v>
      </c>
      <c r="DH162" t="s">
        <v>205</v>
      </c>
      <c r="DI162" t="s">
        <v>519</v>
      </c>
    </row>
    <row r="163" spans="1:113">
      <c r="A163">
        <v>20</v>
      </c>
      <c r="B163" s="3">
        <v>0.46218749999999997</v>
      </c>
      <c r="C163" s="1">
        <v>45149</v>
      </c>
      <c r="D163" t="s">
        <v>196</v>
      </c>
      <c r="E163" t="s">
        <v>197</v>
      </c>
      <c r="G163">
        <v>20</v>
      </c>
      <c r="J163">
        <v>9.8499999999999994E-3</v>
      </c>
      <c r="K163">
        <v>2.9202659999999998</v>
      </c>
      <c r="L163">
        <v>9.8169999999999993E-3</v>
      </c>
      <c r="M163">
        <v>0.54192200000000001</v>
      </c>
      <c r="N163">
        <v>2.3461050000000001</v>
      </c>
      <c r="O163">
        <v>2.3318699999999999</v>
      </c>
      <c r="P163">
        <v>7.3459430000000001</v>
      </c>
      <c r="Q163">
        <v>4.9998379999999996</v>
      </c>
      <c r="R163">
        <v>24.439233999999999</v>
      </c>
      <c r="S163">
        <v>24.588429999999999</v>
      </c>
      <c r="T163">
        <v>76.989395000000002</v>
      </c>
      <c r="U163">
        <v>0.44178600000000001</v>
      </c>
      <c r="V163" t="s">
        <v>678</v>
      </c>
      <c r="W163">
        <v>0</v>
      </c>
      <c r="X163">
        <v>0</v>
      </c>
      <c r="Y163">
        <v>0</v>
      </c>
      <c r="Z163">
        <v>75.512054000000006</v>
      </c>
      <c r="AA163">
        <v>96.822074999999998</v>
      </c>
      <c r="AB163">
        <v>0.22009500000000001</v>
      </c>
      <c r="AC163">
        <v>0.5</v>
      </c>
      <c r="AD163">
        <v>0.8</v>
      </c>
      <c r="AE163">
        <v>99.755547000000007</v>
      </c>
      <c r="AF163">
        <v>34.43</v>
      </c>
      <c r="AG163">
        <v>34.22</v>
      </c>
      <c r="AH163">
        <v>38.43</v>
      </c>
      <c r="AI163">
        <v>39.83</v>
      </c>
      <c r="AJ163">
        <v>95.42</v>
      </c>
      <c r="AK163">
        <v>156.5</v>
      </c>
      <c r="AL163">
        <v>155.30000000000001</v>
      </c>
      <c r="AM163">
        <v>0.8</v>
      </c>
      <c r="AN163">
        <v>1133</v>
      </c>
      <c r="AO163">
        <v>3.948</v>
      </c>
      <c r="AP163">
        <v>-6</v>
      </c>
      <c r="AQ163">
        <v>-5</v>
      </c>
      <c r="AR163">
        <v>11</v>
      </c>
      <c r="AS163">
        <v>53.27</v>
      </c>
      <c r="AT163">
        <v>59.81</v>
      </c>
      <c r="AU163">
        <v>7.8</v>
      </c>
      <c r="AV163">
        <v>151.07</v>
      </c>
      <c r="AW163">
        <v>15.2</v>
      </c>
      <c r="AX163">
        <v>262.19</v>
      </c>
      <c r="AY163">
        <v>55.74</v>
      </c>
      <c r="AZ163" s="3">
        <v>0.66900462962962959</v>
      </c>
      <c r="BA163" s="1">
        <v>45149</v>
      </c>
      <c r="BB163">
        <v>38.493144999999998</v>
      </c>
      <c r="BC163">
        <v>-1.362687</v>
      </c>
      <c r="BD163">
        <v>599.79998799999998</v>
      </c>
      <c r="BE163">
        <v>12</v>
      </c>
      <c r="BF163">
        <v>0.84</v>
      </c>
      <c r="BG163" s="3">
        <v>0.46171296296296299</v>
      </c>
      <c r="BH163" s="1">
        <v>45149</v>
      </c>
      <c r="BI163">
        <v>-0.14000000000000001</v>
      </c>
      <c r="BJ163">
        <v>0</v>
      </c>
      <c r="BK163">
        <v>0</v>
      </c>
      <c r="BL163">
        <v>1E-3</v>
      </c>
      <c r="BM163">
        <v>2.4449999999999998</v>
      </c>
      <c r="BN163">
        <v>2.0680000000000001</v>
      </c>
      <c r="BO163">
        <v>-5.3689999999999998</v>
      </c>
      <c r="BP163">
        <v>1</v>
      </c>
      <c r="BQ163">
        <v>150</v>
      </c>
      <c r="BR163">
        <v>5.0000000000000001E-3</v>
      </c>
      <c r="BS163">
        <v>2</v>
      </c>
      <c r="BT163">
        <v>0</v>
      </c>
      <c r="BU163" t="s">
        <v>200</v>
      </c>
      <c r="BV163">
        <v>7000</v>
      </c>
      <c r="BW163">
        <v>500</v>
      </c>
      <c r="BX163">
        <v>5</v>
      </c>
      <c r="BY163">
        <v>2</v>
      </c>
      <c r="BZ163">
        <v>300</v>
      </c>
      <c r="CA163">
        <v>300</v>
      </c>
      <c r="CB163">
        <v>300</v>
      </c>
      <c r="CC163">
        <v>95.526336999999998</v>
      </c>
      <c r="CD163">
        <v>25</v>
      </c>
      <c r="CE163">
        <v>-0.90130500000000002</v>
      </c>
      <c r="CF163">
        <v>95.358253000000005</v>
      </c>
      <c r="CG163">
        <v>95.536323999999993</v>
      </c>
      <c r="CH163">
        <v>-0.17807000000000001</v>
      </c>
      <c r="CI163">
        <v>2.4918550000000002</v>
      </c>
      <c r="CJ163">
        <v>2.500928</v>
      </c>
      <c r="CK163">
        <v>1.664871</v>
      </c>
      <c r="CL163">
        <v>0.94062000000000001</v>
      </c>
      <c r="CM163">
        <v>0.161055</v>
      </c>
      <c r="CN163">
        <v>1.9136E-2</v>
      </c>
      <c r="CO163">
        <v>0.25680199999999997</v>
      </c>
      <c r="CP163">
        <v>1.109038</v>
      </c>
      <c r="CQ163">
        <v>75.512054000000006</v>
      </c>
      <c r="CR163">
        <v>3.77E-4</v>
      </c>
      <c r="CS163">
        <v>2.4333689999999999</v>
      </c>
      <c r="CT163">
        <v>-3.6000000000000001E-5</v>
      </c>
      <c r="CU163">
        <v>1</v>
      </c>
      <c r="CV163">
        <v>2.4396819999999999</v>
      </c>
      <c r="CW163">
        <v>1.1E-5</v>
      </c>
      <c r="CX163">
        <v>1</v>
      </c>
      <c r="CY163">
        <v>0.60025499999999998</v>
      </c>
      <c r="CZ163">
        <v>0.60245199999999999</v>
      </c>
      <c r="DA163">
        <v>0.106742</v>
      </c>
      <c r="DB163">
        <v>0</v>
      </c>
      <c r="DC163" t="s">
        <v>678</v>
      </c>
      <c r="DD163" t="s">
        <v>515</v>
      </c>
      <c r="DE163" t="s">
        <v>516</v>
      </c>
      <c r="DF163" t="s">
        <v>517</v>
      </c>
      <c r="DG163" t="s">
        <v>518</v>
      </c>
      <c r="DH163" t="s">
        <v>205</v>
      </c>
      <c r="DI163" t="s">
        <v>519</v>
      </c>
    </row>
    <row r="164" spans="1:113">
      <c r="A164">
        <v>21</v>
      </c>
      <c r="B164" s="3">
        <v>0.46232638888888888</v>
      </c>
      <c r="C164" s="1">
        <v>45149</v>
      </c>
      <c r="D164" t="s">
        <v>196</v>
      </c>
      <c r="E164" t="s">
        <v>197</v>
      </c>
      <c r="G164">
        <v>21</v>
      </c>
      <c r="J164">
        <v>6.9071999999999995E-2</v>
      </c>
      <c r="K164">
        <v>2.9220579999999998</v>
      </c>
      <c r="L164">
        <v>6.7476999999999995E-2</v>
      </c>
      <c r="M164">
        <v>2.9322029999999999</v>
      </c>
      <c r="N164">
        <v>2.4576549999999999</v>
      </c>
      <c r="O164">
        <v>2.3808289999999999</v>
      </c>
      <c r="P164">
        <v>6.411359</v>
      </c>
      <c r="Q164">
        <v>3.9537040000000001</v>
      </c>
      <c r="R164">
        <v>24.951504</v>
      </c>
      <c r="S164">
        <v>25.756657000000001</v>
      </c>
      <c r="T164">
        <v>67.192169000000007</v>
      </c>
      <c r="U164">
        <v>0.44178600000000001</v>
      </c>
      <c r="V164" t="s">
        <v>679</v>
      </c>
      <c r="W164">
        <v>0</v>
      </c>
      <c r="X164">
        <v>0</v>
      </c>
      <c r="Y164">
        <v>0</v>
      </c>
      <c r="Z164">
        <v>114.796043</v>
      </c>
      <c r="AA164">
        <v>366.92855800000001</v>
      </c>
      <c r="AB164">
        <v>0.68714299999999995</v>
      </c>
      <c r="AC164">
        <v>0.5</v>
      </c>
      <c r="AD164">
        <v>0.8</v>
      </c>
      <c r="AE164">
        <v>30.356200999999999</v>
      </c>
      <c r="AF164">
        <v>36.049999999999997</v>
      </c>
      <c r="AG164">
        <v>34.93</v>
      </c>
      <c r="AH164">
        <v>38.44</v>
      </c>
      <c r="AI164">
        <v>37.31</v>
      </c>
      <c r="AJ164">
        <v>95.42</v>
      </c>
      <c r="AK164">
        <v>156.69999999999999</v>
      </c>
      <c r="AL164">
        <v>155.4</v>
      </c>
      <c r="AM164">
        <v>0.8</v>
      </c>
      <c r="AN164">
        <v>110</v>
      </c>
      <c r="AO164">
        <v>3.92</v>
      </c>
      <c r="AP164">
        <v>-18</v>
      </c>
      <c r="AQ164">
        <v>-7</v>
      </c>
      <c r="AR164">
        <v>41</v>
      </c>
      <c r="AS164">
        <v>65.989999999999995</v>
      </c>
      <c r="AT164">
        <v>40.69</v>
      </c>
      <c r="AU164">
        <v>19.27</v>
      </c>
      <c r="AV164">
        <v>-160.66999999999999</v>
      </c>
      <c r="AW164">
        <v>15.2</v>
      </c>
      <c r="AX164">
        <v>262.19</v>
      </c>
      <c r="AY164">
        <v>55.74</v>
      </c>
      <c r="AZ164" s="3">
        <v>0.6691435185185185</v>
      </c>
      <c r="BA164" s="1">
        <v>45149</v>
      </c>
      <c r="BB164">
        <v>38.493155999999999</v>
      </c>
      <c r="BC164">
        <v>-1.3627119999999999</v>
      </c>
      <c r="BD164">
        <v>598.5</v>
      </c>
      <c r="BE164">
        <v>13</v>
      </c>
      <c r="BF164">
        <v>0.81</v>
      </c>
      <c r="BG164" s="3">
        <v>0.46171296296296299</v>
      </c>
      <c r="BH164" s="1">
        <v>45149</v>
      </c>
      <c r="BI164">
        <v>-0.14000000000000001</v>
      </c>
      <c r="BJ164">
        <v>1E-3</v>
      </c>
      <c r="BK164">
        <v>3.0000000000000001E-3</v>
      </c>
      <c r="BL164">
        <v>-9999</v>
      </c>
      <c r="BM164">
        <v>0.106</v>
      </c>
      <c r="BN164">
        <v>0.17199999999999999</v>
      </c>
      <c r="BO164">
        <v>-9999</v>
      </c>
      <c r="BP164">
        <v>1</v>
      </c>
      <c r="BQ164">
        <v>150</v>
      </c>
      <c r="BR164">
        <v>5.0000000000000001E-3</v>
      </c>
      <c r="BS164">
        <v>2</v>
      </c>
      <c r="BT164">
        <v>0</v>
      </c>
      <c r="BU164" t="s">
        <v>200</v>
      </c>
      <c r="BV164">
        <v>7000</v>
      </c>
      <c r="BW164">
        <v>500</v>
      </c>
      <c r="BX164">
        <v>5</v>
      </c>
      <c r="BY164">
        <v>2</v>
      </c>
      <c r="BZ164">
        <v>300</v>
      </c>
      <c r="CA164">
        <v>300</v>
      </c>
      <c r="CB164">
        <v>300</v>
      </c>
      <c r="CC164">
        <v>352.69009399999999</v>
      </c>
      <c r="CD164">
        <v>25</v>
      </c>
      <c r="CE164">
        <v>-9.7395879999999995</v>
      </c>
      <c r="CF164">
        <v>353.015533</v>
      </c>
      <c r="CG164">
        <v>353.03463699999998</v>
      </c>
      <c r="CH164">
        <v>-1.9103999999999999E-2</v>
      </c>
      <c r="CI164">
        <v>2.4929230000000002</v>
      </c>
      <c r="CJ164">
        <v>2.5033910000000001</v>
      </c>
      <c r="CK164">
        <v>1.66676</v>
      </c>
      <c r="CL164">
        <v>0.94093400000000005</v>
      </c>
      <c r="CM164">
        <v>0.16101799999999999</v>
      </c>
      <c r="CN164">
        <v>-1.3905000000000001E-2</v>
      </c>
      <c r="CO164">
        <v>0.257882</v>
      </c>
      <c r="CP164">
        <v>0.20443600000000001</v>
      </c>
      <c r="CQ164">
        <v>114.796043</v>
      </c>
      <c r="CR164">
        <v>3.7399999999999998E-4</v>
      </c>
      <c r="CS164">
        <v>2.4333689999999999</v>
      </c>
      <c r="CT164">
        <v>-3.6000000000000001E-5</v>
      </c>
      <c r="CU164">
        <v>1</v>
      </c>
      <c r="CV164">
        <v>2.4396819999999999</v>
      </c>
      <c r="CW164">
        <v>1.1E-5</v>
      </c>
      <c r="CX164">
        <v>1</v>
      </c>
      <c r="CY164">
        <v>0.60025499999999998</v>
      </c>
      <c r="CZ164">
        <v>0.60245199999999999</v>
      </c>
      <c r="DA164">
        <v>0.106742</v>
      </c>
      <c r="DB164">
        <v>0</v>
      </c>
      <c r="DC164" t="s">
        <v>679</v>
      </c>
      <c r="DD164" t="s">
        <v>515</v>
      </c>
      <c r="DE164" t="s">
        <v>516</v>
      </c>
      <c r="DF164" t="s">
        <v>517</v>
      </c>
      <c r="DG164" t="s">
        <v>518</v>
      </c>
      <c r="DH164" t="s">
        <v>205</v>
      </c>
      <c r="DI164" t="s">
        <v>519</v>
      </c>
    </row>
    <row r="165" spans="1:113">
      <c r="A165">
        <v>22</v>
      </c>
      <c r="B165" s="3">
        <v>0.46247685185185183</v>
      </c>
      <c r="C165" s="1">
        <v>45149</v>
      </c>
      <c r="D165" t="s">
        <v>196</v>
      </c>
      <c r="E165" t="s">
        <v>197</v>
      </c>
      <c r="G165">
        <v>22</v>
      </c>
      <c r="J165">
        <v>7.4755000000000002E-2</v>
      </c>
      <c r="K165">
        <v>2.9218479999999998</v>
      </c>
      <c r="L165">
        <v>7.2889999999999996E-2</v>
      </c>
      <c r="M165">
        <v>4.026567</v>
      </c>
      <c r="N165">
        <v>2.4018030000000001</v>
      </c>
      <c r="O165">
        <v>2.2962280000000002</v>
      </c>
      <c r="P165">
        <v>7.4018160000000002</v>
      </c>
      <c r="Q165">
        <v>5.000013</v>
      </c>
      <c r="R165">
        <v>24.065939</v>
      </c>
      <c r="S165">
        <v>25.172440000000002</v>
      </c>
      <c r="T165">
        <v>77.575789999999998</v>
      </c>
      <c r="U165">
        <v>0.44178600000000001</v>
      </c>
      <c r="V165" t="s">
        <v>680</v>
      </c>
      <c r="W165">
        <v>0</v>
      </c>
      <c r="X165">
        <v>0</v>
      </c>
      <c r="Y165">
        <v>0</v>
      </c>
      <c r="Z165">
        <v>100.34895299999999</v>
      </c>
      <c r="AA165">
        <v>152.99037200000001</v>
      </c>
      <c r="AB165">
        <v>0.34408300000000003</v>
      </c>
      <c r="AC165">
        <v>0.5</v>
      </c>
      <c r="AD165">
        <v>0.8</v>
      </c>
      <c r="AE165">
        <v>50.235022999999998</v>
      </c>
      <c r="AF165">
        <v>35.22</v>
      </c>
      <c r="AG165">
        <v>33.68</v>
      </c>
      <c r="AH165">
        <v>38.44</v>
      </c>
      <c r="AI165">
        <v>39.97</v>
      </c>
      <c r="AJ165">
        <v>95.41</v>
      </c>
      <c r="AK165">
        <v>156.69999999999999</v>
      </c>
      <c r="AL165">
        <v>155.30000000000001</v>
      </c>
      <c r="AM165">
        <v>0.9</v>
      </c>
      <c r="AN165">
        <v>365</v>
      </c>
      <c r="AO165">
        <v>3.9409999999999998</v>
      </c>
      <c r="AP165">
        <v>17</v>
      </c>
      <c r="AQ165">
        <v>-10</v>
      </c>
      <c r="AR165">
        <v>29</v>
      </c>
      <c r="AS165">
        <v>38.04</v>
      </c>
      <c r="AT165">
        <v>78.760000000000005</v>
      </c>
      <c r="AU165">
        <v>19.649999999999999</v>
      </c>
      <c r="AV165">
        <v>60.09</v>
      </c>
      <c r="AW165">
        <v>15.2</v>
      </c>
      <c r="AX165">
        <v>262.19</v>
      </c>
      <c r="AY165">
        <v>55.74</v>
      </c>
      <c r="AZ165" s="3">
        <v>0.66930555555555549</v>
      </c>
      <c r="BA165" s="1">
        <v>45149</v>
      </c>
      <c r="BB165">
        <v>38.493332000000002</v>
      </c>
      <c r="BC165">
        <v>-1.3625100000000001</v>
      </c>
      <c r="BD165">
        <v>596.40002400000003</v>
      </c>
      <c r="BE165">
        <v>13</v>
      </c>
      <c r="BF165">
        <v>0.82</v>
      </c>
      <c r="BG165" s="3">
        <v>0.46171296296296299</v>
      </c>
      <c r="BH165" s="1">
        <v>45149</v>
      </c>
      <c r="BI165">
        <v>-0.14000000000000001</v>
      </c>
      <c r="BJ165">
        <v>1E-3</v>
      </c>
      <c r="BK165">
        <v>1E-3</v>
      </c>
      <c r="BL165">
        <v>-9999</v>
      </c>
      <c r="BM165">
        <v>-1.5269999999999999</v>
      </c>
      <c r="BN165">
        <v>-0.41599999999999998</v>
      </c>
      <c r="BO165">
        <v>-9999</v>
      </c>
      <c r="BP165">
        <v>1</v>
      </c>
      <c r="BQ165">
        <v>150</v>
      </c>
      <c r="BR165">
        <v>5.0000000000000001E-3</v>
      </c>
      <c r="BS165">
        <v>2</v>
      </c>
      <c r="BT165">
        <v>0</v>
      </c>
      <c r="BU165" t="s">
        <v>200</v>
      </c>
      <c r="BV165">
        <v>7000</v>
      </c>
      <c r="BW165">
        <v>500</v>
      </c>
      <c r="BX165">
        <v>5</v>
      </c>
      <c r="BY165">
        <v>2</v>
      </c>
      <c r="BZ165">
        <v>300</v>
      </c>
      <c r="CA165">
        <v>300</v>
      </c>
      <c r="CB165">
        <v>300</v>
      </c>
      <c r="CC165">
        <v>138.728149</v>
      </c>
      <c r="CD165">
        <v>25</v>
      </c>
      <c r="CE165">
        <v>-10.847690999999999</v>
      </c>
      <c r="CF165">
        <v>133.81648300000001</v>
      </c>
      <c r="CG165">
        <v>137.51568599999999</v>
      </c>
      <c r="CH165">
        <v>-3.6992029999999998</v>
      </c>
      <c r="CI165">
        <v>2.4910320000000001</v>
      </c>
      <c r="CJ165">
        <v>2.502138</v>
      </c>
      <c r="CK165">
        <v>1.6665380000000001</v>
      </c>
      <c r="CL165">
        <v>0.94055</v>
      </c>
      <c r="CM165">
        <v>0.16098899999999999</v>
      </c>
      <c r="CN165">
        <v>2.0879000000000002E-2</v>
      </c>
      <c r="CO165">
        <v>0.25908900000000001</v>
      </c>
      <c r="CP165">
        <v>0.42959999999999998</v>
      </c>
      <c r="CQ165">
        <v>100.34895299999999</v>
      </c>
      <c r="CR165">
        <v>3.7100000000000002E-4</v>
      </c>
      <c r="CS165">
        <v>2.4333689999999999</v>
      </c>
      <c r="CT165">
        <v>-3.6000000000000001E-5</v>
      </c>
      <c r="CU165">
        <v>1</v>
      </c>
      <c r="CV165">
        <v>2.4396819999999999</v>
      </c>
      <c r="CW165">
        <v>1.1E-5</v>
      </c>
      <c r="CX165">
        <v>1</v>
      </c>
      <c r="CY165">
        <v>0.60025499999999998</v>
      </c>
      <c r="CZ165">
        <v>0.60245199999999999</v>
      </c>
      <c r="DA165">
        <v>0.106742</v>
      </c>
      <c r="DB165">
        <v>0</v>
      </c>
      <c r="DC165" t="s">
        <v>680</v>
      </c>
      <c r="DD165" t="s">
        <v>515</v>
      </c>
      <c r="DE165" t="s">
        <v>516</v>
      </c>
      <c r="DF165" t="s">
        <v>517</v>
      </c>
      <c r="DG165" t="s">
        <v>518</v>
      </c>
      <c r="DH165" t="s">
        <v>205</v>
      </c>
      <c r="DI165" t="s">
        <v>519</v>
      </c>
    </row>
    <row r="166" spans="1:113">
      <c r="A166">
        <v>23</v>
      </c>
      <c r="B166" s="3">
        <v>0.46633101851851855</v>
      </c>
      <c r="C166" s="1">
        <v>45149</v>
      </c>
      <c r="D166" t="s">
        <v>196</v>
      </c>
      <c r="E166" t="s">
        <v>197</v>
      </c>
      <c r="G166">
        <v>23</v>
      </c>
      <c r="J166">
        <v>1.2015E-2</v>
      </c>
      <c r="K166">
        <v>2.9220579999999998</v>
      </c>
      <c r="L166">
        <v>1.1965999999999999E-2</v>
      </c>
      <c r="M166">
        <v>0.52261999999999997</v>
      </c>
      <c r="N166">
        <v>2.3374250000000001</v>
      </c>
      <c r="O166">
        <v>2.3237139999999998</v>
      </c>
      <c r="P166">
        <v>6.3160959999999999</v>
      </c>
      <c r="Q166">
        <v>3.9786709999999998</v>
      </c>
      <c r="R166">
        <v>24.351780000000002</v>
      </c>
      <c r="S166">
        <v>24.495471999999999</v>
      </c>
      <c r="T166">
        <v>66.190665999999993</v>
      </c>
      <c r="U166">
        <v>0.44178600000000001</v>
      </c>
      <c r="V166" t="s">
        <v>681</v>
      </c>
      <c r="W166">
        <v>0</v>
      </c>
      <c r="X166">
        <v>0</v>
      </c>
      <c r="Y166">
        <v>0</v>
      </c>
      <c r="Z166">
        <v>105.517746</v>
      </c>
      <c r="AA166">
        <v>424.48104899999998</v>
      </c>
      <c r="AB166">
        <v>0.75141899999999995</v>
      </c>
      <c r="AC166">
        <v>0.5</v>
      </c>
      <c r="AD166">
        <v>0.8</v>
      </c>
      <c r="AE166">
        <v>22.891404999999999</v>
      </c>
      <c r="AF166">
        <v>34.979999999999997</v>
      </c>
      <c r="AG166">
        <v>34.770000000000003</v>
      </c>
      <c r="AH166">
        <v>38.07</v>
      </c>
      <c r="AI166">
        <v>37.03</v>
      </c>
      <c r="AJ166">
        <v>95.42</v>
      </c>
      <c r="AK166">
        <v>156.69999999999999</v>
      </c>
      <c r="AL166">
        <v>155</v>
      </c>
      <c r="AM166">
        <v>1.1000000000000001</v>
      </c>
      <c r="AN166">
        <v>76</v>
      </c>
      <c r="AO166">
        <v>3.9409999999999998</v>
      </c>
      <c r="AP166">
        <v>34</v>
      </c>
      <c r="AQ166">
        <v>-8</v>
      </c>
      <c r="AR166">
        <v>253</v>
      </c>
      <c r="AS166">
        <v>91.66</v>
      </c>
      <c r="AT166">
        <v>-9999</v>
      </c>
      <c r="AU166">
        <v>34.82</v>
      </c>
      <c r="AV166">
        <v>-92.89</v>
      </c>
      <c r="AW166">
        <v>15.2</v>
      </c>
      <c r="AX166">
        <v>263.22000000000003</v>
      </c>
      <c r="AY166">
        <v>56.91</v>
      </c>
      <c r="AZ166" s="3">
        <v>0.67312500000000008</v>
      </c>
      <c r="BA166" s="1">
        <v>45149</v>
      </c>
      <c r="BB166">
        <v>38.493309000000004</v>
      </c>
      <c r="BC166">
        <v>-1.3625149999999999</v>
      </c>
      <c r="BD166">
        <v>595.90002400000003</v>
      </c>
      <c r="BE166">
        <v>14</v>
      </c>
      <c r="BF166">
        <v>0.78</v>
      </c>
      <c r="BG166" s="3">
        <v>0.46171296296296299</v>
      </c>
      <c r="BH166" s="1">
        <v>45149</v>
      </c>
      <c r="BI166">
        <v>-0.14000000000000001</v>
      </c>
      <c r="BJ166">
        <v>0</v>
      </c>
      <c r="BK166">
        <v>1E-3</v>
      </c>
      <c r="BL166">
        <v>-9999</v>
      </c>
      <c r="BM166">
        <v>0.47399999999999998</v>
      </c>
      <c r="BN166">
        <v>-1.04</v>
      </c>
      <c r="BO166">
        <v>-9999</v>
      </c>
      <c r="BP166">
        <v>1</v>
      </c>
      <c r="BQ166">
        <v>150</v>
      </c>
      <c r="BR166">
        <v>5.0000000000000001E-3</v>
      </c>
      <c r="BS166">
        <v>2</v>
      </c>
      <c r="BT166">
        <v>0</v>
      </c>
      <c r="BU166" t="s">
        <v>200</v>
      </c>
      <c r="BV166">
        <v>7000</v>
      </c>
      <c r="BW166">
        <v>500</v>
      </c>
      <c r="BX166">
        <v>5</v>
      </c>
      <c r="BY166">
        <v>2</v>
      </c>
      <c r="BZ166">
        <v>300</v>
      </c>
      <c r="CA166">
        <v>300</v>
      </c>
      <c r="CB166">
        <v>300</v>
      </c>
      <c r="CC166">
        <v>424.48104899999998</v>
      </c>
      <c r="CD166">
        <v>25</v>
      </c>
      <c r="CE166">
        <v>6.7639079999999998</v>
      </c>
      <c r="CF166">
        <v>435.49883999999997</v>
      </c>
      <c r="CG166">
        <v>434.13003500000002</v>
      </c>
      <c r="CH166">
        <v>1.368805</v>
      </c>
      <c r="CI166">
        <v>2.4927480000000002</v>
      </c>
      <c r="CJ166">
        <v>2.5018030000000002</v>
      </c>
      <c r="CK166">
        <v>1.66676</v>
      </c>
      <c r="CL166">
        <v>0.93981899999999996</v>
      </c>
      <c r="CM166">
        <v>0.16330600000000001</v>
      </c>
      <c r="CN166">
        <v>-1.2685E-2</v>
      </c>
      <c r="CO166">
        <v>0.289578</v>
      </c>
      <c r="CP166">
        <v>0.17411099999999999</v>
      </c>
      <c r="CQ166">
        <v>105.517746</v>
      </c>
      <c r="CR166">
        <v>3.6699999999999998E-4</v>
      </c>
      <c r="CS166">
        <v>2.4333689999999999</v>
      </c>
      <c r="CT166">
        <v>-3.6000000000000001E-5</v>
      </c>
      <c r="CU166">
        <v>1</v>
      </c>
      <c r="CV166">
        <v>2.4396819999999999</v>
      </c>
      <c r="CW166">
        <v>1.1E-5</v>
      </c>
      <c r="CX166">
        <v>1</v>
      </c>
      <c r="CY166">
        <v>0.60025499999999998</v>
      </c>
      <c r="CZ166">
        <v>0.60245199999999999</v>
      </c>
      <c r="DA166">
        <v>0.106742</v>
      </c>
      <c r="DB166">
        <v>0</v>
      </c>
      <c r="DC166" t="s">
        <v>681</v>
      </c>
      <c r="DD166" t="s">
        <v>515</v>
      </c>
      <c r="DE166" t="s">
        <v>516</v>
      </c>
      <c r="DF166" t="s">
        <v>517</v>
      </c>
      <c r="DG166" t="s">
        <v>518</v>
      </c>
      <c r="DH166" t="s">
        <v>205</v>
      </c>
      <c r="DI166" t="s">
        <v>519</v>
      </c>
    </row>
    <row r="167" spans="1:113">
      <c r="A167">
        <v>24</v>
      </c>
      <c r="B167" s="3">
        <v>0.46660879629629631</v>
      </c>
      <c r="C167" s="1">
        <v>45149</v>
      </c>
      <c r="D167" t="s">
        <v>196</v>
      </c>
      <c r="E167" t="s">
        <v>197</v>
      </c>
      <c r="G167">
        <v>24</v>
      </c>
      <c r="J167">
        <v>4.0390000000000002E-2</v>
      </c>
      <c r="K167">
        <v>2.9219240000000002</v>
      </c>
      <c r="L167">
        <v>3.984E-2</v>
      </c>
      <c r="M167">
        <v>1.802502</v>
      </c>
      <c r="N167">
        <v>2.4716999999999998</v>
      </c>
      <c r="O167">
        <v>2.4244720000000002</v>
      </c>
      <c r="P167">
        <v>6.5842010000000002</v>
      </c>
      <c r="Q167">
        <v>4.112501</v>
      </c>
      <c r="R167">
        <v>25.407361999999999</v>
      </c>
      <c r="S167">
        <v>25.902290000000001</v>
      </c>
      <c r="T167">
        <v>68.999427999999995</v>
      </c>
      <c r="U167">
        <v>0.44178600000000001</v>
      </c>
      <c r="V167" t="s">
        <v>682</v>
      </c>
      <c r="W167">
        <v>0</v>
      </c>
      <c r="X167">
        <v>0</v>
      </c>
      <c r="Y167">
        <v>0</v>
      </c>
      <c r="Z167">
        <v>105.48484000000001</v>
      </c>
      <c r="AA167">
        <v>360.57150300000001</v>
      </c>
      <c r="AB167">
        <v>0.70745100000000005</v>
      </c>
      <c r="AC167">
        <v>0.5</v>
      </c>
      <c r="AD167">
        <v>0.8</v>
      </c>
      <c r="AE167">
        <v>92.474472000000006</v>
      </c>
      <c r="AF167">
        <v>36.97</v>
      </c>
      <c r="AG167">
        <v>36.270000000000003</v>
      </c>
      <c r="AH167">
        <v>38.08</v>
      </c>
      <c r="AI167">
        <v>37.799999999999997</v>
      </c>
      <c r="AJ167">
        <v>95.42</v>
      </c>
      <c r="AK167">
        <v>156.69999999999999</v>
      </c>
      <c r="AL167">
        <v>155</v>
      </c>
      <c r="AM167">
        <v>1.1000000000000001</v>
      </c>
      <c r="AN167">
        <v>327</v>
      </c>
      <c r="AO167">
        <v>3.94</v>
      </c>
      <c r="AP167">
        <v>23</v>
      </c>
      <c r="AQ167">
        <v>-2</v>
      </c>
      <c r="AR167">
        <v>139</v>
      </c>
      <c r="AS167">
        <v>48.54</v>
      </c>
      <c r="AT167">
        <v>66.209999999999994</v>
      </c>
      <c r="AU167">
        <v>23.08</v>
      </c>
      <c r="AV167">
        <v>144.11000000000001</v>
      </c>
      <c r="AW167">
        <v>15.2</v>
      </c>
      <c r="AX167">
        <v>263.22000000000003</v>
      </c>
      <c r="AY167">
        <v>56.91</v>
      </c>
      <c r="AZ167" s="3">
        <v>0.67343750000000002</v>
      </c>
      <c r="BA167" s="1">
        <v>45149</v>
      </c>
      <c r="BB167">
        <v>38.493271</v>
      </c>
      <c r="BC167">
        <v>-1.3625149999999999</v>
      </c>
      <c r="BD167">
        <v>595.5</v>
      </c>
      <c r="BE167">
        <v>14</v>
      </c>
      <c r="BF167">
        <v>0.78</v>
      </c>
      <c r="BG167" s="3">
        <v>0.46171296296296299</v>
      </c>
      <c r="BH167" s="1">
        <v>45149</v>
      </c>
      <c r="BI167">
        <v>-0.14000000000000001</v>
      </c>
      <c r="BJ167">
        <v>3.0000000000000001E-3</v>
      </c>
      <c r="BK167">
        <v>2E-3</v>
      </c>
      <c r="BL167">
        <v>3.0000000000000001E-3</v>
      </c>
      <c r="BM167">
        <v>0.84699999999999998</v>
      </c>
      <c r="BN167">
        <v>0.68899999999999995</v>
      </c>
      <c r="BO167">
        <v>-7.2939999999999996</v>
      </c>
      <c r="BP167">
        <v>1</v>
      </c>
      <c r="BQ167">
        <v>150</v>
      </c>
      <c r="BR167">
        <v>5.0000000000000001E-3</v>
      </c>
      <c r="BS167">
        <v>2</v>
      </c>
      <c r="BT167">
        <v>0</v>
      </c>
      <c r="BU167" t="s">
        <v>200</v>
      </c>
      <c r="BV167">
        <v>7000</v>
      </c>
      <c r="BW167">
        <v>500</v>
      </c>
      <c r="BX167">
        <v>5</v>
      </c>
      <c r="BY167">
        <v>2</v>
      </c>
      <c r="BZ167">
        <v>300</v>
      </c>
      <c r="CA167">
        <v>300</v>
      </c>
      <c r="CB167">
        <v>300</v>
      </c>
      <c r="CC167">
        <v>360.57150300000001</v>
      </c>
      <c r="CD167">
        <v>25</v>
      </c>
      <c r="CE167">
        <v>1.753199</v>
      </c>
      <c r="CF167">
        <v>369.116669</v>
      </c>
      <c r="CG167">
        <v>363.07251000000002</v>
      </c>
      <c r="CH167">
        <v>6.0441589999999996</v>
      </c>
      <c r="CI167">
        <v>2.494999</v>
      </c>
      <c r="CJ167">
        <v>2.5048210000000002</v>
      </c>
      <c r="CK167">
        <v>1.6666179999999999</v>
      </c>
      <c r="CL167">
        <v>0.93979400000000002</v>
      </c>
      <c r="CM167">
        <v>0.16326399999999999</v>
      </c>
      <c r="CN167">
        <v>-2.908E-3</v>
      </c>
      <c r="CO167">
        <v>0.29181499999999999</v>
      </c>
      <c r="CP167">
        <v>0.39580599999999999</v>
      </c>
      <c r="CQ167">
        <v>105.48484000000001</v>
      </c>
      <c r="CR167">
        <v>3.7599999999999998E-4</v>
      </c>
      <c r="CS167">
        <v>2.4333689999999999</v>
      </c>
      <c r="CT167">
        <v>-3.6000000000000001E-5</v>
      </c>
      <c r="CU167">
        <v>1</v>
      </c>
      <c r="CV167">
        <v>2.4396819999999999</v>
      </c>
      <c r="CW167">
        <v>1.1E-5</v>
      </c>
      <c r="CX167">
        <v>1</v>
      </c>
      <c r="CY167">
        <v>0.60025499999999998</v>
      </c>
      <c r="CZ167">
        <v>0.60245199999999999</v>
      </c>
      <c r="DA167">
        <v>0.106742</v>
      </c>
      <c r="DB167">
        <v>0</v>
      </c>
      <c r="DC167" t="s">
        <v>682</v>
      </c>
      <c r="DD167" t="s">
        <v>515</v>
      </c>
      <c r="DE167" t="s">
        <v>516</v>
      </c>
      <c r="DF167" t="s">
        <v>517</v>
      </c>
      <c r="DG167" t="s">
        <v>518</v>
      </c>
      <c r="DH167" t="s">
        <v>205</v>
      </c>
      <c r="DI167" t="s">
        <v>519</v>
      </c>
    </row>
    <row r="168" spans="1:113">
      <c r="A168">
        <v>25</v>
      </c>
      <c r="B168" s="3">
        <v>0.46682870370370372</v>
      </c>
      <c r="C168" s="1">
        <v>45149</v>
      </c>
      <c r="D168" t="s">
        <v>196</v>
      </c>
      <c r="E168" t="s">
        <v>197</v>
      </c>
      <c r="G168">
        <v>25</v>
      </c>
      <c r="J168">
        <v>3.0391000000000001E-2</v>
      </c>
      <c r="K168">
        <v>2.9206829999999999</v>
      </c>
      <c r="L168">
        <v>3.0078000000000001E-2</v>
      </c>
      <c r="M168">
        <v>1.3614809999999999</v>
      </c>
      <c r="N168">
        <v>2.4180489999999999</v>
      </c>
      <c r="O168">
        <v>2.38232</v>
      </c>
      <c r="P168">
        <v>6.534897</v>
      </c>
      <c r="Q168">
        <v>4.1168480000000001</v>
      </c>
      <c r="R168">
        <v>24.965107</v>
      </c>
      <c r="S168">
        <v>25.339523</v>
      </c>
      <c r="T168">
        <v>68.481300000000005</v>
      </c>
      <c r="U168">
        <v>0.44178600000000001</v>
      </c>
      <c r="V168" t="s">
        <v>683</v>
      </c>
      <c r="W168">
        <v>0</v>
      </c>
      <c r="X168">
        <v>0</v>
      </c>
      <c r="Y168">
        <v>0</v>
      </c>
      <c r="Z168">
        <v>105.314972</v>
      </c>
      <c r="AA168">
        <v>321.47885100000002</v>
      </c>
      <c r="AB168">
        <v>0.67240500000000003</v>
      </c>
      <c r="AC168">
        <v>0.5</v>
      </c>
      <c r="AD168">
        <v>0.8</v>
      </c>
      <c r="AE168">
        <v>285.56011999999998</v>
      </c>
      <c r="AF168">
        <v>36.159999999999997</v>
      </c>
      <c r="AG168">
        <v>35.619999999999997</v>
      </c>
      <c r="AH168">
        <v>38.08</v>
      </c>
      <c r="AI168">
        <v>37.659999999999997</v>
      </c>
      <c r="AJ168">
        <v>95.43</v>
      </c>
      <c r="AK168">
        <v>156.6</v>
      </c>
      <c r="AL168">
        <v>155.30000000000001</v>
      </c>
      <c r="AM168">
        <v>0.8</v>
      </c>
      <c r="AN168">
        <v>1062</v>
      </c>
      <c r="AO168">
        <v>3.9089999999999998</v>
      </c>
      <c r="AP168">
        <v>14</v>
      </c>
      <c r="AQ168">
        <v>-34</v>
      </c>
      <c r="AR168">
        <v>309</v>
      </c>
      <c r="AS168">
        <v>49.11</v>
      </c>
      <c r="AT168">
        <v>65.459999999999994</v>
      </c>
      <c r="AU168">
        <v>36.450000000000003</v>
      </c>
      <c r="AV168">
        <v>19.27</v>
      </c>
      <c r="AW168">
        <v>15.2</v>
      </c>
      <c r="AX168">
        <v>263.39</v>
      </c>
      <c r="AY168">
        <v>57.1</v>
      </c>
      <c r="AZ168" s="3">
        <v>0.67365740740740743</v>
      </c>
      <c r="BA168" s="1">
        <v>45149</v>
      </c>
      <c r="BB168">
        <v>38.493309000000004</v>
      </c>
      <c r="BC168">
        <v>-1.362527</v>
      </c>
      <c r="BD168">
        <v>595.20001200000002</v>
      </c>
      <c r="BE168">
        <v>14</v>
      </c>
      <c r="BF168">
        <v>0.78</v>
      </c>
      <c r="BG168" s="3">
        <v>0.46171296296296299</v>
      </c>
      <c r="BH168" s="1">
        <v>45149</v>
      </c>
      <c r="BI168">
        <v>-0.14000000000000001</v>
      </c>
      <c r="BJ168">
        <v>2E-3</v>
      </c>
      <c r="BK168">
        <v>1E-3</v>
      </c>
      <c r="BL168">
        <v>1E-3</v>
      </c>
      <c r="BM168">
        <v>2.5139999999999998</v>
      </c>
      <c r="BN168">
        <v>1.8180000000000001</v>
      </c>
      <c r="BO168">
        <v>-2.4860000000000002</v>
      </c>
      <c r="BP168">
        <v>1</v>
      </c>
      <c r="BQ168">
        <v>150</v>
      </c>
      <c r="BR168">
        <v>5.0000000000000001E-3</v>
      </c>
      <c r="BS168">
        <v>2</v>
      </c>
      <c r="BT168">
        <v>0</v>
      </c>
      <c r="BU168" t="s">
        <v>200</v>
      </c>
      <c r="BV168">
        <v>7000</v>
      </c>
      <c r="BW168">
        <v>500</v>
      </c>
      <c r="BX168">
        <v>5</v>
      </c>
      <c r="BY168">
        <v>2</v>
      </c>
      <c r="BZ168">
        <v>300</v>
      </c>
      <c r="CA168">
        <v>300</v>
      </c>
      <c r="CB168">
        <v>300</v>
      </c>
      <c r="CC168">
        <v>294.58667000000003</v>
      </c>
      <c r="CD168">
        <v>25</v>
      </c>
      <c r="CE168">
        <v>-19.039961000000002</v>
      </c>
      <c r="CF168">
        <v>291.68881199999998</v>
      </c>
      <c r="CG168">
        <v>294.317566</v>
      </c>
      <c r="CH168">
        <v>-2.6287539999999998</v>
      </c>
      <c r="CI168">
        <v>2.4940280000000001</v>
      </c>
      <c r="CJ168">
        <v>2.5035880000000001</v>
      </c>
      <c r="CK168">
        <v>1.6653100000000001</v>
      </c>
      <c r="CL168">
        <v>0.94062800000000002</v>
      </c>
      <c r="CM168">
        <v>0.163218</v>
      </c>
      <c r="CN168">
        <v>-4.7949999999999998E-3</v>
      </c>
      <c r="CO168">
        <v>0.29350599999999999</v>
      </c>
      <c r="CP168">
        <v>1.045893</v>
      </c>
      <c r="CQ168">
        <v>105.314972</v>
      </c>
      <c r="CR168">
        <v>3.7199999999999999E-4</v>
      </c>
      <c r="CS168">
        <v>2.4333689999999999</v>
      </c>
      <c r="CT168">
        <v>-3.6000000000000001E-5</v>
      </c>
      <c r="CU168">
        <v>1</v>
      </c>
      <c r="CV168">
        <v>2.4396819999999999</v>
      </c>
      <c r="CW168">
        <v>1.1E-5</v>
      </c>
      <c r="CX168">
        <v>1</v>
      </c>
      <c r="CY168">
        <v>0.60025499999999998</v>
      </c>
      <c r="CZ168">
        <v>0.60245199999999999</v>
      </c>
      <c r="DA168">
        <v>0.106742</v>
      </c>
      <c r="DB168">
        <v>0</v>
      </c>
      <c r="DC168" t="s">
        <v>683</v>
      </c>
      <c r="DD168" t="s">
        <v>515</v>
      </c>
      <c r="DE168" t="s">
        <v>516</v>
      </c>
      <c r="DF168" t="s">
        <v>517</v>
      </c>
      <c r="DG168" t="s">
        <v>518</v>
      </c>
      <c r="DH168" t="s">
        <v>205</v>
      </c>
      <c r="DI168" t="s">
        <v>519</v>
      </c>
    </row>
    <row r="169" spans="1:113">
      <c r="A169">
        <v>26</v>
      </c>
      <c r="B169" s="3">
        <v>0.46702546296296293</v>
      </c>
      <c r="C169" s="1">
        <v>45149</v>
      </c>
      <c r="D169" t="s">
        <v>196</v>
      </c>
      <c r="E169" t="s">
        <v>197</v>
      </c>
      <c r="G169">
        <v>26</v>
      </c>
      <c r="J169">
        <v>4.3027999999999997E-2</v>
      </c>
      <c r="K169">
        <v>2.9207049999999999</v>
      </c>
      <c r="L169">
        <v>4.2403000000000003E-2</v>
      </c>
      <c r="M169">
        <v>1.908042</v>
      </c>
      <c r="N169">
        <v>2.4190200000000002</v>
      </c>
      <c r="O169">
        <v>2.3689490000000002</v>
      </c>
      <c r="P169">
        <v>6.5120630000000004</v>
      </c>
      <c r="Q169">
        <v>4.0930429999999998</v>
      </c>
      <c r="R169">
        <v>24.824788999999999</v>
      </c>
      <c r="S169">
        <v>25.349499000000002</v>
      </c>
      <c r="T169">
        <v>68.241485999999995</v>
      </c>
      <c r="U169">
        <v>0.44178600000000001</v>
      </c>
      <c r="V169" t="s">
        <v>684</v>
      </c>
      <c r="W169">
        <v>0</v>
      </c>
      <c r="X169">
        <v>0</v>
      </c>
      <c r="Y169">
        <v>0</v>
      </c>
      <c r="Z169">
        <v>125.738022</v>
      </c>
      <c r="AA169">
        <v>390.04513500000002</v>
      </c>
      <c r="AB169">
        <v>0.67763200000000001</v>
      </c>
      <c r="AC169">
        <v>0.5</v>
      </c>
      <c r="AD169">
        <v>0.8</v>
      </c>
      <c r="AE169">
        <v>150.31912199999999</v>
      </c>
      <c r="AF169">
        <v>36.15</v>
      </c>
      <c r="AG169">
        <v>35.409999999999997</v>
      </c>
      <c r="AH169">
        <v>38.090000000000003</v>
      </c>
      <c r="AI169">
        <v>37.590000000000003</v>
      </c>
      <c r="AJ169">
        <v>95.43</v>
      </c>
      <c r="AK169">
        <v>156.6</v>
      </c>
      <c r="AL169">
        <v>155.19999999999999</v>
      </c>
      <c r="AM169">
        <v>0.9</v>
      </c>
      <c r="AN169">
        <v>555</v>
      </c>
      <c r="AO169">
        <v>3.9390000000000001</v>
      </c>
      <c r="AP169">
        <v>17</v>
      </c>
      <c r="AQ169">
        <v>-16</v>
      </c>
      <c r="AR169">
        <v>261</v>
      </c>
      <c r="AS169">
        <v>75.290000000000006</v>
      </c>
      <c r="AT169">
        <v>25.38</v>
      </c>
      <c r="AU169">
        <v>23.18</v>
      </c>
      <c r="AV169">
        <v>-54.56</v>
      </c>
      <c r="AW169">
        <v>15.2</v>
      </c>
      <c r="AX169">
        <v>263.39</v>
      </c>
      <c r="AY169">
        <v>57.1</v>
      </c>
      <c r="AZ169" s="3">
        <v>0.67385416666666664</v>
      </c>
      <c r="BA169" s="1">
        <v>45149</v>
      </c>
      <c r="BB169">
        <v>38.493327999999998</v>
      </c>
      <c r="BC169">
        <v>-1.3625320000000001</v>
      </c>
      <c r="BD169">
        <v>594.79998799999998</v>
      </c>
      <c r="BE169">
        <v>14</v>
      </c>
      <c r="BF169">
        <v>0.78</v>
      </c>
      <c r="BG169" s="3">
        <v>0.46171296296296299</v>
      </c>
      <c r="BH169" s="1">
        <v>45149</v>
      </c>
      <c r="BI169">
        <v>-0.14000000000000001</v>
      </c>
      <c r="BJ169">
        <v>0</v>
      </c>
      <c r="BK169">
        <v>-1E-3</v>
      </c>
      <c r="BL169">
        <v>0</v>
      </c>
      <c r="BM169">
        <v>-0.16500000000000001</v>
      </c>
      <c r="BN169">
        <v>0.19500000000000001</v>
      </c>
      <c r="BO169">
        <v>-24.850999999999999</v>
      </c>
      <c r="BP169">
        <v>1</v>
      </c>
      <c r="BQ169">
        <v>150</v>
      </c>
      <c r="BR169">
        <v>5.0000000000000001E-3</v>
      </c>
      <c r="BS169">
        <v>2</v>
      </c>
      <c r="BT169">
        <v>0</v>
      </c>
      <c r="BU169" t="s">
        <v>200</v>
      </c>
      <c r="BV169">
        <v>7000</v>
      </c>
      <c r="BW169">
        <v>500</v>
      </c>
      <c r="BX169">
        <v>5</v>
      </c>
      <c r="BY169">
        <v>2</v>
      </c>
      <c r="BZ169">
        <v>300</v>
      </c>
      <c r="CA169">
        <v>300</v>
      </c>
      <c r="CB169">
        <v>300</v>
      </c>
      <c r="CC169">
        <v>382.13717700000001</v>
      </c>
      <c r="CD169">
        <v>25</v>
      </c>
      <c r="CE169">
        <v>-4.7984210000000003</v>
      </c>
      <c r="CF169">
        <v>386.71981799999998</v>
      </c>
      <c r="CG169">
        <v>383.19998199999998</v>
      </c>
      <c r="CH169">
        <v>3.5198360000000002</v>
      </c>
      <c r="CI169">
        <v>2.4937010000000002</v>
      </c>
      <c r="CJ169">
        <v>2.503584</v>
      </c>
      <c r="CK169">
        <v>1.665333</v>
      </c>
      <c r="CL169">
        <v>0.94039700000000004</v>
      </c>
      <c r="CM169">
        <v>0.163165</v>
      </c>
      <c r="CN169">
        <v>-5.738E-3</v>
      </c>
      <c r="CO169">
        <v>0.29497699999999999</v>
      </c>
      <c r="CP169">
        <v>0.597298</v>
      </c>
      <c r="CQ169">
        <v>125.738022</v>
      </c>
      <c r="CR169">
        <v>3.7199999999999999E-4</v>
      </c>
      <c r="CS169">
        <v>2.4333689999999999</v>
      </c>
      <c r="CT169">
        <v>-3.6000000000000001E-5</v>
      </c>
      <c r="CU169">
        <v>1</v>
      </c>
      <c r="CV169">
        <v>2.4396819999999999</v>
      </c>
      <c r="CW169">
        <v>1.1E-5</v>
      </c>
      <c r="CX169">
        <v>1</v>
      </c>
      <c r="CY169">
        <v>0.60025499999999998</v>
      </c>
      <c r="CZ169">
        <v>0.60245199999999999</v>
      </c>
      <c r="DA169">
        <v>0.106742</v>
      </c>
      <c r="DB169">
        <v>0</v>
      </c>
      <c r="DC169" t="s">
        <v>684</v>
      </c>
      <c r="DD169" t="s">
        <v>515</v>
      </c>
      <c r="DE169" t="s">
        <v>516</v>
      </c>
      <c r="DF169" t="s">
        <v>517</v>
      </c>
      <c r="DG169" t="s">
        <v>518</v>
      </c>
      <c r="DH169" t="s">
        <v>205</v>
      </c>
      <c r="DI169" t="s">
        <v>519</v>
      </c>
    </row>
    <row r="170" spans="1:113">
      <c r="A170">
        <v>1</v>
      </c>
      <c r="B170" s="3">
        <v>0.47309027777777773</v>
      </c>
      <c r="C170" s="1">
        <v>45149</v>
      </c>
      <c r="D170" t="s">
        <v>196</v>
      </c>
      <c r="E170" t="s">
        <v>197</v>
      </c>
      <c r="G170">
        <v>1</v>
      </c>
      <c r="J170">
        <v>1.2749E-2</v>
      </c>
      <c r="K170">
        <v>2.9205049999999999</v>
      </c>
      <c r="L170">
        <v>1.2692999999999999E-2</v>
      </c>
      <c r="M170">
        <v>0.55181400000000003</v>
      </c>
      <c r="N170">
        <v>2.3081320000000001</v>
      </c>
      <c r="O170">
        <v>2.293641</v>
      </c>
      <c r="P170">
        <v>6.2677310000000004</v>
      </c>
      <c r="Q170">
        <v>3.9595989999999999</v>
      </c>
      <c r="R170">
        <v>24.049917000000001</v>
      </c>
      <c r="S170">
        <v>24.201868000000001</v>
      </c>
      <c r="T170">
        <v>65.720146</v>
      </c>
      <c r="U170">
        <v>0.44178600000000001</v>
      </c>
      <c r="V170" t="s">
        <v>685</v>
      </c>
      <c r="W170">
        <v>0</v>
      </c>
      <c r="X170">
        <v>0</v>
      </c>
      <c r="Y170">
        <v>0</v>
      </c>
      <c r="Z170">
        <v>103.05011</v>
      </c>
      <c r="AA170">
        <v>395.71023600000001</v>
      </c>
      <c r="AB170">
        <v>0.73958199999999996</v>
      </c>
      <c r="AC170">
        <v>0.5</v>
      </c>
      <c r="AD170">
        <v>0.8</v>
      </c>
      <c r="AE170">
        <v>70.653107000000006</v>
      </c>
      <c r="AF170">
        <v>35.94</v>
      </c>
      <c r="AG170">
        <v>35.71</v>
      </c>
      <c r="AH170">
        <v>37.340000000000003</v>
      </c>
      <c r="AI170">
        <v>36.89</v>
      </c>
      <c r="AJ170">
        <v>95.37</v>
      </c>
      <c r="AK170">
        <v>156.6</v>
      </c>
      <c r="AL170">
        <v>155.30000000000001</v>
      </c>
      <c r="AM170">
        <v>0.8</v>
      </c>
      <c r="AN170">
        <v>239</v>
      </c>
      <c r="AO170">
        <v>3.9409999999999998</v>
      </c>
      <c r="AP170">
        <v>-7</v>
      </c>
      <c r="AQ170">
        <v>-13</v>
      </c>
      <c r="AR170">
        <v>270</v>
      </c>
      <c r="AZ170" s="3">
        <v>0</v>
      </c>
      <c r="BA170" t="s">
        <v>513</v>
      </c>
      <c r="BB170" t="s">
        <v>514</v>
      </c>
      <c r="BC170" t="s">
        <v>514</v>
      </c>
      <c r="BD170" t="s">
        <v>514</v>
      </c>
      <c r="BE170">
        <v>0</v>
      </c>
      <c r="BF170" t="s">
        <v>514</v>
      </c>
      <c r="BG170" s="3">
        <v>0.47282407407407406</v>
      </c>
      <c r="BH170" s="1">
        <v>45149</v>
      </c>
      <c r="BI170">
        <v>-0.1</v>
      </c>
      <c r="BJ170">
        <v>0</v>
      </c>
      <c r="BK170">
        <v>0</v>
      </c>
      <c r="BL170">
        <v>-2E-3</v>
      </c>
      <c r="BM170">
        <v>-0.56999999999999995</v>
      </c>
      <c r="BN170">
        <v>-3.0289999999999999</v>
      </c>
      <c r="BO170">
        <v>-15.43</v>
      </c>
      <c r="BP170">
        <v>1</v>
      </c>
      <c r="BQ170">
        <v>150</v>
      </c>
      <c r="BR170">
        <v>5.0000000000000001E-3</v>
      </c>
      <c r="BS170">
        <v>2</v>
      </c>
      <c r="BT170">
        <v>0</v>
      </c>
      <c r="BU170" t="s">
        <v>200</v>
      </c>
      <c r="BV170">
        <v>7000</v>
      </c>
      <c r="BW170">
        <v>500</v>
      </c>
      <c r="BX170">
        <v>5</v>
      </c>
      <c r="BY170">
        <v>2</v>
      </c>
      <c r="BZ170">
        <v>300</v>
      </c>
      <c r="CA170">
        <v>300</v>
      </c>
      <c r="CB170">
        <v>300</v>
      </c>
      <c r="CC170">
        <v>395.71023600000001</v>
      </c>
      <c r="CD170">
        <v>25</v>
      </c>
      <c r="CE170">
        <v>7.986389</v>
      </c>
      <c r="CF170">
        <v>402.13073700000001</v>
      </c>
      <c r="CG170">
        <v>407.10314899999997</v>
      </c>
      <c r="CH170">
        <v>-4.9724120000000003</v>
      </c>
      <c r="CI170">
        <v>2.4942869999999999</v>
      </c>
      <c r="CJ170">
        <v>2.5032800000000002</v>
      </c>
      <c r="CK170">
        <v>1.6651229999999999</v>
      </c>
      <c r="CL170">
        <v>0.94054700000000002</v>
      </c>
      <c r="CM170">
        <v>0.16797400000000001</v>
      </c>
      <c r="CN170">
        <v>-5.0619999999999997E-3</v>
      </c>
      <c r="CO170">
        <v>0.121901</v>
      </c>
      <c r="CP170">
        <v>0.318</v>
      </c>
      <c r="CQ170">
        <v>103.05011</v>
      </c>
      <c r="CR170">
        <v>3.7100000000000002E-4</v>
      </c>
      <c r="CS170">
        <v>2.4333689999999999</v>
      </c>
      <c r="CT170">
        <v>-3.6000000000000001E-5</v>
      </c>
      <c r="CU170">
        <v>1</v>
      </c>
      <c r="CV170">
        <v>2.4396819999999999</v>
      </c>
      <c r="CW170">
        <v>1.1E-5</v>
      </c>
      <c r="CX170">
        <v>1</v>
      </c>
      <c r="CY170">
        <v>0.60025499999999998</v>
      </c>
      <c r="CZ170">
        <v>0.60245199999999999</v>
      </c>
      <c r="DA170">
        <v>0.106742</v>
      </c>
      <c r="DB170">
        <v>0</v>
      </c>
      <c r="DC170" t="s">
        <v>685</v>
      </c>
      <c r="DD170" t="s">
        <v>515</v>
      </c>
      <c r="DE170" t="s">
        <v>516</v>
      </c>
      <c r="DF170" t="s">
        <v>517</v>
      </c>
      <c r="DG170" t="s">
        <v>518</v>
      </c>
      <c r="DH170" t="s">
        <v>205</v>
      </c>
      <c r="DI170" t="s">
        <v>519</v>
      </c>
    </row>
    <row r="171" spans="1:113">
      <c r="A171">
        <v>2</v>
      </c>
      <c r="B171" s="3">
        <v>0.47332175925925929</v>
      </c>
      <c r="C171" s="1">
        <v>45149</v>
      </c>
      <c r="D171" t="s">
        <v>196</v>
      </c>
      <c r="E171" t="s">
        <v>197</v>
      </c>
      <c r="G171">
        <v>2</v>
      </c>
      <c r="J171">
        <v>2.9173999999999999E-2</v>
      </c>
      <c r="K171">
        <v>2.9229949999999998</v>
      </c>
      <c r="L171">
        <v>2.8885999999999998E-2</v>
      </c>
      <c r="M171">
        <v>1.216812</v>
      </c>
      <c r="N171">
        <v>2.3007680000000001</v>
      </c>
      <c r="O171">
        <v>2.268869</v>
      </c>
      <c r="P171">
        <v>6.1408170000000002</v>
      </c>
      <c r="Q171">
        <v>3.840049</v>
      </c>
      <c r="R171">
        <v>23.787745000000001</v>
      </c>
      <c r="S171">
        <v>24.122181000000001</v>
      </c>
      <c r="T171">
        <v>64.382812000000001</v>
      </c>
      <c r="U171">
        <v>0.44178600000000001</v>
      </c>
      <c r="V171" t="s">
        <v>686</v>
      </c>
      <c r="W171">
        <v>0</v>
      </c>
      <c r="X171">
        <v>0</v>
      </c>
      <c r="Y171">
        <v>0</v>
      </c>
      <c r="Z171">
        <v>114.821434</v>
      </c>
      <c r="AA171">
        <v>414.66271999999998</v>
      </c>
      <c r="AB171">
        <v>0.72309699999999999</v>
      </c>
      <c r="AC171">
        <v>0.5</v>
      </c>
      <c r="AD171">
        <v>0.8</v>
      </c>
      <c r="AE171">
        <v>98.828354000000004</v>
      </c>
      <c r="AF171">
        <v>35.85</v>
      </c>
      <c r="AG171">
        <v>35.35</v>
      </c>
      <c r="AH171">
        <v>37.33</v>
      </c>
      <c r="AI171">
        <v>36.520000000000003</v>
      </c>
      <c r="AJ171">
        <v>95.38</v>
      </c>
      <c r="AK171">
        <v>156.9</v>
      </c>
      <c r="AL171">
        <v>155.30000000000001</v>
      </c>
      <c r="AM171">
        <v>1</v>
      </c>
      <c r="AN171">
        <v>342</v>
      </c>
      <c r="AO171">
        <v>3.94</v>
      </c>
      <c r="AP171">
        <v>24</v>
      </c>
      <c r="AQ171">
        <v>-11</v>
      </c>
      <c r="AR171">
        <v>274</v>
      </c>
      <c r="AZ171" s="3">
        <v>0</v>
      </c>
      <c r="BA171" t="s">
        <v>513</v>
      </c>
      <c r="BB171" t="s">
        <v>514</v>
      </c>
      <c r="BC171" t="s">
        <v>514</v>
      </c>
      <c r="BD171" t="s">
        <v>514</v>
      </c>
      <c r="BE171">
        <v>0</v>
      </c>
      <c r="BF171" t="s">
        <v>514</v>
      </c>
      <c r="BG171" s="3">
        <v>0.47282407407407406</v>
      </c>
      <c r="BH171" s="1">
        <v>45149</v>
      </c>
      <c r="BI171">
        <v>-0.1</v>
      </c>
      <c r="BJ171">
        <v>0</v>
      </c>
      <c r="BK171">
        <v>-1E-3</v>
      </c>
      <c r="BL171">
        <v>-1E-3</v>
      </c>
      <c r="BM171">
        <v>-0.19900000000000001</v>
      </c>
      <c r="BN171">
        <v>-1.2090000000000001</v>
      </c>
      <c r="BO171">
        <v>-8.7539999999999996</v>
      </c>
      <c r="BP171">
        <v>1</v>
      </c>
      <c r="BQ171">
        <v>150</v>
      </c>
      <c r="BR171">
        <v>5.0000000000000001E-3</v>
      </c>
      <c r="BS171">
        <v>2</v>
      </c>
      <c r="BT171">
        <v>0</v>
      </c>
      <c r="BU171" t="s">
        <v>200</v>
      </c>
      <c r="BV171">
        <v>7000</v>
      </c>
      <c r="BW171">
        <v>500</v>
      </c>
      <c r="BX171">
        <v>5</v>
      </c>
      <c r="BY171">
        <v>2</v>
      </c>
      <c r="BZ171">
        <v>300</v>
      </c>
      <c r="CA171">
        <v>300</v>
      </c>
      <c r="CB171">
        <v>300</v>
      </c>
      <c r="CC171">
        <v>405.45059199999997</v>
      </c>
      <c r="CD171">
        <v>25</v>
      </c>
      <c r="CE171">
        <v>-5.3730609999999999</v>
      </c>
      <c r="CF171">
        <v>405.93408199999999</v>
      </c>
      <c r="CG171">
        <v>406.99783300000001</v>
      </c>
      <c r="CH171">
        <v>-1.0637509999999999</v>
      </c>
      <c r="CI171">
        <v>2.4937390000000001</v>
      </c>
      <c r="CJ171">
        <v>2.5031400000000001</v>
      </c>
      <c r="CK171">
        <v>1.667751</v>
      </c>
      <c r="CL171">
        <v>0.94061600000000001</v>
      </c>
      <c r="CM171">
        <v>0.168046</v>
      </c>
      <c r="CN171">
        <v>-9.7129999999999994E-3</v>
      </c>
      <c r="CO171">
        <v>0.12512599999999999</v>
      </c>
      <c r="CP171">
        <v>0.40898299999999999</v>
      </c>
      <c r="CQ171">
        <v>114.821434</v>
      </c>
      <c r="CR171">
        <v>3.8400000000000001E-4</v>
      </c>
      <c r="CS171">
        <v>2.4333689999999999</v>
      </c>
      <c r="CT171">
        <v>-3.6000000000000001E-5</v>
      </c>
      <c r="CU171">
        <v>1</v>
      </c>
      <c r="CV171">
        <v>2.4396819999999999</v>
      </c>
      <c r="CW171">
        <v>1.1E-5</v>
      </c>
      <c r="CX171">
        <v>1</v>
      </c>
      <c r="CY171">
        <v>0.60025499999999998</v>
      </c>
      <c r="CZ171">
        <v>0.60245199999999999</v>
      </c>
      <c r="DA171">
        <v>0.106742</v>
      </c>
      <c r="DB171">
        <v>0</v>
      </c>
      <c r="DC171" t="s">
        <v>686</v>
      </c>
      <c r="DD171" t="s">
        <v>515</v>
      </c>
      <c r="DE171" t="s">
        <v>516</v>
      </c>
      <c r="DF171" t="s">
        <v>517</v>
      </c>
      <c r="DG171" t="s">
        <v>518</v>
      </c>
      <c r="DH171" t="s">
        <v>205</v>
      </c>
      <c r="DI171" t="s">
        <v>519</v>
      </c>
    </row>
    <row r="172" spans="1:113">
      <c r="A172">
        <v>3</v>
      </c>
      <c r="B172" s="3">
        <v>0.47347222222222224</v>
      </c>
      <c r="C172" s="1">
        <v>45149</v>
      </c>
      <c r="D172" t="s">
        <v>196</v>
      </c>
      <c r="E172" t="s">
        <v>197</v>
      </c>
      <c r="G172">
        <v>3</v>
      </c>
      <c r="J172">
        <v>7.9631999999999994E-2</v>
      </c>
      <c r="K172">
        <v>2.9223919999999999</v>
      </c>
      <c r="L172">
        <v>7.7520000000000006E-2</v>
      </c>
      <c r="M172">
        <v>3.8048299999999999</v>
      </c>
      <c r="N172">
        <v>2.388099</v>
      </c>
      <c r="O172">
        <v>2.2884030000000002</v>
      </c>
      <c r="P172">
        <v>6.8429570000000002</v>
      </c>
      <c r="Q172">
        <v>4.4548579999999998</v>
      </c>
      <c r="R172">
        <v>23.992667999999998</v>
      </c>
      <c r="S172">
        <v>25.037929999999999</v>
      </c>
      <c r="T172">
        <v>71.744713000000004</v>
      </c>
      <c r="U172">
        <v>0.44178600000000001</v>
      </c>
      <c r="V172" t="s">
        <v>687</v>
      </c>
      <c r="W172">
        <v>0</v>
      </c>
      <c r="X172">
        <v>0</v>
      </c>
      <c r="Y172">
        <v>0</v>
      </c>
      <c r="Z172">
        <v>111.72508999999999</v>
      </c>
      <c r="AA172">
        <v>206.24664300000001</v>
      </c>
      <c r="AB172">
        <v>0.45829399999999998</v>
      </c>
      <c r="AC172">
        <v>0.5</v>
      </c>
      <c r="AD172">
        <v>0.8</v>
      </c>
      <c r="AE172">
        <v>269.56781000000001</v>
      </c>
      <c r="AF172">
        <v>37.200000000000003</v>
      </c>
      <c r="AG172">
        <v>35.65</v>
      </c>
      <c r="AH172">
        <v>37.33</v>
      </c>
      <c r="AI172">
        <v>38.51</v>
      </c>
      <c r="AJ172">
        <v>95.38</v>
      </c>
      <c r="AK172">
        <v>156.80000000000001</v>
      </c>
      <c r="AL172">
        <v>155.5</v>
      </c>
      <c r="AM172">
        <v>0.8</v>
      </c>
      <c r="AN172">
        <v>1470</v>
      </c>
      <c r="AO172">
        <v>3.9089999999999998</v>
      </c>
      <c r="AP172">
        <v>30</v>
      </c>
      <c r="AQ172">
        <v>-27</v>
      </c>
      <c r="AR172">
        <v>9</v>
      </c>
      <c r="AZ172" s="3">
        <v>0</v>
      </c>
      <c r="BA172" t="s">
        <v>513</v>
      </c>
      <c r="BB172" t="s">
        <v>514</v>
      </c>
      <c r="BC172" t="s">
        <v>514</v>
      </c>
      <c r="BD172" t="s">
        <v>514</v>
      </c>
      <c r="BE172">
        <v>0</v>
      </c>
      <c r="BF172" t="s">
        <v>514</v>
      </c>
      <c r="BG172" s="3">
        <v>0.47282407407407406</v>
      </c>
      <c r="BH172" s="1">
        <v>45149</v>
      </c>
      <c r="BI172">
        <v>-0.1</v>
      </c>
      <c r="BJ172">
        <v>2E-3</v>
      </c>
      <c r="BK172">
        <v>4.0000000000000001E-3</v>
      </c>
      <c r="BL172">
        <v>-9999</v>
      </c>
      <c r="BM172">
        <v>-2.3650000000000002</v>
      </c>
      <c r="BN172">
        <v>0.65800000000000003</v>
      </c>
      <c r="BO172">
        <v>-9999</v>
      </c>
      <c r="BP172">
        <v>1</v>
      </c>
      <c r="BQ172">
        <v>150</v>
      </c>
      <c r="BR172">
        <v>5.0000000000000001E-3</v>
      </c>
      <c r="BS172">
        <v>2</v>
      </c>
      <c r="BT172">
        <v>0</v>
      </c>
      <c r="BU172" t="s">
        <v>200</v>
      </c>
      <c r="BV172">
        <v>7000</v>
      </c>
      <c r="BW172">
        <v>500</v>
      </c>
      <c r="BX172">
        <v>5</v>
      </c>
      <c r="BY172">
        <v>2</v>
      </c>
      <c r="BZ172">
        <v>300</v>
      </c>
      <c r="CA172">
        <v>300</v>
      </c>
      <c r="CB172">
        <v>300</v>
      </c>
      <c r="CC172">
        <v>190.04737900000001</v>
      </c>
      <c r="CD172">
        <v>25</v>
      </c>
      <c r="CE172">
        <v>-11.516578000000001</v>
      </c>
      <c r="CF172">
        <v>188.95124799999999</v>
      </c>
      <c r="CG172">
        <v>189.81776400000001</v>
      </c>
      <c r="CH172">
        <v>-0.86651599999999995</v>
      </c>
      <c r="CI172">
        <v>2.4941949999999999</v>
      </c>
      <c r="CJ172">
        <v>2.5051950000000001</v>
      </c>
      <c r="CK172">
        <v>1.6671130000000001</v>
      </c>
      <c r="CL172">
        <v>0.94110099999999997</v>
      </c>
      <c r="CM172">
        <v>0.16803899999999999</v>
      </c>
      <c r="CN172">
        <v>1.6025999999999999E-2</v>
      </c>
      <c r="CO172">
        <v>0.127252</v>
      </c>
      <c r="CP172">
        <v>1.4074880000000001</v>
      </c>
      <c r="CQ172">
        <v>111.72508999999999</v>
      </c>
      <c r="CR172">
        <v>3.7100000000000002E-4</v>
      </c>
      <c r="CS172">
        <v>2.4333689999999999</v>
      </c>
      <c r="CT172">
        <v>-3.6000000000000001E-5</v>
      </c>
      <c r="CU172">
        <v>1</v>
      </c>
      <c r="CV172">
        <v>2.4396819999999999</v>
      </c>
      <c r="CW172">
        <v>1.1E-5</v>
      </c>
      <c r="CX172">
        <v>1</v>
      </c>
      <c r="CY172">
        <v>0.60025499999999998</v>
      </c>
      <c r="CZ172">
        <v>0.60245199999999999</v>
      </c>
      <c r="DA172">
        <v>0.106742</v>
      </c>
      <c r="DB172">
        <v>0</v>
      </c>
      <c r="DC172" t="s">
        <v>687</v>
      </c>
      <c r="DD172" t="s">
        <v>515</v>
      </c>
      <c r="DE172" t="s">
        <v>516</v>
      </c>
      <c r="DF172" t="s">
        <v>517</v>
      </c>
      <c r="DG172" t="s">
        <v>518</v>
      </c>
      <c r="DH172" t="s">
        <v>205</v>
      </c>
      <c r="DI172" t="s">
        <v>519</v>
      </c>
    </row>
    <row r="173" spans="1:113">
      <c r="A173">
        <v>4</v>
      </c>
      <c r="B173" s="3">
        <v>0.4736805555555556</v>
      </c>
      <c r="C173" s="1">
        <v>45149</v>
      </c>
      <c r="D173" t="s">
        <v>196</v>
      </c>
      <c r="E173" t="s">
        <v>197</v>
      </c>
      <c r="G173">
        <v>4</v>
      </c>
      <c r="J173">
        <v>5.5619000000000002E-2</v>
      </c>
      <c r="K173">
        <v>2.9220130000000002</v>
      </c>
      <c r="L173">
        <v>5.4579999999999997E-2</v>
      </c>
      <c r="M173">
        <v>2.3787889999999998</v>
      </c>
      <c r="N173">
        <v>2.4220730000000001</v>
      </c>
      <c r="O173">
        <v>2.3597419999999998</v>
      </c>
      <c r="P173">
        <v>6.3874000000000004</v>
      </c>
      <c r="Q173">
        <v>3.9653269999999998</v>
      </c>
      <c r="R173">
        <v>24.738479999999999</v>
      </c>
      <c r="S173">
        <v>25.391936999999999</v>
      </c>
      <c r="T173">
        <v>66.962661999999995</v>
      </c>
      <c r="U173">
        <v>0.44178600000000001</v>
      </c>
      <c r="V173" t="s">
        <v>688</v>
      </c>
      <c r="W173">
        <v>0</v>
      </c>
      <c r="X173">
        <v>0</v>
      </c>
      <c r="Y173">
        <v>0</v>
      </c>
      <c r="Z173">
        <v>96.906784000000002</v>
      </c>
      <c r="AA173">
        <v>307.983521</v>
      </c>
      <c r="AB173">
        <v>0.68535100000000004</v>
      </c>
      <c r="AC173">
        <v>0.5</v>
      </c>
      <c r="AD173">
        <v>0.8</v>
      </c>
      <c r="AE173">
        <v>376.752228</v>
      </c>
      <c r="AF173">
        <v>37.729999999999997</v>
      </c>
      <c r="AG173">
        <v>36.76</v>
      </c>
      <c r="AH173">
        <v>37.33</v>
      </c>
      <c r="AI173">
        <v>37.24</v>
      </c>
      <c r="AJ173">
        <v>95.39</v>
      </c>
      <c r="AK173">
        <v>156.69999999999999</v>
      </c>
      <c r="AL173">
        <v>155.1</v>
      </c>
      <c r="AM173">
        <v>1</v>
      </c>
      <c r="AN173">
        <v>1374</v>
      </c>
      <c r="AO173">
        <v>3.9319999999999999</v>
      </c>
      <c r="AP173">
        <v>21</v>
      </c>
      <c r="AQ173">
        <v>-29</v>
      </c>
      <c r="AR173">
        <v>354</v>
      </c>
      <c r="AZ173" s="3">
        <v>0</v>
      </c>
      <c r="BA173" t="s">
        <v>513</v>
      </c>
      <c r="BB173">
        <v>38.492508000000001</v>
      </c>
      <c r="BC173">
        <v>-1.362798</v>
      </c>
      <c r="BD173">
        <v>566.79998799999998</v>
      </c>
      <c r="BE173">
        <v>5</v>
      </c>
      <c r="BF173">
        <v>1.63</v>
      </c>
      <c r="BG173" s="3">
        <v>0.47282407407407406</v>
      </c>
      <c r="BH173" s="1">
        <v>45149</v>
      </c>
      <c r="BI173">
        <v>-0.1</v>
      </c>
      <c r="BJ173">
        <v>3.0000000000000001E-3</v>
      </c>
      <c r="BK173">
        <v>1E-3</v>
      </c>
      <c r="BL173">
        <v>-1E-3</v>
      </c>
      <c r="BM173">
        <v>1.8320000000000001</v>
      </c>
      <c r="BN173">
        <v>-1.575</v>
      </c>
      <c r="BO173">
        <v>-16.016999999999999</v>
      </c>
      <c r="BP173">
        <v>1</v>
      </c>
      <c r="BQ173">
        <v>150</v>
      </c>
      <c r="BR173">
        <v>5.0000000000000001E-3</v>
      </c>
      <c r="BS173">
        <v>2</v>
      </c>
      <c r="BT173">
        <v>0</v>
      </c>
      <c r="BU173" t="s">
        <v>200</v>
      </c>
      <c r="BV173">
        <v>7000</v>
      </c>
      <c r="BW173">
        <v>500</v>
      </c>
      <c r="BX173">
        <v>5</v>
      </c>
      <c r="BY173">
        <v>2</v>
      </c>
      <c r="BZ173">
        <v>300</v>
      </c>
      <c r="CA173">
        <v>300</v>
      </c>
      <c r="CB173">
        <v>300</v>
      </c>
      <c r="CC173">
        <v>283.34320100000002</v>
      </c>
      <c r="CD173">
        <v>25</v>
      </c>
      <c r="CE173">
        <v>-16.787154999999998</v>
      </c>
      <c r="CF173">
        <v>284.83450299999998</v>
      </c>
      <c r="CG173">
        <v>284.03595000000001</v>
      </c>
      <c r="CH173">
        <v>0.79855299999999996</v>
      </c>
      <c r="CI173">
        <v>2.4958619999999998</v>
      </c>
      <c r="CJ173">
        <v>2.505986</v>
      </c>
      <c r="CK173">
        <v>1.666712</v>
      </c>
      <c r="CL173">
        <v>0.94019200000000003</v>
      </c>
      <c r="CM173">
        <v>0.16802700000000001</v>
      </c>
      <c r="CN173">
        <v>-4.95E-4</v>
      </c>
      <c r="CO173">
        <v>0.12989400000000001</v>
      </c>
      <c r="CP173">
        <v>1.3224</v>
      </c>
      <c r="CQ173">
        <v>96.906784000000002</v>
      </c>
      <c r="CR173">
        <v>3.77E-4</v>
      </c>
      <c r="CS173">
        <v>2.4333689999999999</v>
      </c>
      <c r="CT173">
        <v>-3.6000000000000001E-5</v>
      </c>
      <c r="CU173">
        <v>1</v>
      </c>
      <c r="CV173">
        <v>2.4396819999999999</v>
      </c>
      <c r="CW173">
        <v>1.1E-5</v>
      </c>
      <c r="CX173">
        <v>1</v>
      </c>
      <c r="CY173">
        <v>0.60025499999999998</v>
      </c>
      <c r="CZ173">
        <v>0.60245199999999999</v>
      </c>
      <c r="DA173">
        <v>0.106742</v>
      </c>
      <c r="DB173">
        <v>0</v>
      </c>
      <c r="DC173" t="s">
        <v>688</v>
      </c>
      <c r="DD173" t="s">
        <v>515</v>
      </c>
      <c r="DE173" t="s">
        <v>516</v>
      </c>
      <c r="DF173" t="s">
        <v>517</v>
      </c>
      <c r="DG173" t="s">
        <v>518</v>
      </c>
      <c r="DH173" t="s">
        <v>205</v>
      </c>
      <c r="DI173" t="s">
        <v>519</v>
      </c>
    </row>
    <row r="174" spans="1:113">
      <c r="A174">
        <v>5</v>
      </c>
      <c r="B174" s="3">
        <v>0.47681712962962958</v>
      </c>
      <c r="C174" s="1">
        <v>45149</v>
      </c>
      <c r="D174" t="s">
        <v>196</v>
      </c>
      <c r="E174" t="s">
        <v>197</v>
      </c>
      <c r="G174">
        <v>5</v>
      </c>
      <c r="J174">
        <v>1.8086999999999999E-2</v>
      </c>
      <c r="K174">
        <v>2.9216470000000001</v>
      </c>
      <c r="L174">
        <v>1.7975999999999999E-2</v>
      </c>
      <c r="M174">
        <v>0.698376</v>
      </c>
      <c r="N174">
        <v>2.362133</v>
      </c>
      <c r="O174">
        <v>2.3438129999999999</v>
      </c>
      <c r="P174">
        <v>5.9080269999999997</v>
      </c>
      <c r="Q174">
        <v>3.545893</v>
      </c>
      <c r="R174">
        <v>24.566852999999998</v>
      </c>
      <c r="S174">
        <v>24.758879</v>
      </c>
      <c r="T174">
        <v>61.925429999999999</v>
      </c>
      <c r="U174">
        <v>0.44178600000000001</v>
      </c>
      <c r="V174" t="s">
        <v>689</v>
      </c>
      <c r="W174">
        <v>0</v>
      </c>
      <c r="X174">
        <v>0</v>
      </c>
      <c r="Y174">
        <v>0</v>
      </c>
      <c r="Z174">
        <v>111.826302</v>
      </c>
      <c r="AA174">
        <v>509.53961199999998</v>
      </c>
      <c r="AB174">
        <v>0.78053499999999998</v>
      </c>
      <c r="AC174">
        <v>0.5</v>
      </c>
      <c r="AD174">
        <v>0.8</v>
      </c>
      <c r="AE174">
        <v>12.736853999999999</v>
      </c>
      <c r="AF174">
        <v>37.200000000000003</v>
      </c>
      <c r="AG174">
        <v>36.909999999999997</v>
      </c>
      <c r="AH174">
        <v>37.130000000000003</v>
      </c>
      <c r="AI174">
        <v>35.81</v>
      </c>
      <c r="AJ174">
        <v>95.41</v>
      </c>
      <c r="AK174">
        <v>156.69999999999999</v>
      </c>
      <c r="AL174">
        <v>152</v>
      </c>
      <c r="AM174">
        <v>3</v>
      </c>
      <c r="AN174">
        <v>41</v>
      </c>
      <c r="AO174">
        <v>3.931</v>
      </c>
      <c r="AP174">
        <v>32</v>
      </c>
      <c r="AQ174">
        <v>-16</v>
      </c>
      <c r="AR174">
        <v>178</v>
      </c>
      <c r="AS174">
        <v>81.13</v>
      </c>
      <c r="AT174">
        <v>15.41</v>
      </c>
      <c r="AU174">
        <v>35.39</v>
      </c>
      <c r="AV174">
        <v>-153.58000000000001</v>
      </c>
      <c r="AW174">
        <v>15.19</v>
      </c>
      <c r="AX174">
        <v>265.73</v>
      </c>
      <c r="AY174">
        <v>59.83</v>
      </c>
      <c r="AZ174" s="3">
        <v>0.68364583333333329</v>
      </c>
      <c r="BA174" s="1">
        <v>45149</v>
      </c>
      <c r="BB174">
        <v>38.492511999999998</v>
      </c>
      <c r="BC174">
        <v>-1.3628</v>
      </c>
      <c r="BD174">
        <v>566.09997599999997</v>
      </c>
      <c r="BE174">
        <v>5</v>
      </c>
      <c r="BF174">
        <v>1.63</v>
      </c>
      <c r="BG174" s="3">
        <v>0.47282407407407406</v>
      </c>
      <c r="BH174" s="1">
        <v>45149</v>
      </c>
      <c r="BI174">
        <v>-0.1</v>
      </c>
      <c r="BJ174">
        <v>0</v>
      </c>
      <c r="BK174">
        <v>-1E-3</v>
      </c>
      <c r="BL174">
        <v>-9999</v>
      </c>
      <c r="BM174">
        <v>0.66800000000000004</v>
      </c>
      <c r="BN174">
        <v>1.4610000000000001</v>
      </c>
      <c r="BO174">
        <v>-9999</v>
      </c>
      <c r="BP174">
        <v>1</v>
      </c>
      <c r="BQ174">
        <v>150</v>
      </c>
      <c r="BR174">
        <v>5.0000000000000001E-3</v>
      </c>
      <c r="BS174">
        <v>2</v>
      </c>
      <c r="BT174">
        <v>0</v>
      </c>
      <c r="BU174" t="s">
        <v>200</v>
      </c>
      <c r="BV174">
        <v>7000</v>
      </c>
      <c r="BW174">
        <v>500</v>
      </c>
      <c r="BX174">
        <v>5</v>
      </c>
      <c r="BY174">
        <v>2</v>
      </c>
      <c r="BZ174">
        <v>300</v>
      </c>
      <c r="CA174">
        <v>300</v>
      </c>
      <c r="CB174">
        <v>300</v>
      </c>
      <c r="CC174">
        <v>509.53961199999998</v>
      </c>
      <c r="CD174">
        <v>25</v>
      </c>
      <c r="CE174">
        <v>12.605464</v>
      </c>
      <c r="CF174">
        <v>522.01794400000006</v>
      </c>
      <c r="CG174">
        <v>527.52185099999997</v>
      </c>
      <c r="CH174">
        <v>-5.5039059999999997</v>
      </c>
      <c r="CI174">
        <v>2.496127</v>
      </c>
      <c r="CJ174">
        <v>2.5052150000000002</v>
      </c>
      <c r="CK174">
        <v>1.666326</v>
      </c>
      <c r="CL174">
        <v>0.93225599999999997</v>
      </c>
      <c r="CM174">
        <v>0.16933699999999999</v>
      </c>
      <c r="CN174">
        <v>-1.6138E-2</v>
      </c>
      <c r="CO174">
        <v>0.16648299999999999</v>
      </c>
      <c r="CP174">
        <v>0.14282800000000001</v>
      </c>
      <c r="CQ174">
        <v>111.826302</v>
      </c>
      <c r="CR174">
        <v>3.7399999999999998E-4</v>
      </c>
      <c r="CS174">
        <v>2.4333689999999999</v>
      </c>
      <c r="CT174">
        <v>-3.6000000000000001E-5</v>
      </c>
      <c r="CU174">
        <v>1</v>
      </c>
      <c r="CV174">
        <v>2.4396819999999999</v>
      </c>
      <c r="CW174">
        <v>1.1E-5</v>
      </c>
      <c r="CX174">
        <v>1</v>
      </c>
      <c r="CY174">
        <v>0.60025499999999998</v>
      </c>
      <c r="CZ174">
        <v>0.60245199999999999</v>
      </c>
      <c r="DA174">
        <v>0.106742</v>
      </c>
      <c r="DB174">
        <v>0</v>
      </c>
      <c r="DC174" t="s">
        <v>689</v>
      </c>
      <c r="DD174" t="s">
        <v>515</v>
      </c>
      <c r="DE174" t="s">
        <v>516</v>
      </c>
      <c r="DF174" t="s">
        <v>517</v>
      </c>
      <c r="DG174" t="s">
        <v>518</v>
      </c>
      <c r="DH174" t="s">
        <v>205</v>
      </c>
      <c r="DI174" t="s">
        <v>519</v>
      </c>
    </row>
    <row r="175" spans="1:113">
      <c r="A175">
        <v>6</v>
      </c>
      <c r="B175" s="3">
        <v>0.47704861111111113</v>
      </c>
      <c r="C175" s="1">
        <v>45149</v>
      </c>
      <c r="D175" t="s">
        <v>196</v>
      </c>
      <c r="E175" t="s">
        <v>197</v>
      </c>
      <c r="G175">
        <v>6</v>
      </c>
      <c r="J175">
        <v>2.4421999999999999E-2</v>
      </c>
      <c r="K175">
        <v>2.9227099999999999</v>
      </c>
      <c r="L175">
        <v>2.4219000000000001E-2</v>
      </c>
      <c r="M175">
        <v>1.2913840000000001</v>
      </c>
      <c r="N175">
        <v>2.4020109999999999</v>
      </c>
      <c r="O175">
        <v>2.3681749999999999</v>
      </c>
      <c r="P175">
        <v>7.2324570000000001</v>
      </c>
      <c r="Q175">
        <v>4.8304460000000002</v>
      </c>
      <c r="R175">
        <v>24.820910000000001</v>
      </c>
      <c r="S175">
        <v>25.175536999999998</v>
      </c>
      <c r="T175">
        <v>75.803573999999998</v>
      </c>
      <c r="U175">
        <v>0.44178600000000001</v>
      </c>
      <c r="V175" t="s">
        <v>690</v>
      </c>
      <c r="W175">
        <v>0</v>
      </c>
      <c r="X175">
        <v>0</v>
      </c>
      <c r="Y175">
        <v>0</v>
      </c>
      <c r="Z175">
        <v>80.266356999999999</v>
      </c>
      <c r="AA175">
        <v>129.60556</v>
      </c>
      <c r="AB175">
        <v>0.380687</v>
      </c>
      <c r="AC175">
        <v>0.5</v>
      </c>
      <c r="AD175">
        <v>0.8</v>
      </c>
      <c r="AE175">
        <v>14.291779999999999</v>
      </c>
      <c r="AF175">
        <v>37.840000000000003</v>
      </c>
      <c r="AG175">
        <v>37.299999999999997</v>
      </c>
      <c r="AH175">
        <v>37.130000000000003</v>
      </c>
      <c r="AI175">
        <v>39.54</v>
      </c>
      <c r="AJ175">
        <v>95.41</v>
      </c>
      <c r="AK175">
        <v>156.80000000000001</v>
      </c>
      <c r="AL175">
        <v>155.30000000000001</v>
      </c>
      <c r="AM175">
        <v>1</v>
      </c>
      <c r="AN175">
        <v>94</v>
      </c>
      <c r="AO175">
        <v>3.931</v>
      </c>
      <c r="AP175">
        <v>14</v>
      </c>
      <c r="AQ175">
        <v>-3</v>
      </c>
      <c r="AR175">
        <v>72</v>
      </c>
      <c r="AS175">
        <v>45.52</v>
      </c>
      <c r="AT175">
        <v>70.06</v>
      </c>
      <c r="AU175">
        <v>14.31</v>
      </c>
      <c r="AV175">
        <v>84.22</v>
      </c>
      <c r="AW175">
        <v>15.19</v>
      </c>
      <c r="AX175">
        <v>265.73</v>
      </c>
      <c r="AY175">
        <v>59.83</v>
      </c>
      <c r="AZ175" s="3">
        <v>0.68383101851851846</v>
      </c>
      <c r="BA175" s="1">
        <v>45149</v>
      </c>
      <c r="BB175">
        <v>38.492542</v>
      </c>
      <c r="BC175">
        <v>-1.3628130000000001</v>
      </c>
      <c r="BD175">
        <v>565.70001200000002</v>
      </c>
      <c r="BE175">
        <v>4</v>
      </c>
      <c r="BF175">
        <v>3.15</v>
      </c>
      <c r="BG175" s="3">
        <v>0.47282407407407406</v>
      </c>
      <c r="BH175" s="1">
        <v>45149</v>
      </c>
      <c r="BI175">
        <v>-0.1</v>
      </c>
      <c r="BJ175">
        <v>0</v>
      </c>
      <c r="BK175">
        <v>1E-3</v>
      </c>
      <c r="BL175">
        <v>-9999</v>
      </c>
      <c r="BM175">
        <v>0.96499999999999997</v>
      </c>
      <c r="BN175">
        <v>1.2509999999999999</v>
      </c>
      <c r="BO175">
        <v>-9999</v>
      </c>
      <c r="BP175">
        <v>1</v>
      </c>
      <c r="BQ175">
        <v>150</v>
      </c>
      <c r="BR175">
        <v>5.0000000000000001E-3</v>
      </c>
      <c r="BS175">
        <v>2</v>
      </c>
      <c r="BT175">
        <v>0</v>
      </c>
      <c r="BU175" t="s">
        <v>200</v>
      </c>
      <c r="BV175">
        <v>7000</v>
      </c>
      <c r="BW175">
        <v>500</v>
      </c>
      <c r="BX175">
        <v>5</v>
      </c>
      <c r="BY175">
        <v>2</v>
      </c>
      <c r="BZ175">
        <v>300</v>
      </c>
      <c r="CA175">
        <v>300</v>
      </c>
      <c r="CB175">
        <v>300</v>
      </c>
      <c r="CC175">
        <v>125.51486199999999</v>
      </c>
      <c r="CD175">
        <v>25</v>
      </c>
      <c r="CE175">
        <v>-2.7542430000000002</v>
      </c>
      <c r="CF175">
        <v>126.024124</v>
      </c>
      <c r="CG175">
        <v>125.67652099999999</v>
      </c>
      <c r="CH175">
        <v>0.347603</v>
      </c>
      <c r="CI175">
        <v>2.4967109999999999</v>
      </c>
      <c r="CJ175">
        <v>2.5061689999999999</v>
      </c>
      <c r="CK175">
        <v>1.667449</v>
      </c>
      <c r="CL175">
        <v>0.94059999999999999</v>
      </c>
      <c r="CM175">
        <v>0.169353</v>
      </c>
      <c r="CN175">
        <v>3.2169000000000003E-2</v>
      </c>
      <c r="CO175">
        <v>0.16894700000000001</v>
      </c>
      <c r="CP175">
        <v>0.18976299999999999</v>
      </c>
      <c r="CQ175">
        <v>80.266356999999999</v>
      </c>
      <c r="CR175">
        <v>3.7599999999999998E-4</v>
      </c>
      <c r="CS175">
        <v>2.4333689999999999</v>
      </c>
      <c r="CT175">
        <v>-3.6000000000000001E-5</v>
      </c>
      <c r="CU175">
        <v>1</v>
      </c>
      <c r="CV175">
        <v>2.4396819999999999</v>
      </c>
      <c r="CW175">
        <v>1.1E-5</v>
      </c>
      <c r="CX175">
        <v>1</v>
      </c>
      <c r="CY175">
        <v>0.60025499999999998</v>
      </c>
      <c r="CZ175">
        <v>0.60245199999999999</v>
      </c>
      <c r="DA175">
        <v>0.106742</v>
      </c>
      <c r="DB175">
        <v>0</v>
      </c>
      <c r="DC175" t="s">
        <v>690</v>
      </c>
      <c r="DD175" t="s">
        <v>515</v>
      </c>
      <c r="DE175" t="s">
        <v>516</v>
      </c>
      <c r="DF175" t="s">
        <v>517</v>
      </c>
      <c r="DG175" t="s">
        <v>518</v>
      </c>
      <c r="DH175" t="s">
        <v>205</v>
      </c>
      <c r="DI175" t="s">
        <v>519</v>
      </c>
    </row>
    <row r="176" spans="1:113">
      <c r="A176">
        <v>7</v>
      </c>
      <c r="B176" s="3">
        <v>0.47716435185185185</v>
      </c>
      <c r="C176" s="1">
        <v>45149</v>
      </c>
      <c r="D176" t="s">
        <v>196</v>
      </c>
      <c r="E176" t="s">
        <v>197</v>
      </c>
      <c r="G176">
        <v>7</v>
      </c>
      <c r="J176">
        <v>4.6829999999999997E-2</v>
      </c>
      <c r="K176">
        <v>2.92096</v>
      </c>
      <c r="L176">
        <v>4.6091E-2</v>
      </c>
      <c r="M176">
        <v>2.0338919999999998</v>
      </c>
      <c r="N176">
        <v>2.4922520000000001</v>
      </c>
      <c r="O176">
        <v>2.4389409999999998</v>
      </c>
      <c r="P176">
        <v>6.5039490000000004</v>
      </c>
      <c r="Q176">
        <v>4.0116959999999997</v>
      </c>
      <c r="R176">
        <v>25.563079999999999</v>
      </c>
      <c r="S176">
        <v>26.121841</v>
      </c>
      <c r="T176">
        <v>68.169312000000005</v>
      </c>
      <c r="U176">
        <v>0.44178600000000001</v>
      </c>
      <c r="V176" t="s">
        <v>691</v>
      </c>
      <c r="W176">
        <v>0</v>
      </c>
      <c r="X176">
        <v>0</v>
      </c>
      <c r="Y176">
        <v>0</v>
      </c>
      <c r="Z176">
        <v>93.366264000000001</v>
      </c>
      <c r="AA176">
        <v>287.72662400000002</v>
      </c>
      <c r="AB176">
        <v>0.67550399999999999</v>
      </c>
      <c r="AC176">
        <v>0.5</v>
      </c>
      <c r="AD176">
        <v>0.8</v>
      </c>
      <c r="AE176">
        <v>257.66842700000001</v>
      </c>
      <c r="AF176">
        <v>39.229999999999997</v>
      </c>
      <c r="AG176">
        <v>38.39</v>
      </c>
      <c r="AH176">
        <v>37.14</v>
      </c>
      <c r="AI176">
        <v>37.57</v>
      </c>
      <c r="AJ176">
        <v>95.41</v>
      </c>
      <c r="AK176">
        <v>156.6</v>
      </c>
      <c r="AL176">
        <v>155.19999999999999</v>
      </c>
      <c r="AM176">
        <v>0.9</v>
      </c>
      <c r="AN176">
        <v>954</v>
      </c>
      <c r="AO176">
        <v>3.93</v>
      </c>
      <c r="AP176">
        <v>4</v>
      </c>
      <c r="AQ176">
        <v>-6</v>
      </c>
      <c r="AR176">
        <v>79</v>
      </c>
      <c r="AS176">
        <v>55.34</v>
      </c>
      <c r="AT176">
        <v>56.87</v>
      </c>
      <c r="AU176">
        <v>7.21</v>
      </c>
      <c r="AV176">
        <v>135.43</v>
      </c>
      <c r="AW176">
        <v>15.19</v>
      </c>
      <c r="AX176">
        <v>265.73</v>
      </c>
      <c r="AY176">
        <v>59.83</v>
      </c>
      <c r="AZ176" s="3">
        <v>0.68398148148148152</v>
      </c>
      <c r="BA176" s="1">
        <v>45149</v>
      </c>
      <c r="BB176">
        <v>38.492542</v>
      </c>
      <c r="BC176">
        <v>-1.3628070000000001</v>
      </c>
      <c r="BD176">
        <v>565.20001200000002</v>
      </c>
      <c r="BE176">
        <v>5</v>
      </c>
      <c r="BF176">
        <v>1.63</v>
      </c>
      <c r="BG176" s="3">
        <v>0.47282407407407406</v>
      </c>
      <c r="BH176" s="1">
        <v>45149</v>
      </c>
      <c r="BI176">
        <v>-0.1</v>
      </c>
      <c r="BJ176">
        <v>2E-3</v>
      </c>
      <c r="BK176">
        <v>3.0000000000000001E-3</v>
      </c>
      <c r="BL176">
        <v>-9999</v>
      </c>
      <c r="BM176">
        <v>0.98799999999999999</v>
      </c>
      <c r="BN176">
        <v>1.264</v>
      </c>
      <c r="BO176">
        <v>-9999</v>
      </c>
      <c r="BP176">
        <v>1</v>
      </c>
      <c r="BQ176">
        <v>150</v>
      </c>
      <c r="BR176">
        <v>5.0000000000000001E-3</v>
      </c>
      <c r="BS176">
        <v>2</v>
      </c>
      <c r="BT176">
        <v>0</v>
      </c>
      <c r="BU176" t="s">
        <v>200</v>
      </c>
      <c r="BV176">
        <v>7000</v>
      </c>
      <c r="BW176">
        <v>500</v>
      </c>
      <c r="BX176">
        <v>5</v>
      </c>
      <c r="BY176">
        <v>2</v>
      </c>
      <c r="BZ176">
        <v>300</v>
      </c>
      <c r="CA176">
        <v>300</v>
      </c>
      <c r="CB176">
        <v>300</v>
      </c>
      <c r="CC176">
        <v>269.390717</v>
      </c>
      <c r="CD176">
        <v>25</v>
      </c>
      <c r="CE176">
        <v>-12.18638</v>
      </c>
      <c r="CF176">
        <v>271.01684599999999</v>
      </c>
      <c r="CG176">
        <v>270.34225500000002</v>
      </c>
      <c r="CH176">
        <v>0.67459100000000005</v>
      </c>
      <c r="CI176">
        <v>2.498332</v>
      </c>
      <c r="CJ176">
        <v>2.5082559999999998</v>
      </c>
      <c r="CK176">
        <v>1.6656010000000001</v>
      </c>
      <c r="CL176">
        <v>0.94035000000000002</v>
      </c>
      <c r="CM176">
        <v>0.16925799999999999</v>
      </c>
      <c r="CN176">
        <v>6.2300000000000003E-3</v>
      </c>
      <c r="CO176">
        <v>0.170044</v>
      </c>
      <c r="CP176">
        <v>0.95027499999999998</v>
      </c>
      <c r="CQ176">
        <v>93.366264000000001</v>
      </c>
      <c r="CR176">
        <v>3.7199999999999999E-4</v>
      </c>
      <c r="CS176">
        <v>2.4333689999999999</v>
      </c>
      <c r="CT176">
        <v>-3.6000000000000001E-5</v>
      </c>
      <c r="CU176">
        <v>1</v>
      </c>
      <c r="CV176">
        <v>2.4396819999999999</v>
      </c>
      <c r="CW176">
        <v>1.1E-5</v>
      </c>
      <c r="CX176">
        <v>1</v>
      </c>
      <c r="CY176">
        <v>0.60025499999999998</v>
      </c>
      <c r="CZ176">
        <v>0.60245199999999999</v>
      </c>
      <c r="DA176">
        <v>0.106742</v>
      </c>
      <c r="DB176">
        <v>0</v>
      </c>
      <c r="DC176" t="s">
        <v>691</v>
      </c>
      <c r="DD176" t="s">
        <v>515</v>
      </c>
      <c r="DE176" t="s">
        <v>516</v>
      </c>
      <c r="DF176" t="s">
        <v>517</v>
      </c>
      <c r="DG176" t="s">
        <v>518</v>
      </c>
      <c r="DH176" t="s">
        <v>205</v>
      </c>
      <c r="DI176" t="s">
        <v>519</v>
      </c>
    </row>
    <row r="177" spans="1:113">
      <c r="A177">
        <v>8</v>
      </c>
      <c r="B177" s="3">
        <v>0.47728009259259263</v>
      </c>
      <c r="C177" s="1">
        <v>45149</v>
      </c>
      <c r="D177" t="s">
        <v>196</v>
      </c>
      <c r="E177" t="s">
        <v>197</v>
      </c>
      <c r="G177">
        <v>8</v>
      </c>
      <c r="J177">
        <v>2.266E-2</v>
      </c>
      <c r="K177">
        <v>2.9206810000000001</v>
      </c>
      <c r="L177">
        <v>2.2485999999999999E-2</v>
      </c>
      <c r="M177">
        <v>0.91022899999999995</v>
      </c>
      <c r="N177">
        <v>2.4085969999999999</v>
      </c>
      <c r="O177">
        <v>2.3847119999999999</v>
      </c>
      <c r="P177">
        <v>6.0985719999999999</v>
      </c>
      <c r="Q177">
        <v>3.689975</v>
      </c>
      <c r="R177">
        <v>24.994883999999999</v>
      </c>
      <c r="S177">
        <v>25.245228000000001</v>
      </c>
      <c r="T177">
        <v>63.920966999999997</v>
      </c>
      <c r="U177">
        <v>0.44178600000000001</v>
      </c>
      <c r="V177" t="s">
        <v>692</v>
      </c>
      <c r="W177">
        <v>0</v>
      </c>
      <c r="X177">
        <v>0</v>
      </c>
      <c r="Y177">
        <v>0</v>
      </c>
      <c r="Z177">
        <v>97.755073999999993</v>
      </c>
      <c r="AA177">
        <v>424.77749599999999</v>
      </c>
      <c r="AB177">
        <v>0.769868</v>
      </c>
      <c r="AC177">
        <v>0.5</v>
      </c>
      <c r="AD177">
        <v>0.8</v>
      </c>
      <c r="AE177">
        <v>32.755507999999999</v>
      </c>
      <c r="AF177">
        <v>37.9</v>
      </c>
      <c r="AG177">
        <v>37.53</v>
      </c>
      <c r="AH177">
        <v>37.14</v>
      </c>
      <c r="AI177">
        <v>36.39</v>
      </c>
      <c r="AJ177">
        <v>95.41</v>
      </c>
      <c r="AK177">
        <v>156.6</v>
      </c>
      <c r="AL177">
        <v>155.19999999999999</v>
      </c>
      <c r="AM177">
        <v>0.8</v>
      </c>
      <c r="AN177">
        <v>106</v>
      </c>
      <c r="AO177">
        <v>3.93</v>
      </c>
      <c r="AP177">
        <v>3</v>
      </c>
      <c r="AQ177">
        <v>4</v>
      </c>
      <c r="AR177">
        <v>79</v>
      </c>
      <c r="AS177">
        <v>57.63</v>
      </c>
      <c r="AT177">
        <v>53.54</v>
      </c>
      <c r="AU177">
        <v>5</v>
      </c>
      <c r="AV177">
        <v>25.81</v>
      </c>
      <c r="AW177">
        <v>15.19</v>
      </c>
      <c r="AX177">
        <v>265.89</v>
      </c>
      <c r="AY177">
        <v>60.02</v>
      </c>
      <c r="AZ177" s="3">
        <v>0.68409722222222225</v>
      </c>
      <c r="BA177" s="1">
        <v>45149</v>
      </c>
      <c r="BB177">
        <v>38.492519000000001</v>
      </c>
      <c r="BC177">
        <v>-1.36277</v>
      </c>
      <c r="BD177">
        <v>565</v>
      </c>
      <c r="BE177">
        <v>5</v>
      </c>
      <c r="BF177">
        <v>1.63</v>
      </c>
      <c r="BG177" s="3">
        <v>0.47282407407407406</v>
      </c>
      <c r="BH177" s="1">
        <v>45149</v>
      </c>
      <c r="BI177">
        <v>-0.1</v>
      </c>
      <c r="BJ177">
        <v>0</v>
      </c>
      <c r="BK177">
        <v>1E-3</v>
      </c>
      <c r="BL177">
        <v>-9999</v>
      </c>
      <c r="BM177">
        <v>0.58899999999999997</v>
      </c>
      <c r="BN177">
        <v>-8.5000000000000006E-2</v>
      </c>
      <c r="BO177">
        <v>-9999</v>
      </c>
      <c r="BP177">
        <v>1</v>
      </c>
      <c r="BQ177">
        <v>150</v>
      </c>
      <c r="BR177">
        <v>5.0000000000000001E-3</v>
      </c>
      <c r="BS177">
        <v>2</v>
      </c>
      <c r="BT177">
        <v>0</v>
      </c>
      <c r="BU177" t="s">
        <v>200</v>
      </c>
      <c r="BV177">
        <v>7000</v>
      </c>
      <c r="BW177">
        <v>500</v>
      </c>
      <c r="BX177">
        <v>5</v>
      </c>
      <c r="BY177">
        <v>2</v>
      </c>
      <c r="BZ177">
        <v>300</v>
      </c>
      <c r="CA177">
        <v>300</v>
      </c>
      <c r="CB177">
        <v>300</v>
      </c>
      <c r="CC177">
        <v>424.77749599999999</v>
      </c>
      <c r="CD177">
        <v>25</v>
      </c>
      <c r="CE177">
        <v>2.5108440000000001</v>
      </c>
      <c r="CF177">
        <v>438.15637199999998</v>
      </c>
      <c r="CG177">
        <v>428.35931399999998</v>
      </c>
      <c r="CH177">
        <v>9.7970579999999998</v>
      </c>
      <c r="CI177">
        <v>2.4970469999999998</v>
      </c>
      <c r="CJ177">
        <v>2.5062709999999999</v>
      </c>
      <c r="CK177">
        <v>1.665308</v>
      </c>
      <c r="CL177">
        <v>0.94048799999999999</v>
      </c>
      <c r="CM177">
        <v>0.169243</v>
      </c>
      <c r="CN177">
        <v>-8.9619999999999995E-3</v>
      </c>
      <c r="CO177">
        <v>0.171184</v>
      </c>
      <c r="CP177">
        <v>0.20083100000000001</v>
      </c>
      <c r="CQ177">
        <v>97.755073999999993</v>
      </c>
      <c r="CR177">
        <v>3.7500000000000001E-4</v>
      </c>
      <c r="CS177">
        <v>2.4333689999999999</v>
      </c>
      <c r="CT177">
        <v>-3.6000000000000001E-5</v>
      </c>
      <c r="CU177">
        <v>1</v>
      </c>
      <c r="CV177">
        <v>2.4396819999999999</v>
      </c>
      <c r="CW177">
        <v>1.1E-5</v>
      </c>
      <c r="CX177">
        <v>1</v>
      </c>
      <c r="CY177">
        <v>0.60025499999999998</v>
      </c>
      <c r="CZ177">
        <v>0.60245199999999999</v>
      </c>
      <c r="DA177">
        <v>0.106742</v>
      </c>
      <c r="DB177">
        <v>0</v>
      </c>
      <c r="DC177" t="s">
        <v>692</v>
      </c>
      <c r="DD177" t="s">
        <v>515</v>
      </c>
      <c r="DE177" t="s">
        <v>516</v>
      </c>
      <c r="DF177" t="s">
        <v>517</v>
      </c>
      <c r="DG177" t="s">
        <v>518</v>
      </c>
      <c r="DH177" t="s">
        <v>205</v>
      </c>
      <c r="DI177" t="s">
        <v>519</v>
      </c>
    </row>
    <row r="178" spans="1:113">
      <c r="A178">
        <v>1</v>
      </c>
      <c r="B178" s="3">
        <v>0.4852083333333333</v>
      </c>
      <c r="C178" s="1">
        <v>45149</v>
      </c>
      <c r="D178" t="s">
        <v>196</v>
      </c>
      <c r="E178" t="s">
        <v>197</v>
      </c>
      <c r="G178">
        <v>1</v>
      </c>
      <c r="J178">
        <v>2.8136000000000001E-2</v>
      </c>
      <c r="K178">
        <v>2.920105</v>
      </c>
      <c r="L178">
        <v>2.7868E-2</v>
      </c>
      <c r="M178">
        <v>1.056108</v>
      </c>
      <c r="N178">
        <v>2.2036630000000001</v>
      </c>
      <c r="O178">
        <v>2.1759149999999998</v>
      </c>
      <c r="P178">
        <v>5.6654520000000002</v>
      </c>
      <c r="Q178">
        <v>3.4617879999999999</v>
      </c>
      <c r="R178">
        <v>22.836575</v>
      </c>
      <c r="S178">
        <v>23.127804000000001</v>
      </c>
      <c r="T178">
        <v>59.459831000000001</v>
      </c>
      <c r="U178">
        <v>0.44178600000000001</v>
      </c>
      <c r="V178" t="s">
        <v>693</v>
      </c>
      <c r="W178">
        <v>0</v>
      </c>
      <c r="X178">
        <v>0</v>
      </c>
      <c r="Y178">
        <v>0</v>
      </c>
      <c r="Z178">
        <v>111.31167600000001</v>
      </c>
      <c r="AA178">
        <v>300.08978300000001</v>
      </c>
      <c r="AB178">
        <v>0.62907199999999996</v>
      </c>
      <c r="AC178">
        <v>0.5</v>
      </c>
      <c r="AD178">
        <v>0.8</v>
      </c>
      <c r="AE178">
        <v>232.12841800000001</v>
      </c>
      <c r="AF178">
        <v>37.25</v>
      </c>
      <c r="AG178">
        <v>36.78</v>
      </c>
      <c r="AH178">
        <v>35.840000000000003</v>
      </c>
      <c r="AI178">
        <v>35.049999999999997</v>
      </c>
      <c r="AJ178">
        <v>95.28</v>
      </c>
      <c r="AK178">
        <v>156.5</v>
      </c>
      <c r="AL178">
        <v>148.1</v>
      </c>
      <c r="AM178">
        <v>5.4</v>
      </c>
      <c r="AN178">
        <v>923</v>
      </c>
      <c r="AO178">
        <v>3.927</v>
      </c>
      <c r="AP178">
        <v>23</v>
      </c>
      <c r="AQ178">
        <v>-3</v>
      </c>
      <c r="AR178">
        <v>63</v>
      </c>
      <c r="AZ178" s="3">
        <v>0</v>
      </c>
      <c r="BA178" t="s">
        <v>513</v>
      </c>
      <c r="BB178" t="s">
        <v>514</v>
      </c>
      <c r="BC178" t="s">
        <v>514</v>
      </c>
      <c r="BD178" t="s">
        <v>514</v>
      </c>
      <c r="BE178">
        <v>0</v>
      </c>
      <c r="BF178" t="s">
        <v>514</v>
      </c>
      <c r="BG178" s="3">
        <v>0.48501157407407408</v>
      </c>
      <c r="BH178" s="1">
        <v>45149</v>
      </c>
      <c r="BI178">
        <v>-0.06</v>
      </c>
      <c r="BJ178">
        <v>0</v>
      </c>
      <c r="BK178">
        <v>1E-3</v>
      </c>
      <c r="BL178">
        <v>-9999</v>
      </c>
      <c r="BM178">
        <v>6.2069999999999999</v>
      </c>
      <c r="BN178">
        <v>-2.0059999999999998</v>
      </c>
      <c r="BO178">
        <v>-9999</v>
      </c>
      <c r="BP178">
        <v>1</v>
      </c>
      <c r="BQ178">
        <v>150</v>
      </c>
      <c r="BR178">
        <v>5.0000000000000001E-3</v>
      </c>
      <c r="BS178">
        <v>2</v>
      </c>
      <c r="BT178">
        <v>0</v>
      </c>
      <c r="BU178" t="s">
        <v>200</v>
      </c>
      <c r="BV178">
        <v>7000</v>
      </c>
      <c r="BW178">
        <v>500</v>
      </c>
      <c r="BX178">
        <v>5</v>
      </c>
      <c r="BY178">
        <v>2</v>
      </c>
      <c r="BZ178">
        <v>300</v>
      </c>
      <c r="CA178">
        <v>300</v>
      </c>
      <c r="CB178">
        <v>300</v>
      </c>
      <c r="CC178">
        <v>268.49234000000001</v>
      </c>
      <c r="CD178">
        <v>25</v>
      </c>
      <c r="CE178">
        <v>-24.136683000000001</v>
      </c>
      <c r="CF178">
        <v>261.03686499999998</v>
      </c>
      <c r="CG178">
        <v>265.65780599999999</v>
      </c>
      <c r="CH178">
        <v>-4.6209410000000002</v>
      </c>
      <c r="CI178">
        <v>2.4961470000000001</v>
      </c>
      <c r="CJ178">
        <v>2.5053839999999998</v>
      </c>
      <c r="CK178">
        <v>1.6647019999999999</v>
      </c>
      <c r="CL178">
        <v>0.92232599999999998</v>
      </c>
      <c r="CM178">
        <v>0.17801600000000001</v>
      </c>
      <c r="CN178">
        <v>-9.2790000000000008E-3</v>
      </c>
      <c r="CO178">
        <v>0.111675</v>
      </c>
      <c r="CP178">
        <v>0.92275399999999996</v>
      </c>
      <c r="CQ178">
        <v>111.31167600000001</v>
      </c>
      <c r="CR178">
        <v>3.7800000000000003E-4</v>
      </c>
      <c r="CS178">
        <v>2.4333689999999999</v>
      </c>
      <c r="CT178">
        <v>-3.6000000000000001E-5</v>
      </c>
      <c r="CU178">
        <v>1</v>
      </c>
      <c r="CV178">
        <v>2.4396819999999999</v>
      </c>
      <c r="CW178">
        <v>1.1E-5</v>
      </c>
      <c r="CX178">
        <v>1</v>
      </c>
      <c r="CY178">
        <v>0.60025499999999998</v>
      </c>
      <c r="CZ178">
        <v>0.60245199999999999</v>
      </c>
      <c r="DA178">
        <v>0.106742</v>
      </c>
      <c r="DB178">
        <v>0</v>
      </c>
      <c r="DC178" t="s">
        <v>693</v>
      </c>
      <c r="DD178" t="s">
        <v>515</v>
      </c>
      <c r="DE178" t="s">
        <v>516</v>
      </c>
      <c r="DF178" t="s">
        <v>517</v>
      </c>
      <c r="DG178" t="s">
        <v>518</v>
      </c>
      <c r="DH178" t="s">
        <v>205</v>
      </c>
      <c r="DI178" t="s">
        <v>519</v>
      </c>
    </row>
    <row r="179" spans="1:113">
      <c r="A179">
        <v>2</v>
      </c>
      <c r="B179" s="3">
        <v>0.48538194444444444</v>
      </c>
      <c r="C179" s="1">
        <v>45149</v>
      </c>
      <c r="D179" t="s">
        <v>196</v>
      </c>
      <c r="E179" t="s">
        <v>197</v>
      </c>
      <c r="G179">
        <v>2</v>
      </c>
      <c r="J179">
        <v>3.9718000000000003E-2</v>
      </c>
      <c r="K179">
        <v>2.9212340000000001</v>
      </c>
      <c r="L179">
        <v>3.9184999999999998E-2</v>
      </c>
      <c r="M179">
        <v>1.779318</v>
      </c>
      <c r="N179">
        <v>2.2573989999999999</v>
      </c>
      <c r="O179">
        <v>2.2107190000000001</v>
      </c>
      <c r="P179">
        <v>6.3875299999999999</v>
      </c>
      <c r="Q179">
        <v>4.1301310000000004</v>
      </c>
      <c r="R179">
        <v>23.202579</v>
      </c>
      <c r="S179">
        <v>23.692516000000001</v>
      </c>
      <c r="T179">
        <v>67.040276000000006</v>
      </c>
      <c r="U179">
        <v>0.44178600000000001</v>
      </c>
      <c r="V179" t="s">
        <v>694</v>
      </c>
      <c r="W179">
        <v>0</v>
      </c>
      <c r="X179">
        <v>0</v>
      </c>
      <c r="Y179">
        <v>0</v>
      </c>
      <c r="Z179">
        <v>91.434714999999997</v>
      </c>
      <c r="AA179">
        <v>120.24385100000001</v>
      </c>
      <c r="AB179">
        <v>0.239589</v>
      </c>
      <c r="AC179">
        <v>0.5</v>
      </c>
      <c r="AD179">
        <v>0.8</v>
      </c>
      <c r="AE179">
        <v>107.155716</v>
      </c>
      <c r="AF179">
        <v>38.159999999999997</v>
      </c>
      <c r="AG179">
        <v>37.369999999999997</v>
      </c>
      <c r="AH179">
        <v>35.840000000000003</v>
      </c>
      <c r="AI179">
        <v>37.24</v>
      </c>
      <c r="AJ179">
        <v>95.28</v>
      </c>
      <c r="AK179">
        <v>156.6</v>
      </c>
      <c r="AL179">
        <v>155.5</v>
      </c>
      <c r="AM179">
        <v>0.7</v>
      </c>
      <c r="AN179">
        <v>1118</v>
      </c>
      <c r="AO179">
        <v>3.927</v>
      </c>
      <c r="AP179">
        <v>28</v>
      </c>
      <c r="AQ179">
        <v>-13</v>
      </c>
      <c r="AR179">
        <v>31</v>
      </c>
      <c r="AZ179" s="3">
        <v>0</v>
      </c>
      <c r="BA179" t="s">
        <v>513</v>
      </c>
      <c r="BB179">
        <v>38.493107000000002</v>
      </c>
      <c r="BC179">
        <v>-1.365305</v>
      </c>
      <c r="BD179">
        <v>583.09997599999997</v>
      </c>
      <c r="BE179">
        <v>4</v>
      </c>
      <c r="BF179">
        <v>2.02</v>
      </c>
      <c r="BG179" s="3">
        <v>0.48501157407407408</v>
      </c>
      <c r="BH179" s="1">
        <v>45149</v>
      </c>
      <c r="BI179">
        <v>-0.06</v>
      </c>
      <c r="BJ179">
        <v>0</v>
      </c>
      <c r="BK179">
        <v>-1E-3</v>
      </c>
      <c r="BL179">
        <v>-9999</v>
      </c>
      <c r="BM179">
        <v>1.23</v>
      </c>
      <c r="BN179">
        <v>1.762</v>
      </c>
      <c r="BO179">
        <v>-9999</v>
      </c>
      <c r="BP179">
        <v>1</v>
      </c>
      <c r="BQ179">
        <v>150</v>
      </c>
      <c r="BR179">
        <v>5.0000000000000001E-3</v>
      </c>
      <c r="BS179">
        <v>2</v>
      </c>
      <c r="BT179">
        <v>0</v>
      </c>
      <c r="BU179" t="s">
        <v>200</v>
      </c>
      <c r="BV179">
        <v>7000</v>
      </c>
      <c r="BW179">
        <v>500</v>
      </c>
      <c r="BX179">
        <v>5</v>
      </c>
      <c r="BY179">
        <v>2</v>
      </c>
      <c r="BZ179">
        <v>300</v>
      </c>
      <c r="CA179">
        <v>300</v>
      </c>
      <c r="CB179">
        <v>300</v>
      </c>
      <c r="CC179">
        <v>114.40980500000001</v>
      </c>
      <c r="CD179">
        <v>25</v>
      </c>
      <c r="CE179">
        <v>-4.2622140000000002</v>
      </c>
      <c r="CF179">
        <v>112.756134</v>
      </c>
      <c r="CG179">
        <v>114.163628</v>
      </c>
      <c r="CH179">
        <v>-1.407494</v>
      </c>
      <c r="CI179">
        <v>2.4970289999999999</v>
      </c>
      <c r="CJ179">
        <v>2.5067529999999998</v>
      </c>
      <c r="CK179">
        <v>1.6658900000000001</v>
      </c>
      <c r="CL179">
        <v>0.94126699999999996</v>
      </c>
      <c r="CM179">
        <v>0.178009</v>
      </c>
      <c r="CN179">
        <v>1.8586999999999999E-2</v>
      </c>
      <c r="CO179">
        <v>0.114162</v>
      </c>
      <c r="CP179">
        <v>1.095788</v>
      </c>
      <c r="CQ179">
        <v>91.434714999999997</v>
      </c>
      <c r="CR179">
        <v>3.8299999999999999E-4</v>
      </c>
      <c r="CS179">
        <v>2.4333689999999999</v>
      </c>
      <c r="CT179">
        <v>-3.6000000000000001E-5</v>
      </c>
      <c r="CU179">
        <v>1</v>
      </c>
      <c r="CV179">
        <v>2.4396819999999999</v>
      </c>
      <c r="CW179">
        <v>1.1E-5</v>
      </c>
      <c r="CX179">
        <v>1</v>
      </c>
      <c r="CY179">
        <v>0.60025499999999998</v>
      </c>
      <c r="CZ179">
        <v>0.60245199999999999</v>
      </c>
      <c r="DA179">
        <v>0.106742</v>
      </c>
      <c r="DB179">
        <v>0</v>
      </c>
      <c r="DC179" t="s">
        <v>694</v>
      </c>
      <c r="DD179" t="s">
        <v>515</v>
      </c>
      <c r="DE179" t="s">
        <v>516</v>
      </c>
      <c r="DF179" t="s">
        <v>517</v>
      </c>
      <c r="DG179" t="s">
        <v>518</v>
      </c>
      <c r="DH179" t="s">
        <v>205</v>
      </c>
      <c r="DI179" t="s">
        <v>519</v>
      </c>
    </row>
    <row r="180" spans="1:113">
      <c r="A180">
        <v>3</v>
      </c>
      <c r="B180" s="3">
        <v>0.48561342592592593</v>
      </c>
      <c r="C180" s="1">
        <v>45149</v>
      </c>
      <c r="D180" t="s">
        <v>196</v>
      </c>
      <c r="E180" t="s">
        <v>197</v>
      </c>
      <c r="G180">
        <v>3</v>
      </c>
      <c r="J180">
        <v>5.4900000000000001E-4</v>
      </c>
      <c r="K180">
        <v>2.9200339999999998</v>
      </c>
      <c r="L180">
        <v>5.4900000000000001E-4</v>
      </c>
      <c r="M180">
        <v>2.8923000000000001E-2</v>
      </c>
      <c r="N180">
        <v>2.2274690000000001</v>
      </c>
      <c r="O180">
        <v>2.2267100000000002</v>
      </c>
      <c r="P180">
        <v>7.007225</v>
      </c>
      <c r="Q180">
        <v>4.7797559999999999</v>
      </c>
      <c r="R180">
        <v>23.370719999999999</v>
      </c>
      <c r="S180">
        <v>23.378695</v>
      </c>
      <c r="T180">
        <v>73.545242000000002</v>
      </c>
      <c r="U180">
        <v>0.44178600000000001</v>
      </c>
      <c r="V180" t="s">
        <v>695</v>
      </c>
      <c r="W180">
        <v>0</v>
      </c>
      <c r="X180">
        <v>0</v>
      </c>
      <c r="Y180">
        <v>0</v>
      </c>
      <c r="Z180">
        <v>90.614677</v>
      </c>
      <c r="AA180">
        <v>108.262276</v>
      </c>
      <c r="AB180">
        <v>0.16300799999999999</v>
      </c>
      <c r="AC180">
        <v>0.5</v>
      </c>
      <c r="AD180">
        <v>0.8</v>
      </c>
      <c r="AE180">
        <v>81.436217999999997</v>
      </c>
      <c r="AF180">
        <v>37.619999999999997</v>
      </c>
      <c r="AG180">
        <v>37.6</v>
      </c>
      <c r="AH180">
        <v>35.86</v>
      </c>
      <c r="AI180">
        <v>38.950000000000003</v>
      </c>
      <c r="AJ180">
        <v>95.28</v>
      </c>
      <c r="AK180">
        <v>156.5</v>
      </c>
      <c r="AL180">
        <v>155.19999999999999</v>
      </c>
      <c r="AM180">
        <v>0.8</v>
      </c>
      <c r="AN180">
        <v>1249</v>
      </c>
      <c r="AO180">
        <v>3.9260000000000002</v>
      </c>
      <c r="AP180">
        <v>35</v>
      </c>
      <c r="AQ180">
        <v>-4</v>
      </c>
      <c r="AR180">
        <v>136</v>
      </c>
      <c r="AS180">
        <v>47.86</v>
      </c>
      <c r="AT180">
        <v>67.099999999999994</v>
      </c>
      <c r="AU180">
        <v>35.200000000000003</v>
      </c>
      <c r="AV180">
        <v>142.94999999999999</v>
      </c>
      <c r="AW180">
        <v>15.19</v>
      </c>
      <c r="AX180">
        <v>267.82</v>
      </c>
      <c r="AY180">
        <v>62.37</v>
      </c>
      <c r="AZ180" s="3">
        <v>0.69243055555555555</v>
      </c>
      <c r="BA180" s="1">
        <v>45149</v>
      </c>
      <c r="BB180">
        <v>38.493091999999997</v>
      </c>
      <c r="BC180">
        <v>-1.3652299999999999</v>
      </c>
      <c r="BD180">
        <v>582.5</v>
      </c>
      <c r="BE180">
        <v>3</v>
      </c>
      <c r="BF180">
        <v>3.35</v>
      </c>
      <c r="BG180" s="3">
        <v>0.48501157407407408</v>
      </c>
      <c r="BH180" s="1">
        <v>45149</v>
      </c>
      <c r="BI180">
        <v>-0.06</v>
      </c>
      <c r="BJ180">
        <v>0</v>
      </c>
      <c r="BK180">
        <v>0</v>
      </c>
      <c r="BL180">
        <v>-9999</v>
      </c>
      <c r="BM180">
        <v>0.32400000000000001</v>
      </c>
      <c r="BN180">
        <v>-0.157</v>
      </c>
      <c r="BO180">
        <v>-9999</v>
      </c>
      <c r="BP180">
        <v>1</v>
      </c>
      <c r="BQ180">
        <v>150</v>
      </c>
      <c r="BR180">
        <v>5.0000000000000001E-3</v>
      </c>
      <c r="BS180">
        <v>2</v>
      </c>
      <c r="BT180">
        <v>0</v>
      </c>
      <c r="BU180" t="s">
        <v>200</v>
      </c>
      <c r="BV180">
        <v>7000</v>
      </c>
      <c r="BW180">
        <v>500</v>
      </c>
      <c r="BX180">
        <v>5</v>
      </c>
      <c r="BY180">
        <v>2</v>
      </c>
      <c r="BZ180">
        <v>300</v>
      </c>
      <c r="CA180">
        <v>300</v>
      </c>
      <c r="CB180">
        <v>300</v>
      </c>
      <c r="CC180">
        <v>106.87995100000001</v>
      </c>
      <c r="CD180">
        <v>25</v>
      </c>
      <c r="CE180">
        <v>-2.236335</v>
      </c>
      <c r="CF180">
        <v>104.91514599999999</v>
      </c>
      <c r="CG180">
        <v>105.072052</v>
      </c>
      <c r="CH180">
        <v>-0.15690599999999999</v>
      </c>
      <c r="CI180">
        <v>2.4973749999999999</v>
      </c>
      <c r="CJ180">
        <v>2.5059290000000001</v>
      </c>
      <c r="CK180">
        <v>1.6646270000000001</v>
      </c>
      <c r="CL180">
        <v>0.94032000000000004</v>
      </c>
      <c r="CM180">
        <v>0.17788200000000001</v>
      </c>
      <c r="CN180">
        <v>4.0677999999999999E-2</v>
      </c>
      <c r="CO180">
        <v>0.117315</v>
      </c>
      <c r="CP180">
        <v>1.211527</v>
      </c>
      <c r="CQ180">
        <v>90.614677</v>
      </c>
      <c r="CR180">
        <v>3.68E-4</v>
      </c>
      <c r="CS180">
        <v>2.4333689999999999</v>
      </c>
      <c r="CT180">
        <v>-3.6000000000000001E-5</v>
      </c>
      <c r="CU180">
        <v>1</v>
      </c>
      <c r="CV180">
        <v>2.4396819999999999</v>
      </c>
      <c r="CW180">
        <v>1.1E-5</v>
      </c>
      <c r="CX180">
        <v>1</v>
      </c>
      <c r="CY180">
        <v>0.60025499999999998</v>
      </c>
      <c r="CZ180">
        <v>0.60245199999999999</v>
      </c>
      <c r="DA180">
        <v>0.106742</v>
      </c>
      <c r="DB180">
        <v>0</v>
      </c>
      <c r="DC180" t="s">
        <v>695</v>
      </c>
      <c r="DD180" t="s">
        <v>515</v>
      </c>
      <c r="DE180" t="s">
        <v>516</v>
      </c>
      <c r="DF180" t="s">
        <v>517</v>
      </c>
      <c r="DG180" t="s">
        <v>518</v>
      </c>
      <c r="DH180" t="s">
        <v>205</v>
      </c>
      <c r="DI180" t="s">
        <v>519</v>
      </c>
    </row>
    <row r="181" spans="1:113">
      <c r="A181">
        <v>4</v>
      </c>
      <c r="B181" s="3">
        <v>0.48575231481481485</v>
      </c>
      <c r="C181" s="1">
        <v>45149</v>
      </c>
      <c r="D181" t="s">
        <v>196</v>
      </c>
      <c r="E181" t="s">
        <v>197</v>
      </c>
      <c r="G181">
        <v>4</v>
      </c>
      <c r="J181">
        <v>1.3446E-2</v>
      </c>
      <c r="K181">
        <v>2.9211999999999998</v>
      </c>
      <c r="L181">
        <v>1.3384E-2</v>
      </c>
      <c r="M181">
        <v>0.51308900000000002</v>
      </c>
      <c r="N181">
        <v>2.2426979999999999</v>
      </c>
      <c r="O181">
        <v>2.2292329999999998</v>
      </c>
      <c r="P181">
        <v>5.742464</v>
      </c>
      <c r="Q181">
        <v>3.4997660000000002</v>
      </c>
      <c r="R181">
        <v>23.39518</v>
      </c>
      <c r="S181">
        <v>23.536486</v>
      </c>
      <c r="T181">
        <v>60.265555999999997</v>
      </c>
      <c r="U181">
        <v>0.44178600000000001</v>
      </c>
      <c r="V181" t="s">
        <v>696</v>
      </c>
      <c r="W181">
        <v>0</v>
      </c>
      <c r="X181">
        <v>0</v>
      </c>
      <c r="Y181">
        <v>0</v>
      </c>
      <c r="Z181">
        <v>140.67077599999999</v>
      </c>
      <c r="AA181">
        <v>561.10992399999998</v>
      </c>
      <c r="AB181">
        <v>0.74929900000000005</v>
      </c>
      <c r="AC181">
        <v>0.5</v>
      </c>
      <c r="AD181">
        <v>0.8</v>
      </c>
      <c r="AE181">
        <v>28.381775000000001</v>
      </c>
      <c r="AF181">
        <v>37.85</v>
      </c>
      <c r="AG181">
        <v>37.619999999999997</v>
      </c>
      <c r="AH181">
        <v>35.869999999999997</v>
      </c>
      <c r="AI181">
        <v>35.299999999999997</v>
      </c>
      <c r="AJ181">
        <v>95.29</v>
      </c>
      <c r="AK181">
        <v>156.6</v>
      </c>
      <c r="AL181">
        <v>155.1</v>
      </c>
      <c r="AM181">
        <v>1</v>
      </c>
      <c r="AN181">
        <v>95</v>
      </c>
      <c r="AO181">
        <v>3.9249999999999998</v>
      </c>
      <c r="AP181">
        <v>0</v>
      </c>
      <c r="AQ181">
        <v>4</v>
      </c>
      <c r="AR181">
        <v>177</v>
      </c>
      <c r="AS181">
        <v>58.37</v>
      </c>
      <c r="AT181">
        <v>52.45</v>
      </c>
      <c r="AU181">
        <v>4</v>
      </c>
      <c r="AV181">
        <v>87</v>
      </c>
      <c r="AW181">
        <v>15.19</v>
      </c>
      <c r="AX181">
        <v>267.82</v>
      </c>
      <c r="AY181">
        <v>62.37</v>
      </c>
      <c r="AZ181" s="3">
        <v>0.69256944444444446</v>
      </c>
      <c r="BA181" s="1">
        <v>45149</v>
      </c>
      <c r="BB181">
        <v>38.493102999999998</v>
      </c>
      <c r="BC181">
        <v>-1.3652150000000001</v>
      </c>
      <c r="BD181">
        <v>581.90002400000003</v>
      </c>
      <c r="BE181">
        <v>4</v>
      </c>
      <c r="BF181">
        <v>2.0299999999999998</v>
      </c>
      <c r="BG181" s="3">
        <v>0.48501157407407408</v>
      </c>
      <c r="BH181" s="1">
        <v>45149</v>
      </c>
      <c r="BI181">
        <v>-0.06</v>
      </c>
      <c r="BJ181">
        <v>0</v>
      </c>
      <c r="BK181">
        <v>0</v>
      </c>
      <c r="BL181">
        <v>-9999</v>
      </c>
      <c r="BM181">
        <v>2.5449999999999999</v>
      </c>
      <c r="BN181">
        <v>2.1949999999999998</v>
      </c>
      <c r="BO181">
        <v>-9999</v>
      </c>
      <c r="BP181">
        <v>1</v>
      </c>
      <c r="BQ181">
        <v>150</v>
      </c>
      <c r="BR181">
        <v>5.0000000000000001E-3</v>
      </c>
      <c r="BS181">
        <v>2</v>
      </c>
      <c r="BT181">
        <v>0</v>
      </c>
      <c r="BU181" t="s">
        <v>200</v>
      </c>
      <c r="BV181">
        <v>7000</v>
      </c>
      <c r="BW181">
        <v>500</v>
      </c>
      <c r="BX181">
        <v>5</v>
      </c>
      <c r="BY181">
        <v>2</v>
      </c>
      <c r="BZ181">
        <v>300</v>
      </c>
      <c r="CA181">
        <v>300</v>
      </c>
      <c r="CB181">
        <v>300</v>
      </c>
      <c r="CC181">
        <v>561.10992399999998</v>
      </c>
      <c r="CD181">
        <v>25</v>
      </c>
      <c r="CE181">
        <v>2.4010410000000002</v>
      </c>
      <c r="CF181">
        <v>567.36090100000001</v>
      </c>
      <c r="CG181">
        <v>564.53509499999996</v>
      </c>
      <c r="CH181">
        <v>2.825806</v>
      </c>
      <c r="CI181">
        <v>2.4974020000000001</v>
      </c>
      <c r="CJ181">
        <v>2.506281</v>
      </c>
      <c r="CK181">
        <v>1.6658550000000001</v>
      </c>
      <c r="CL181">
        <v>0.94005700000000003</v>
      </c>
      <c r="CM181">
        <v>0.17780499999999999</v>
      </c>
      <c r="CN181">
        <v>-6.5859999999999998E-3</v>
      </c>
      <c r="CO181">
        <v>0.119142</v>
      </c>
      <c r="CP181">
        <v>0.19050500000000001</v>
      </c>
      <c r="CQ181">
        <v>140.67077599999999</v>
      </c>
      <c r="CR181">
        <v>3.7300000000000001E-4</v>
      </c>
      <c r="CS181">
        <v>2.4333689999999999</v>
      </c>
      <c r="CT181">
        <v>-3.6000000000000001E-5</v>
      </c>
      <c r="CU181">
        <v>1</v>
      </c>
      <c r="CV181">
        <v>2.4396819999999999</v>
      </c>
      <c r="CW181">
        <v>1.1E-5</v>
      </c>
      <c r="CX181">
        <v>1</v>
      </c>
      <c r="CY181">
        <v>0.60025499999999998</v>
      </c>
      <c r="CZ181">
        <v>0.60245199999999999</v>
      </c>
      <c r="DA181">
        <v>0.106742</v>
      </c>
      <c r="DB181">
        <v>0</v>
      </c>
      <c r="DC181" t="s">
        <v>696</v>
      </c>
      <c r="DD181" t="s">
        <v>515</v>
      </c>
      <c r="DE181" t="s">
        <v>516</v>
      </c>
      <c r="DF181" t="s">
        <v>517</v>
      </c>
      <c r="DG181" t="s">
        <v>518</v>
      </c>
      <c r="DH181" t="s">
        <v>205</v>
      </c>
      <c r="DI181" t="s">
        <v>519</v>
      </c>
    </row>
    <row r="182" spans="1:113">
      <c r="A182">
        <v>5</v>
      </c>
      <c r="B182" s="3">
        <v>0.48586805555555551</v>
      </c>
      <c r="C182" s="1">
        <v>45149</v>
      </c>
      <c r="D182" t="s">
        <v>196</v>
      </c>
      <c r="E182" t="s">
        <v>197</v>
      </c>
      <c r="G182">
        <v>5</v>
      </c>
      <c r="J182">
        <v>8.1601999999999994E-2</v>
      </c>
      <c r="K182">
        <v>2.9227379999999998</v>
      </c>
      <c r="L182">
        <v>7.9384999999999997E-2</v>
      </c>
      <c r="M182">
        <v>2.6829909999999999</v>
      </c>
      <c r="N182">
        <v>2.3274089999999998</v>
      </c>
      <c r="O182">
        <v>2.2571539999999999</v>
      </c>
      <c r="P182">
        <v>5.4168000000000003</v>
      </c>
      <c r="Q182">
        <v>3.089391</v>
      </c>
      <c r="R182">
        <v>23.689139999999998</v>
      </c>
      <c r="S182">
        <v>24.426469999999998</v>
      </c>
      <c r="T182">
        <v>56.850048000000001</v>
      </c>
      <c r="U182">
        <v>0.44178600000000001</v>
      </c>
      <c r="V182" t="s">
        <v>697</v>
      </c>
      <c r="W182">
        <v>0</v>
      </c>
      <c r="X182">
        <v>0</v>
      </c>
      <c r="Y182">
        <v>0</v>
      </c>
      <c r="Z182">
        <v>118.03686500000001</v>
      </c>
      <c r="AA182">
        <v>402.044556</v>
      </c>
      <c r="AB182">
        <v>0.70640899999999995</v>
      </c>
      <c r="AC182">
        <v>0.5</v>
      </c>
      <c r="AD182">
        <v>0.8</v>
      </c>
      <c r="AE182">
        <v>21.005528999999999</v>
      </c>
      <c r="AF182">
        <v>39.28</v>
      </c>
      <c r="AG182">
        <v>38.090000000000003</v>
      </c>
      <c r="AH182">
        <v>35.869999999999997</v>
      </c>
      <c r="AI182">
        <v>34.25</v>
      </c>
      <c r="AJ182">
        <v>95.28</v>
      </c>
      <c r="AK182">
        <v>156.80000000000001</v>
      </c>
      <c r="AL182">
        <v>155.19999999999999</v>
      </c>
      <c r="AM182">
        <v>1</v>
      </c>
      <c r="AN182">
        <v>74</v>
      </c>
      <c r="AO182">
        <v>3.9239999999999999</v>
      </c>
      <c r="AP182">
        <v>-11</v>
      </c>
      <c r="AQ182">
        <v>-24</v>
      </c>
      <c r="AR182">
        <v>59</v>
      </c>
      <c r="AS182">
        <v>62.98</v>
      </c>
      <c r="AT182">
        <v>45.44</v>
      </c>
      <c r="AU182">
        <v>26.26</v>
      </c>
      <c r="AV182">
        <v>172.2</v>
      </c>
      <c r="AW182">
        <v>15.19</v>
      </c>
      <c r="AX182">
        <v>267.82</v>
      </c>
      <c r="AY182">
        <v>62.37</v>
      </c>
      <c r="AZ182" s="3">
        <v>0.69269675925925922</v>
      </c>
      <c r="BA182" s="1">
        <v>45149</v>
      </c>
      <c r="BB182">
        <v>38.493144999999998</v>
      </c>
      <c r="BC182">
        <v>-1.3653249999999999</v>
      </c>
      <c r="BD182">
        <v>581.20001200000002</v>
      </c>
      <c r="BE182">
        <v>4</v>
      </c>
      <c r="BF182">
        <v>2.0299999999999998</v>
      </c>
      <c r="BG182" s="3">
        <v>0.48501157407407408</v>
      </c>
      <c r="BH182" s="1">
        <v>45149</v>
      </c>
      <c r="BI182">
        <v>-0.06</v>
      </c>
      <c r="BJ182">
        <v>1E-3</v>
      </c>
      <c r="BK182">
        <v>4.0000000000000001E-3</v>
      </c>
      <c r="BL182">
        <v>-9999</v>
      </c>
      <c r="BM182">
        <v>-0.12</v>
      </c>
      <c r="BN182">
        <v>0.104</v>
      </c>
      <c r="BO182">
        <v>-9999</v>
      </c>
      <c r="BP182">
        <v>1</v>
      </c>
      <c r="BQ182">
        <v>150</v>
      </c>
      <c r="BR182">
        <v>5.0000000000000001E-3</v>
      </c>
      <c r="BS182">
        <v>2</v>
      </c>
      <c r="BT182">
        <v>0</v>
      </c>
      <c r="BU182" t="s">
        <v>200</v>
      </c>
      <c r="BV182">
        <v>7000</v>
      </c>
      <c r="BW182">
        <v>500</v>
      </c>
      <c r="BX182">
        <v>5</v>
      </c>
      <c r="BY182">
        <v>2</v>
      </c>
      <c r="BZ182">
        <v>300</v>
      </c>
      <c r="CA182">
        <v>300</v>
      </c>
      <c r="CB182">
        <v>300</v>
      </c>
      <c r="CC182">
        <v>376.53420999999997</v>
      </c>
      <c r="CD182">
        <v>25</v>
      </c>
      <c r="CE182">
        <v>-17.542971000000001</v>
      </c>
      <c r="CF182">
        <v>374.72103900000002</v>
      </c>
      <c r="CG182">
        <v>377.01876800000002</v>
      </c>
      <c r="CH182">
        <v>-2.2977289999999999</v>
      </c>
      <c r="CI182">
        <v>2.4981049999999998</v>
      </c>
      <c r="CJ182">
        <v>2.5084300000000002</v>
      </c>
      <c r="CK182">
        <v>1.6674789999999999</v>
      </c>
      <c r="CL182">
        <v>0.94039300000000003</v>
      </c>
      <c r="CM182">
        <v>0.17779400000000001</v>
      </c>
      <c r="CN182">
        <v>-1.983E-2</v>
      </c>
      <c r="CO182">
        <v>0.12077300000000001</v>
      </c>
      <c r="CP182">
        <v>0.17249999999999999</v>
      </c>
      <c r="CQ182">
        <v>118.03686500000001</v>
      </c>
      <c r="CR182">
        <v>3.7399999999999998E-4</v>
      </c>
      <c r="CS182">
        <v>2.4333689999999999</v>
      </c>
      <c r="CT182">
        <v>-3.6000000000000001E-5</v>
      </c>
      <c r="CU182">
        <v>1</v>
      </c>
      <c r="CV182">
        <v>2.4396819999999999</v>
      </c>
      <c r="CW182">
        <v>1.1E-5</v>
      </c>
      <c r="CX182">
        <v>1</v>
      </c>
      <c r="CY182">
        <v>0.60025499999999998</v>
      </c>
      <c r="CZ182">
        <v>0.60245199999999999</v>
      </c>
      <c r="DA182">
        <v>0.106742</v>
      </c>
      <c r="DB182">
        <v>0</v>
      </c>
      <c r="DC182" t="s">
        <v>697</v>
      </c>
      <c r="DD182" t="s">
        <v>515</v>
      </c>
      <c r="DE182" t="s">
        <v>516</v>
      </c>
      <c r="DF182" t="s">
        <v>517</v>
      </c>
      <c r="DG182" t="s">
        <v>518</v>
      </c>
      <c r="DH182" t="s">
        <v>205</v>
      </c>
      <c r="DI182" t="s">
        <v>519</v>
      </c>
    </row>
    <row r="183" spans="1:113">
      <c r="A183">
        <v>6</v>
      </c>
      <c r="B183" s="3">
        <v>0.48618055555555556</v>
      </c>
      <c r="C183" s="1">
        <v>45149</v>
      </c>
      <c r="D183" t="s">
        <v>196</v>
      </c>
      <c r="E183" t="s">
        <v>197</v>
      </c>
      <c r="G183">
        <v>6</v>
      </c>
      <c r="J183">
        <v>4.6760999999999997E-2</v>
      </c>
      <c r="K183">
        <v>2.9205930000000002</v>
      </c>
      <c r="L183">
        <v>4.6024000000000002E-2</v>
      </c>
      <c r="M183">
        <v>1.644979</v>
      </c>
      <c r="N183">
        <v>2.335296</v>
      </c>
      <c r="O183">
        <v>2.2921580000000001</v>
      </c>
      <c r="P183">
        <v>5.5986310000000001</v>
      </c>
      <c r="Q183">
        <v>3.2633350000000001</v>
      </c>
      <c r="R183">
        <v>24.059538</v>
      </c>
      <c r="S183">
        <v>24.512333000000002</v>
      </c>
      <c r="T183">
        <v>58.765793000000002</v>
      </c>
      <c r="U183">
        <v>0.44178600000000001</v>
      </c>
      <c r="V183" t="s">
        <v>698</v>
      </c>
      <c r="W183">
        <v>0</v>
      </c>
      <c r="X183">
        <v>0</v>
      </c>
      <c r="Y183">
        <v>0</v>
      </c>
      <c r="Z183">
        <v>104.73382599999999</v>
      </c>
      <c r="AA183">
        <v>421.935089</v>
      </c>
      <c r="AB183">
        <v>0.75177700000000003</v>
      </c>
      <c r="AC183">
        <v>0.5</v>
      </c>
      <c r="AD183">
        <v>0.8</v>
      </c>
      <c r="AE183">
        <v>22.543292999999998</v>
      </c>
      <c r="AF183">
        <v>39.380000000000003</v>
      </c>
      <c r="AG183">
        <v>38.65</v>
      </c>
      <c r="AH183">
        <v>35.880000000000003</v>
      </c>
      <c r="AI183">
        <v>34.840000000000003</v>
      </c>
      <c r="AJ183">
        <v>95.27</v>
      </c>
      <c r="AK183">
        <v>156.6</v>
      </c>
      <c r="AL183">
        <v>155.6</v>
      </c>
      <c r="AM183">
        <v>0.6</v>
      </c>
      <c r="AN183">
        <v>75</v>
      </c>
      <c r="AO183">
        <v>3.9239999999999999</v>
      </c>
      <c r="AP183">
        <v>-2</v>
      </c>
      <c r="AQ183">
        <v>-3</v>
      </c>
      <c r="AR183">
        <v>85</v>
      </c>
      <c r="AS183">
        <v>64.260000000000005</v>
      </c>
      <c r="AT183">
        <v>43.43</v>
      </c>
      <c r="AU183">
        <v>3.61</v>
      </c>
      <c r="AV183">
        <v>-151.34</v>
      </c>
      <c r="AW183">
        <v>15.19</v>
      </c>
      <c r="AX183">
        <v>267.82</v>
      </c>
      <c r="AY183">
        <v>62.37</v>
      </c>
      <c r="AZ183" s="3">
        <v>0.69300925925925927</v>
      </c>
      <c r="BA183" s="1">
        <v>45149</v>
      </c>
      <c r="BB183">
        <v>38.493102999999998</v>
      </c>
      <c r="BC183">
        <v>-1.3653979999999999</v>
      </c>
      <c r="BD183">
        <v>584</v>
      </c>
      <c r="BE183">
        <v>4</v>
      </c>
      <c r="BF183">
        <v>1.68</v>
      </c>
      <c r="BG183" s="3">
        <v>0.48501157407407408</v>
      </c>
      <c r="BH183" s="1">
        <v>45149</v>
      </c>
      <c r="BI183">
        <v>-0.06</v>
      </c>
      <c r="BJ183">
        <v>1E-3</v>
      </c>
      <c r="BK183">
        <v>0</v>
      </c>
      <c r="BL183">
        <v>-9999</v>
      </c>
      <c r="BM183">
        <v>0.25800000000000001</v>
      </c>
      <c r="BN183">
        <v>1.0049999999999999</v>
      </c>
      <c r="BO183">
        <v>-9999</v>
      </c>
      <c r="BP183">
        <v>1</v>
      </c>
      <c r="BQ183">
        <v>150</v>
      </c>
      <c r="BR183">
        <v>5.0000000000000001E-3</v>
      </c>
      <c r="BS183">
        <v>2</v>
      </c>
      <c r="BT183">
        <v>0</v>
      </c>
      <c r="BU183" t="s">
        <v>200</v>
      </c>
      <c r="BV183">
        <v>7000</v>
      </c>
      <c r="BW183">
        <v>500</v>
      </c>
      <c r="BX183">
        <v>5</v>
      </c>
      <c r="BY183">
        <v>2</v>
      </c>
      <c r="BZ183">
        <v>300</v>
      </c>
      <c r="CA183">
        <v>300</v>
      </c>
      <c r="CB183">
        <v>300</v>
      </c>
      <c r="CC183">
        <v>421.935089</v>
      </c>
      <c r="CD183">
        <v>25</v>
      </c>
      <c r="CE183">
        <v>3.9931939999999999</v>
      </c>
      <c r="CF183">
        <v>433.33303799999999</v>
      </c>
      <c r="CG183">
        <v>427.63156099999998</v>
      </c>
      <c r="CH183">
        <v>5.7014769999999997</v>
      </c>
      <c r="CI183">
        <v>2.4989379999999999</v>
      </c>
      <c r="CJ183">
        <v>2.508578</v>
      </c>
      <c r="CK183">
        <v>1.6652149999999999</v>
      </c>
      <c r="CL183">
        <v>0.941469</v>
      </c>
      <c r="CM183">
        <v>0.17768900000000001</v>
      </c>
      <c r="CN183">
        <v>-1.2576E-2</v>
      </c>
      <c r="CO183">
        <v>0.1249</v>
      </c>
      <c r="CP183">
        <v>0.17305499999999999</v>
      </c>
      <c r="CQ183">
        <v>104.73382599999999</v>
      </c>
      <c r="CR183">
        <v>3.79E-4</v>
      </c>
      <c r="CS183">
        <v>2.4333689999999999</v>
      </c>
      <c r="CT183">
        <v>-3.6000000000000001E-5</v>
      </c>
      <c r="CU183">
        <v>1</v>
      </c>
      <c r="CV183">
        <v>2.4396819999999999</v>
      </c>
      <c r="CW183">
        <v>1.1E-5</v>
      </c>
      <c r="CX183">
        <v>1</v>
      </c>
      <c r="CY183">
        <v>0.60025499999999998</v>
      </c>
      <c r="CZ183">
        <v>0.60245199999999999</v>
      </c>
      <c r="DA183">
        <v>0.106742</v>
      </c>
      <c r="DB183">
        <v>0</v>
      </c>
      <c r="DC183" t="s">
        <v>698</v>
      </c>
      <c r="DD183" t="s">
        <v>515</v>
      </c>
      <c r="DE183" t="s">
        <v>516</v>
      </c>
      <c r="DF183" t="s">
        <v>517</v>
      </c>
      <c r="DG183" t="s">
        <v>518</v>
      </c>
      <c r="DH183" t="s">
        <v>205</v>
      </c>
      <c r="DI183" t="s">
        <v>519</v>
      </c>
    </row>
    <row r="184" spans="1:113">
      <c r="A184">
        <v>7</v>
      </c>
      <c r="B184" s="3">
        <v>0.4864236111111111</v>
      </c>
      <c r="C184" s="1">
        <v>45149</v>
      </c>
      <c r="D184" t="s">
        <v>196</v>
      </c>
      <c r="E184" t="s">
        <v>197</v>
      </c>
      <c r="G184">
        <v>7</v>
      </c>
      <c r="J184">
        <v>8.3540000000000003E-3</v>
      </c>
      <c r="K184">
        <v>2.922437</v>
      </c>
      <c r="L184">
        <v>8.3309999999999999E-3</v>
      </c>
      <c r="M184">
        <v>0.31746099999999999</v>
      </c>
      <c r="N184">
        <v>2.2688709999999999</v>
      </c>
      <c r="O184">
        <v>2.2605520000000001</v>
      </c>
      <c r="P184">
        <v>5.7464019999999998</v>
      </c>
      <c r="Q184">
        <v>3.4775309999999999</v>
      </c>
      <c r="R184">
        <v>23.729531999999999</v>
      </c>
      <c r="S184">
        <v>23.816852999999998</v>
      </c>
      <c r="T184">
        <v>60.321285000000003</v>
      </c>
      <c r="U184">
        <v>0.44178600000000001</v>
      </c>
      <c r="V184" t="s">
        <v>699</v>
      </c>
      <c r="W184">
        <v>0</v>
      </c>
      <c r="X184">
        <v>0</v>
      </c>
      <c r="Y184">
        <v>0</v>
      </c>
      <c r="Z184">
        <v>115.010262</v>
      </c>
      <c r="AA184">
        <v>311.69683800000001</v>
      </c>
      <c r="AB184">
        <v>0.631019</v>
      </c>
      <c r="AC184">
        <v>0.5</v>
      </c>
      <c r="AD184">
        <v>0.8</v>
      </c>
      <c r="AE184">
        <v>24.414379</v>
      </c>
      <c r="AF184">
        <v>38.24</v>
      </c>
      <c r="AG184">
        <v>38.1</v>
      </c>
      <c r="AH184">
        <v>35.89</v>
      </c>
      <c r="AI184">
        <v>35.31</v>
      </c>
      <c r="AJ184">
        <v>95.26</v>
      </c>
      <c r="AK184">
        <v>156.80000000000001</v>
      </c>
      <c r="AL184">
        <v>155.30000000000001</v>
      </c>
      <c r="AM184">
        <v>1</v>
      </c>
      <c r="AN184">
        <v>97</v>
      </c>
      <c r="AO184">
        <v>3.923</v>
      </c>
      <c r="AP184">
        <v>24</v>
      </c>
      <c r="AQ184">
        <v>-35</v>
      </c>
      <c r="AR184">
        <v>67</v>
      </c>
      <c r="AS184">
        <v>36.56</v>
      </c>
      <c r="AT184">
        <v>80.319999999999993</v>
      </c>
      <c r="AU184">
        <v>41.55</v>
      </c>
      <c r="AV184">
        <v>126.85</v>
      </c>
      <c r="AW184">
        <v>15.19</v>
      </c>
      <c r="AX184">
        <v>267.98</v>
      </c>
      <c r="AY184">
        <v>62.56</v>
      </c>
      <c r="AZ184" s="3">
        <v>0.69325231481481486</v>
      </c>
      <c r="BA184" s="1">
        <v>45149</v>
      </c>
      <c r="BB184">
        <v>38.493102999999998</v>
      </c>
      <c r="BC184">
        <v>-1.365337</v>
      </c>
      <c r="BD184">
        <v>583.79998799999998</v>
      </c>
      <c r="BE184">
        <v>5</v>
      </c>
      <c r="BF184">
        <v>1.65</v>
      </c>
      <c r="BG184" s="3">
        <v>0.48501157407407408</v>
      </c>
      <c r="BH184" s="1">
        <v>45149</v>
      </c>
      <c r="BI184">
        <v>-0.06</v>
      </c>
      <c r="BJ184">
        <v>1E-3</v>
      </c>
      <c r="BK184">
        <v>-1E-3</v>
      </c>
      <c r="BL184">
        <v>-9999</v>
      </c>
      <c r="BM184">
        <v>0.20100000000000001</v>
      </c>
      <c r="BN184">
        <v>0.77</v>
      </c>
      <c r="BO184">
        <v>-9999</v>
      </c>
      <c r="BP184">
        <v>1</v>
      </c>
      <c r="BQ184">
        <v>150</v>
      </c>
      <c r="BR184">
        <v>5.0000000000000001E-3</v>
      </c>
      <c r="BS184">
        <v>2</v>
      </c>
      <c r="BT184">
        <v>0</v>
      </c>
      <c r="BU184" t="s">
        <v>200</v>
      </c>
      <c r="BV184">
        <v>7000</v>
      </c>
      <c r="BW184">
        <v>500</v>
      </c>
      <c r="BX184">
        <v>5</v>
      </c>
      <c r="BY184">
        <v>2</v>
      </c>
      <c r="BZ184">
        <v>300</v>
      </c>
      <c r="CA184">
        <v>300</v>
      </c>
      <c r="CB184">
        <v>300</v>
      </c>
      <c r="CC184">
        <v>296.88836700000002</v>
      </c>
      <c r="CD184">
        <v>25</v>
      </c>
      <c r="CE184">
        <v>-10.544815</v>
      </c>
      <c r="CF184">
        <v>293.158661</v>
      </c>
      <c r="CG184">
        <v>296.65420499999999</v>
      </c>
      <c r="CH184">
        <v>-3.4955440000000002</v>
      </c>
      <c r="CI184">
        <v>2.498116</v>
      </c>
      <c r="CJ184">
        <v>2.5068679999999999</v>
      </c>
      <c r="CK184">
        <v>1.66716</v>
      </c>
      <c r="CL184">
        <v>0.94051799999999997</v>
      </c>
      <c r="CM184">
        <v>0.17763899999999999</v>
      </c>
      <c r="CN184">
        <v>-6.7340000000000004E-3</v>
      </c>
      <c r="CO184">
        <v>0.127943</v>
      </c>
      <c r="CP184">
        <v>0.192302</v>
      </c>
      <c r="CQ184">
        <v>115.010262</v>
      </c>
      <c r="CR184">
        <v>3.7399999999999998E-4</v>
      </c>
      <c r="CS184">
        <v>2.4333689999999999</v>
      </c>
      <c r="CT184">
        <v>-3.6000000000000001E-5</v>
      </c>
      <c r="CU184">
        <v>1</v>
      </c>
      <c r="CV184">
        <v>2.4396819999999999</v>
      </c>
      <c r="CW184">
        <v>1.1E-5</v>
      </c>
      <c r="CX184">
        <v>1</v>
      </c>
      <c r="CY184">
        <v>0.60025499999999998</v>
      </c>
      <c r="CZ184">
        <v>0.60245199999999999</v>
      </c>
      <c r="DA184">
        <v>0.106742</v>
      </c>
      <c r="DB184">
        <v>0</v>
      </c>
      <c r="DC184" t="s">
        <v>699</v>
      </c>
      <c r="DD184" t="s">
        <v>515</v>
      </c>
      <c r="DE184" t="s">
        <v>516</v>
      </c>
      <c r="DF184" t="s">
        <v>517</v>
      </c>
      <c r="DG184" t="s">
        <v>518</v>
      </c>
      <c r="DH184" t="s">
        <v>205</v>
      </c>
      <c r="DI184" t="s">
        <v>519</v>
      </c>
    </row>
    <row r="185" spans="1:113">
      <c r="A185">
        <v>8</v>
      </c>
      <c r="B185" s="3">
        <v>0.48658564814814814</v>
      </c>
      <c r="C185" s="1">
        <v>45149</v>
      </c>
      <c r="D185" t="s">
        <v>196</v>
      </c>
      <c r="E185" t="s">
        <v>197</v>
      </c>
      <c r="G185">
        <v>8</v>
      </c>
      <c r="J185">
        <v>1.5443E-2</v>
      </c>
      <c r="K185">
        <v>2.9210060000000002</v>
      </c>
      <c r="L185">
        <v>1.5362000000000001E-2</v>
      </c>
      <c r="M185">
        <v>0.61091899999999999</v>
      </c>
      <c r="N185">
        <v>2.3068369999999998</v>
      </c>
      <c r="O185">
        <v>2.290816</v>
      </c>
      <c r="P185">
        <v>5.9318229999999996</v>
      </c>
      <c r="Q185">
        <v>3.6249859999999998</v>
      </c>
      <c r="R185">
        <v>24.045074</v>
      </c>
      <c r="S185">
        <v>24.213232000000001</v>
      </c>
      <c r="T185">
        <v>62.262138</v>
      </c>
      <c r="U185">
        <v>0.44178600000000001</v>
      </c>
      <c r="V185" t="s">
        <v>700</v>
      </c>
      <c r="W185">
        <v>0</v>
      </c>
      <c r="X185">
        <v>0</v>
      </c>
      <c r="Y185">
        <v>0</v>
      </c>
      <c r="Z185">
        <v>81.169364999999999</v>
      </c>
      <c r="AA185">
        <v>150.47789</v>
      </c>
      <c r="AB185">
        <v>0.46058900000000003</v>
      </c>
      <c r="AC185">
        <v>0.5</v>
      </c>
      <c r="AD185">
        <v>0.8</v>
      </c>
      <c r="AE185">
        <v>13.602304999999999</v>
      </c>
      <c r="AF185">
        <v>38.86</v>
      </c>
      <c r="AG185">
        <v>38.590000000000003</v>
      </c>
      <c r="AH185">
        <v>35.9</v>
      </c>
      <c r="AI185">
        <v>35.89</v>
      </c>
      <c r="AJ185">
        <v>95.27</v>
      </c>
      <c r="AK185">
        <v>156.6</v>
      </c>
      <c r="AL185">
        <v>155.5</v>
      </c>
      <c r="AM185">
        <v>0.7</v>
      </c>
      <c r="AN185">
        <v>74</v>
      </c>
      <c r="AO185">
        <v>3.9220000000000002</v>
      </c>
      <c r="AP185">
        <v>0</v>
      </c>
      <c r="AQ185">
        <v>-15</v>
      </c>
      <c r="AR185">
        <v>71</v>
      </c>
      <c r="AZ185" s="3">
        <v>0.69337962962962962</v>
      </c>
      <c r="BA185" s="1">
        <v>45149</v>
      </c>
      <c r="BB185" t="s">
        <v>514</v>
      </c>
      <c r="BC185" t="s">
        <v>514</v>
      </c>
      <c r="BD185">
        <v>583.20001200000002</v>
      </c>
      <c r="BE185">
        <v>2</v>
      </c>
      <c r="BF185">
        <v>99.989998</v>
      </c>
      <c r="BG185" s="3">
        <v>0.48501157407407408</v>
      </c>
      <c r="BH185" s="1">
        <v>45149</v>
      </c>
      <c r="BI185">
        <v>-0.06</v>
      </c>
      <c r="BJ185">
        <v>2E-3</v>
      </c>
      <c r="BK185">
        <v>2E-3</v>
      </c>
      <c r="BL185">
        <v>-9999</v>
      </c>
      <c r="BM185">
        <v>0.95299999999999996</v>
      </c>
      <c r="BN185">
        <v>1.583</v>
      </c>
      <c r="BO185">
        <v>-9999</v>
      </c>
      <c r="BP185">
        <v>1</v>
      </c>
      <c r="BQ185">
        <v>150</v>
      </c>
      <c r="BR185">
        <v>5.0000000000000001E-3</v>
      </c>
      <c r="BS185">
        <v>2</v>
      </c>
      <c r="BT185">
        <v>0</v>
      </c>
      <c r="BU185" t="s">
        <v>200</v>
      </c>
      <c r="BV185">
        <v>7000</v>
      </c>
      <c r="BW185">
        <v>500</v>
      </c>
      <c r="BX185">
        <v>5</v>
      </c>
      <c r="BY185">
        <v>2</v>
      </c>
      <c r="BZ185">
        <v>300</v>
      </c>
      <c r="CA185">
        <v>300</v>
      </c>
      <c r="CB185">
        <v>300</v>
      </c>
      <c r="CC185">
        <v>147.55296300000001</v>
      </c>
      <c r="CD185">
        <v>25</v>
      </c>
      <c r="CE185">
        <v>-1.7586889999999999</v>
      </c>
      <c r="CF185">
        <v>149.60217299999999</v>
      </c>
      <c r="CG185">
        <v>147.96904000000001</v>
      </c>
      <c r="CH185">
        <v>1.6331329999999999</v>
      </c>
      <c r="CI185">
        <v>2.498847</v>
      </c>
      <c r="CJ185">
        <v>2.5077989999999999</v>
      </c>
      <c r="CK185">
        <v>1.6656500000000001</v>
      </c>
      <c r="CL185">
        <v>0.94111699999999998</v>
      </c>
      <c r="CM185">
        <v>0.17757100000000001</v>
      </c>
      <c r="CN185">
        <v>4.4499999999999997E-4</v>
      </c>
      <c r="CO185">
        <v>0.12993499999999999</v>
      </c>
      <c r="CP185">
        <v>0.17205000000000001</v>
      </c>
      <c r="CQ185">
        <v>81.169364999999999</v>
      </c>
      <c r="CR185">
        <v>3.77E-4</v>
      </c>
      <c r="CS185">
        <v>2.4333689999999999</v>
      </c>
      <c r="CT185">
        <v>-3.6000000000000001E-5</v>
      </c>
      <c r="CU185">
        <v>1</v>
      </c>
      <c r="CV185">
        <v>2.4396819999999999</v>
      </c>
      <c r="CW185">
        <v>1.1E-5</v>
      </c>
      <c r="CX185">
        <v>1</v>
      </c>
      <c r="CY185">
        <v>0.60025499999999998</v>
      </c>
      <c r="CZ185">
        <v>0.60245199999999999</v>
      </c>
      <c r="DA185">
        <v>0.106742</v>
      </c>
      <c r="DB185">
        <v>0</v>
      </c>
      <c r="DC185" t="s">
        <v>700</v>
      </c>
      <c r="DD185" t="s">
        <v>515</v>
      </c>
      <c r="DE185" t="s">
        <v>516</v>
      </c>
      <c r="DF185" t="s">
        <v>517</v>
      </c>
      <c r="DG185" t="s">
        <v>518</v>
      </c>
      <c r="DH185" t="s">
        <v>205</v>
      </c>
      <c r="DI185" t="s">
        <v>519</v>
      </c>
    </row>
    <row r="186" spans="1:113">
      <c r="A186">
        <v>9</v>
      </c>
      <c r="B186" s="3">
        <v>0.48677083333333332</v>
      </c>
      <c r="C186" s="1">
        <v>45149</v>
      </c>
      <c r="D186" t="s">
        <v>196</v>
      </c>
      <c r="E186" t="s">
        <v>197</v>
      </c>
      <c r="G186">
        <v>9</v>
      </c>
      <c r="J186">
        <v>6.7390000000000002E-3</v>
      </c>
      <c r="K186">
        <v>2.9218120000000001</v>
      </c>
      <c r="L186">
        <v>6.7229999999999998E-3</v>
      </c>
      <c r="M186">
        <v>0.28312100000000001</v>
      </c>
      <c r="N186">
        <v>2.3464149999999999</v>
      </c>
      <c r="O186">
        <v>2.3389980000000001</v>
      </c>
      <c r="P186">
        <v>6.1792150000000001</v>
      </c>
      <c r="Q186">
        <v>3.8328000000000002</v>
      </c>
      <c r="R186">
        <v>24.54945</v>
      </c>
      <c r="S186">
        <v>24.627298</v>
      </c>
      <c r="T186">
        <v>64.855262999999994</v>
      </c>
      <c r="U186">
        <v>0.44178600000000001</v>
      </c>
      <c r="V186" t="s">
        <v>701</v>
      </c>
      <c r="W186">
        <v>0</v>
      </c>
      <c r="X186">
        <v>0</v>
      </c>
      <c r="Y186">
        <v>0</v>
      </c>
      <c r="Z186">
        <v>121.22834</v>
      </c>
      <c r="AA186">
        <v>132.10848999999999</v>
      </c>
      <c r="AB186">
        <v>8.2358000000000001E-2</v>
      </c>
      <c r="AC186">
        <v>0.5</v>
      </c>
      <c r="AD186">
        <v>0.8</v>
      </c>
      <c r="AE186">
        <v>7.4192910000000003</v>
      </c>
      <c r="AF186">
        <v>39.49</v>
      </c>
      <c r="AG186">
        <v>39.369999999999997</v>
      </c>
      <c r="AH186">
        <v>35.92</v>
      </c>
      <c r="AI186">
        <v>36.630000000000003</v>
      </c>
      <c r="AJ186">
        <v>95.28</v>
      </c>
      <c r="AK186">
        <v>156.69999999999999</v>
      </c>
      <c r="AL186">
        <v>155.6</v>
      </c>
      <c r="AM186">
        <v>0.7</v>
      </c>
      <c r="AN186">
        <v>225</v>
      </c>
      <c r="AO186">
        <v>3.92</v>
      </c>
      <c r="AP186">
        <v>16</v>
      </c>
      <c r="AQ186">
        <v>-34</v>
      </c>
      <c r="AR186">
        <v>26</v>
      </c>
      <c r="AS186">
        <v>25.76</v>
      </c>
      <c r="AT186">
        <v>90.06</v>
      </c>
      <c r="AU186">
        <v>37.159999999999997</v>
      </c>
      <c r="AV186">
        <v>93.77</v>
      </c>
      <c r="AW186">
        <v>15.19</v>
      </c>
      <c r="AX186">
        <v>267.98</v>
      </c>
      <c r="AY186">
        <v>62.56</v>
      </c>
      <c r="AZ186" s="3">
        <v>0.69358796296296299</v>
      </c>
      <c r="BA186" s="1">
        <v>45149</v>
      </c>
      <c r="BB186">
        <v>38.493107000000002</v>
      </c>
      <c r="BC186">
        <v>-1.365375</v>
      </c>
      <c r="BD186">
        <v>583.20001200000002</v>
      </c>
      <c r="BE186">
        <v>5</v>
      </c>
      <c r="BF186">
        <v>1.65</v>
      </c>
      <c r="BG186" s="3">
        <v>0.48501157407407408</v>
      </c>
      <c r="BH186" s="1">
        <v>45149</v>
      </c>
      <c r="BI186">
        <v>-0.06</v>
      </c>
      <c r="BJ186">
        <v>-1E-3</v>
      </c>
      <c r="BK186">
        <v>-1E-3</v>
      </c>
      <c r="BL186">
        <v>-9999</v>
      </c>
      <c r="BM186">
        <v>-0.434</v>
      </c>
      <c r="BN186">
        <v>-0.60899999999999999</v>
      </c>
      <c r="BO186">
        <v>-9999</v>
      </c>
      <c r="BP186">
        <v>1</v>
      </c>
      <c r="BQ186">
        <v>150</v>
      </c>
      <c r="BR186">
        <v>5.0000000000000001E-3</v>
      </c>
      <c r="BS186">
        <v>2</v>
      </c>
      <c r="BT186">
        <v>0</v>
      </c>
      <c r="BU186" t="s">
        <v>200</v>
      </c>
      <c r="BV186">
        <v>7000</v>
      </c>
      <c r="BW186">
        <v>500</v>
      </c>
      <c r="BX186">
        <v>5</v>
      </c>
      <c r="BY186">
        <v>2</v>
      </c>
      <c r="BZ186">
        <v>300</v>
      </c>
      <c r="CA186">
        <v>300</v>
      </c>
      <c r="CB186">
        <v>300</v>
      </c>
      <c r="CC186">
        <v>125.58710499999999</v>
      </c>
      <c r="CD186">
        <v>25</v>
      </c>
      <c r="CE186">
        <v>-10.708606</v>
      </c>
      <c r="CF186">
        <v>113.584045</v>
      </c>
      <c r="CG186">
        <v>116.83221399999999</v>
      </c>
      <c r="CH186">
        <v>-3.2481689999999999</v>
      </c>
      <c r="CI186">
        <v>2.500006</v>
      </c>
      <c r="CJ186">
        <v>2.5087470000000001</v>
      </c>
      <c r="CK186">
        <v>1.6665000000000001</v>
      </c>
      <c r="CL186">
        <v>0.94131799999999999</v>
      </c>
      <c r="CM186">
        <v>0.17746200000000001</v>
      </c>
      <c r="CN186">
        <v>9.7579999999999993E-3</v>
      </c>
      <c r="CO186">
        <v>0.13219600000000001</v>
      </c>
      <c r="CP186">
        <v>0.30595899999999998</v>
      </c>
      <c r="CQ186">
        <v>121.22834</v>
      </c>
      <c r="CR186">
        <v>3.6900000000000002E-4</v>
      </c>
      <c r="CS186">
        <v>2.4333689999999999</v>
      </c>
      <c r="CT186">
        <v>-3.6000000000000001E-5</v>
      </c>
      <c r="CU186">
        <v>1</v>
      </c>
      <c r="CV186">
        <v>2.4396819999999999</v>
      </c>
      <c r="CW186">
        <v>1.1E-5</v>
      </c>
      <c r="CX186">
        <v>1</v>
      </c>
      <c r="CY186">
        <v>0.60025499999999998</v>
      </c>
      <c r="CZ186">
        <v>0.60245199999999999</v>
      </c>
      <c r="DA186">
        <v>0.106742</v>
      </c>
      <c r="DB186">
        <v>0</v>
      </c>
      <c r="DC186" t="s">
        <v>701</v>
      </c>
      <c r="DD186" t="s">
        <v>515</v>
      </c>
      <c r="DE186" t="s">
        <v>516</v>
      </c>
      <c r="DF186" t="s">
        <v>517</v>
      </c>
      <c r="DG186" t="s">
        <v>518</v>
      </c>
      <c r="DH186" t="s">
        <v>205</v>
      </c>
      <c r="DI186" t="s">
        <v>519</v>
      </c>
    </row>
    <row r="187" spans="1:113">
      <c r="A187">
        <v>10</v>
      </c>
      <c r="B187" s="3">
        <v>0.48689814814814819</v>
      </c>
      <c r="C187" s="1">
        <v>45149</v>
      </c>
      <c r="D187" t="s">
        <v>196</v>
      </c>
      <c r="E187" t="s">
        <v>197</v>
      </c>
      <c r="G187">
        <v>10</v>
      </c>
      <c r="J187">
        <v>2.0163E-2</v>
      </c>
      <c r="K187">
        <v>2.921233</v>
      </c>
      <c r="L187">
        <v>2.0025000000000001E-2</v>
      </c>
      <c r="M187">
        <v>0.72945199999999999</v>
      </c>
      <c r="N187">
        <v>2.3871349999999998</v>
      </c>
      <c r="O187">
        <v>2.3680249999999998</v>
      </c>
      <c r="P187">
        <v>5.7102979999999999</v>
      </c>
      <c r="Q187">
        <v>3.3231630000000001</v>
      </c>
      <c r="R187">
        <v>24.854498</v>
      </c>
      <c r="S187">
        <v>25.055073</v>
      </c>
      <c r="T187">
        <v>59.934586000000003</v>
      </c>
      <c r="U187">
        <v>0.44178600000000001</v>
      </c>
      <c r="V187" t="s">
        <v>702</v>
      </c>
      <c r="W187">
        <v>0</v>
      </c>
      <c r="X187">
        <v>0</v>
      </c>
      <c r="Y187">
        <v>0</v>
      </c>
      <c r="Z187">
        <v>117.86663799999999</v>
      </c>
      <c r="AA187">
        <v>407.10290500000002</v>
      </c>
      <c r="AB187">
        <v>0.71047499999999997</v>
      </c>
      <c r="AC187">
        <v>0.5</v>
      </c>
      <c r="AD187">
        <v>0.8</v>
      </c>
      <c r="AE187">
        <v>21.889244000000001</v>
      </c>
      <c r="AF187">
        <v>40.15</v>
      </c>
      <c r="AG187">
        <v>39.82</v>
      </c>
      <c r="AH187">
        <v>35.93</v>
      </c>
      <c r="AI187">
        <v>35.200000000000003</v>
      </c>
      <c r="AJ187">
        <v>95.28</v>
      </c>
      <c r="AK187">
        <v>156.6</v>
      </c>
      <c r="AL187">
        <v>155.69999999999999</v>
      </c>
      <c r="AM187">
        <v>0.6</v>
      </c>
      <c r="AN187">
        <v>77</v>
      </c>
      <c r="AO187">
        <v>3.92</v>
      </c>
      <c r="AP187">
        <v>27</v>
      </c>
      <c r="AQ187">
        <v>-30</v>
      </c>
      <c r="AR187">
        <v>306</v>
      </c>
      <c r="AS187">
        <v>69.27</v>
      </c>
      <c r="AT187">
        <v>35.4</v>
      </c>
      <c r="AU187">
        <v>39.5</v>
      </c>
      <c r="AV187">
        <v>-2.1800000000000002</v>
      </c>
      <c r="AW187">
        <v>15.19</v>
      </c>
      <c r="AX187">
        <v>267.98</v>
      </c>
      <c r="AY187">
        <v>62.56</v>
      </c>
      <c r="AZ187" s="3">
        <v>0.6937268518518519</v>
      </c>
      <c r="BA187" s="1">
        <v>45149</v>
      </c>
      <c r="BB187">
        <v>38.493136999999997</v>
      </c>
      <c r="BC187">
        <v>-1.3653219999999999</v>
      </c>
      <c r="BD187">
        <v>577</v>
      </c>
      <c r="BE187">
        <v>5</v>
      </c>
      <c r="BF187">
        <v>1.65</v>
      </c>
      <c r="BG187" s="3">
        <v>0.48501157407407408</v>
      </c>
      <c r="BH187" s="1">
        <v>45149</v>
      </c>
      <c r="BI187">
        <v>-0.06</v>
      </c>
      <c r="BJ187">
        <v>-1E-3</v>
      </c>
      <c r="BK187">
        <v>-1E-3</v>
      </c>
      <c r="BL187">
        <v>-9999</v>
      </c>
      <c r="BM187">
        <v>-0.63800000000000001</v>
      </c>
      <c r="BN187">
        <v>0.82199999999999995</v>
      </c>
      <c r="BO187">
        <v>-9999</v>
      </c>
      <c r="BP187">
        <v>1</v>
      </c>
      <c r="BQ187">
        <v>150</v>
      </c>
      <c r="BR187">
        <v>5.0000000000000001E-3</v>
      </c>
      <c r="BS187">
        <v>2</v>
      </c>
      <c r="BT187">
        <v>0</v>
      </c>
      <c r="BU187" t="s">
        <v>200</v>
      </c>
      <c r="BV187">
        <v>7000</v>
      </c>
      <c r="BW187">
        <v>500</v>
      </c>
      <c r="BX187">
        <v>5</v>
      </c>
      <c r="BY187">
        <v>2</v>
      </c>
      <c r="BZ187">
        <v>300</v>
      </c>
      <c r="CA187">
        <v>300</v>
      </c>
      <c r="CB187">
        <v>300</v>
      </c>
      <c r="CC187">
        <v>380.15020800000002</v>
      </c>
      <c r="CD187">
        <v>25</v>
      </c>
      <c r="CE187">
        <v>-18.542185</v>
      </c>
      <c r="CF187">
        <v>372.99835200000001</v>
      </c>
      <c r="CG187">
        <v>380.651703</v>
      </c>
      <c r="CH187">
        <v>-7.6533509999999998</v>
      </c>
      <c r="CI187">
        <v>2.5006870000000001</v>
      </c>
      <c r="CJ187">
        <v>2.5097269999999998</v>
      </c>
      <c r="CK187">
        <v>1.665889</v>
      </c>
      <c r="CL187">
        <v>0.94172299999999998</v>
      </c>
      <c r="CM187">
        <v>0.177366</v>
      </c>
      <c r="CN187">
        <v>-8.6779999999999999E-3</v>
      </c>
      <c r="CO187">
        <v>0.133765</v>
      </c>
      <c r="CP187">
        <v>0.174874</v>
      </c>
      <c r="CQ187">
        <v>117.86663799999999</v>
      </c>
      <c r="CR187">
        <v>3.68E-4</v>
      </c>
      <c r="CS187">
        <v>2.4333689999999999</v>
      </c>
      <c r="CT187">
        <v>-3.6000000000000001E-5</v>
      </c>
      <c r="CU187">
        <v>1</v>
      </c>
      <c r="CV187">
        <v>2.4396819999999999</v>
      </c>
      <c r="CW187">
        <v>1.1E-5</v>
      </c>
      <c r="CX187">
        <v>1</v>
      </c>
      <c r="CY187">
        <v>0.60025499999999998</v>
      </c>
      <c r="CZ187">
        <v>0.60245199999999999</v>
      </c>
      <c r="DA187">
        <v>0.106742</v>
      </c>
      <c r="DB187">
        <v>0</v>
      </c>
      <c r="DC187" t="s">
        <v>702</v>
      </c>
      <c r="DD187" t="s">
        <v>515</v>
      </c>
      <c r="DE187" t="s">
        <v>516</v>
      </c>
      <c r="DF187" t="s">
        <v>517</v>
      </c>
      <c r="DG187" t="s">
        <v>518</v>
      </c>
      <c r="DH187" t="s">
        <v>205</v>
      </c>
      <c r="DI187" t="s">
        <v>519</v>
      </c>
    </row>
    <row r="188" spans="1:113">
      <c r="A188">
        <v>11</v>
      </c>
      <c r="B188" s="3">
        <v>0.48710648148148145</v>
      </c>
      <c r="C188" s="1">
        <v>45149</v>
      </c>
      <c r="D188" t="s">
        <v>196</v>
      </c>
      <c r="E188" t="s">
        <v>197</v>
      </c>
      <c r="G188">
        <v>11</v>
      </c>
      <c r="J188">
        <v>7.6959E-2</v>
      </c>
      <c r="K188">
        <v>2.9214980000000002</v>
      </c>
      <c r="L188">
        <v>7.4983999999999995E-2</v>
      </c>
      <c r="M188">
        <v>2.9758939999999998</v>
      </c>
      <c r="N188">
        <v>2.3961519999999998</v>
      </c>
      <c r="O188">
        <v>2.318206</v>
      </c>
      <c r="P188">
        <v>6.0109349999999999</v>
      </c>
      <c r="Q188">
        <v>3.6147830000000001</v>
      </c>
      <c r="R188">
        <v>24.328989</v>
      </c>
      <c r="S188">
        <v>25.147013000000001</v>
      </c>
      <c r="T188">
        <v>63.083247999999998</v>
      </c>
      <c r="U188">
        <v>0.44178600000000001</v>
      </c>
      <c r="V188" t="s">
        <v>703</v>
      </c>
      <c r="W188">
        <v>0</v>
      </c>
      <c r="X188">
        <v>0</v>
      </c>
      <c r="Y188">
        <v>0</v>
      </c>
      <c r="Z188">
        <v>54.420589</v>
      </c>
      <c r="AA188">
        <v>90.178368000000006</v>
      </c>
      <c r="AB188">
        <v>0.39652300000000001</v>
      </c>
      <c r="AC188">
        <v>0.5</v>
      </c>
      <c r="AD188">
        <v>0.8</v>
      </c>
      <c r="AE188">
        <v>197.872818</v>
      </c>
      <c r="AF188">
        <v>40.24</v>
      </c>
      <c r="AG188">
        <v>38.93</v>
      </c>
      <c r="AH188">
        <v>35.96</v>
      </c>
      <c r="AI188">
        <v>36.130000000000003</v>
      </c>
      <c r="AJ188">
        <v>95.29</v>
      </c>
      <c r="AK188">
        <v>156.69999999999999</v>
      </c>
      <c r="AL188">
        <v>155.6</v>
      </c>
      <c r="AM188">
        <v>0.7</v>
      </c>
      <c r="AN188">
        <v>1248</v>
      </c>
      <c r="AO188">
        <v>3.919</v>
      </c>
      <c r="AP188">
        <v>15</v>
      </c>
      <c r="AQ188">
        <v>-26</v>
      </c>
      <c r="AR188">
        <v>352</v>
      </c>
      <c r="AS188">
        <v>40.29</v>
      </c>
      <c r="AT188">
        <v>76.28</v>
      </c>
      <c r="AU188">
        <v>29.75</v>
      </c>
      <c r="AV188">
        <v>54.05</v>
      </c>
      <c r="AW188">
        <v>15.19</v>
      </c>
      <c r="AX188">
        <v>268.14</v>
      </c>
      <c r="AY188">
        <v>62.76</v>
      </c>
      <c r="AZ188" s="3">
        <v>0.69392361111111101</v>
      </c>
      <c r="BA188" s="1">
        <v>45149</v>
      </c>
      <c r="BB188">
        <v>38.493149000000003</v>
      </c>
      <c r="BC188">
        <v>-1.3653219999999999</v>
      </c>
      <c r="BD188">
        <v>572.5</v>
      </c>
      <c r="BE188">
        <v>5</v>
      </c>
      <c r="BF188">
        <v>1.65</v>
      </c>
      <c r="BG188" s="3">
        <v>0.48501157407407408</v>
      </c>
      <c r="BH188" s="1">
        <v>45149</v>
      </c>
      <c r="BI188">
        <v>-0.06</v>
      </c>
      <c r="BJ188">
        <v>1E-3</v>
      </c>
      <c r="BK188">
        <v>1E-3</v>
      </c>
      <c r="BL188">
        <v>5.0000000000000001E-3</v>
      </c>
      <c r="BM188">
        <v>-8.3260000000000005</v>
      </c>
      <c r="BN188">
        <v>-4.34</v>
      </c>
      <c r="BO188">
        <v>-41.072000000000003</v>
      </c>
      <c r="BP188">
        <v>1</v>
      </c>
      <c r="BQ188">
        <v>150</v>
      </c>
      <c r="BR188">
        <v>5.0000000000000001E-3</v>
      </c>
      <c r="BS188">
        <v>2</v>
      </c>
      <c r="BT188">
        <v>0</v>
      </c>
      <c r="BU188" t="s">
        <v>200</v>
      </c>
      <c r="BV188">
        <v>7000</v>
      </c>
      <c r="BW188">
        <v>500</v>
      </c>
      <c r="BX188">
        <v>5</v>
      </c>
      <c r="BY188">
        <v>2</v>
      </c>
      <c r="BZ188">
        <v>300</v>
      </c>
      <c r="CA188">
        <v>300</v>
      </c>
      <c r="CB188">
        <v>300</v>
      </c>
      <c r="CC188">
        <v>90.178368000000006</v>
      </c>
      <c r="CD188">
        <v>25</v>
      </c>
      <c r="CE188">
        <v>1.8469899999999999</v>
      </c>
      <c r="CF188">
        <v>97.405311999999995</v>
      </c>
      <c r="CG188">
        <v>92.813179000000005</v>
      </c>
      <c r="CH188">
        <v>4.5921329999999996</v>
      </c>
      <c r="CI188">
        <v>2.499352</v>
      </c>
      <c r="CJ188">
        <v>2.509868</v>
      </c>
      <c r="CK188">
        <v>1.666169</v>
      </c>
      <c r="CL188">
        <v>0.94134300000000004</v>
      </c>
      <c r="CM188">
        <v>0.17719399999999999</v>
      </c>
      <c r="CN188">
        <v>2.8180000000000002E-3</v>
      </c>
      <c r="CO188">
        <v>0.13628699999999999</v>
      </c>
      <c r="CP188">
        <v>1.210278</v>
      </c>
      <c r="CQ188">
        <v>54.420589</v>
      </c>
      <c r="CR188">
        <v>3.7399999999999998E-4</v>
      </c>
      <c r="CS188">
        <v>2.4333689999999999</v>
      </c>
      <c r="CT188">
        <v>-3.6000000000000001E-5</v>
      </c>
      <c r="CU188">
        <v>1</v>
      </c>
      <c r="CV188">
        <v>2.4396819999999999</v>
      </c>
      <c r="CW188">
        <v>1.1E-5</v>
      </c>
      <c r="CX188">
        <v>1</v>
      </c>
      <c r="CY188">
        <v>0.60025499999999998</v>
      </c>
      <c r="CZ188">
        <v>0.60245199999999999</v>
      </c>
      <c r="DA188">
        <v>0.106742</v>
      </c>
      <c r="DB188">
        <v>0</v>
      </c>
      <c r="DC188" t="s">
        <v>703</v>
      </c>
      <c r="DD188" t="s">
        <v>515</v>
      </c>
      <c r="DE188" t="s">
        <v>516</v>
      </c>
      <c r="DF188" t="s">
        <v>517</v>
      </c>
      <c r="DG188" t="s">
        <v>518</v>
      </c>
      <c r="DH188" t="s">
        <v>205</v>
      </c>
      <c r="DI188" t="s">
        <v>519</v>
      </c>
    </row>
    <row r="189" spans="1:113">
      <c r="A189">
        <v>12</v>
      </c>
      <c r="B189" s="3">
        <v>0.4872569444444444</v>
      </c>
      <c r="C189" s="1">
        <v>45149</v>
      </c>
      <c r="D189" t="s">
        <v>196</v>
      </c>
      <c r="E189" t="s">
        <v>197</v>
      </c>
      <c r="G189">
        <v>12</v>
      </c>
      <c r="J189">
        <v>5.6446000000000003E-2</v>
      </c>
      <c r="K189">
        <v>2.920531</v>
      </c>
      <c r="L189">
        <v>5.5376000000000002E-2</v>
      </c>
      <c r="M189">
        <v>2.101804</v>
      </c>
      <c r="N189">
        <v>2.3552759999999999</v>
      </c>
      <c r="O189">
        <v>2.300154</v>
      </c>
      <c r="P189">
        <v>5.8170210000000004</v>
      </c>
      <c r="Q189">
        <v>3.4617450000000001</v>
      </c>
      <c r="R189">
        <v>24.137896000000001</v>
      </c>
      <c r="S189">
        <v>24.716342999999998</v>
      </c>
      <c r="T189">
        <v>61.044006000000003</v>
      </c>
      <c r="U189">
        <v>0.44178600000000001</v>
      </c>
      <c r="V189" t="s">
        <v>704</v>
      </c>
      <c r="W189">
        <v>0</v>
      </c>
      <c r="X189">
        <v>0</v>
      </c>
      <c r="Y189">
        <v>0</v>
      </c>
      <c r="Z189">
        <v>118.125916</v>
      </c>
      <c r="AA189">
        <v>370.92980999999997</v>
      </c>
      <c r="AB189">
        <v>0.68154099999999995</v>
      </c>
      <c r="AC189">
        <v>0.5</v>
      </c>
      <c r="AD189">
        <v>0.8</v>
      </c>
      <c r="AE189">
        <v>201.21191400000001</v>
      </c>
      <c r="AF189">
        <v>39.51</v>
      </c>
      <c r="AG189">
        <v>38.58</v>
      </c>
      <c r="AH189">
        <v>35.979999999999997</v>
      </c>
      <c r="AI189">
        <v>35.53</v>
      </c>
      <c r="AJ189">
        <v>95.29</v>
      </c>
      <c r="AK189">
        <v>156.6</v>
      </c>
      <c r="AL189">
        <v>155.30000000000001</v>
      </c>
      <c r="AM189">
        <v>0.8</v>
      </c>
      <c r="AN189">
        <v>738</v>
      </c>
      <c r="AO189">
        <v>3.919</v>
      </c>
      <c r="AP189">
        <v>10</v>
      </c>
      <c r="AQ189">
        <v>-13</v>
      </c>
      <c r="AR189">
        <v>312</v>
      </c>
      <c r="AS189">
        <v>62.01</v>
      </c>
      <c r="AT189">
        <v>46.94</v>
      </c>
      <c r="AU189">
        <v>16.350000000000001</v>
      </c>
      <c r="AV189">
        <v>5.05</v>
      </c>
      <c r="AW189">
        <v>15.19</v>
      </c>
      <c r="AX189">
        <v>268.14</v>
      </c>
      <c r="AY189">
        <v>62.76</v>
      </c>
      <c r="AZ189" s="3">
        <v>0.69408564814814822</v>
      </c>
      <c r="BA189" s="1">
        <v>45149</v>
      </c>
      <c r="BB189">
        <v>38.493060999999997</v>
      </c>
      <c r="BC189">
        <v>-1.3652519999999999</v>
      </c>
      <c r="BD189">
        <v>567</v>
      </c>
      <c r="BE189">
        <v>6</v>
      </c>
      <c r="BF189">
        <v>1.19</v>
      </c>
      <c r="BG189" s="3">
        <v>0.48501157407407408</v>
      </c>
      <c r="BH189" s="1">
        <v>45149</v>
      </c>
      <c r="BI189">
        <v>-0.06</v>
      </c>
      <c r="BJ189">
        <v>-1E-3</v>
      </c>
      <c r="BK189">
        <v>0</v>
      </c>
      <c r="BL189">
        <v>0</v>
      </c>
      <c r="BM189">
        <v>-2.1160000000000001</v>
      </c>
      <c r="BN189">
        <v>-1.0609999999999999</v>
      </c>
      <c r="BO189">
        <v>-1.67</v>
      </c>
      <c r="BP189">
        <v>1</v>
      </c>
      <c r="BQ189">
        <v>150</v>
      </c>
      <c r="BR189">
        <v>5.0000000000000001E-3</v>
      </c>
      <c r="BS189">
        <v>2</v>
      </c>
      <c r="BT189">
        <v>0</v>
      </c>
      <c r="BU189" t="s">
        <v>200</v>
      </c>
      <c r="BV189">
        <v>7000</v>
      </c>
      <c r="BW189">
        <v>500</v>
      </c>
      <c r="BX189">
        <v>5</v>
      </c>
      <c r="BY189">
        <v>2</v>
      </c>
      <c r="BZ189">
        <v>300</v>
      </c>
      <c r="CA189">
        <v>300</v>
      </c>
      <c r="CB189">
        <v>300</v>
      </c>
      <c r="CC189">
        <v>350.51678500000003</v>
      </c>
      <c r="CD189">
        <v>25</v>
      </c>
      <c r="CE189">
        <v>-14.080494</v>
      </c>
      <c r="CF189">
        <v>349.58874500000002</v>
      </c>
      <c r="CG189">
        <v>350.84338400000001</v>
      </c>
      <c r="CH189">
        <v>-1.2546390000000001</v>
      </c>
      <c r="CI189">
        <v>2.498821</v>
      </c>
      <c r="CJ189">
        <v>2.5087600000000001</v>
      </c>
      <c r="CK189">
        <v>1.6651499999999999</v>
      </c>
      <c r="CL189">
        <v>0.94074400000000002</v>
      </c>
      <c r="CM189">
        <v>0.177036</v>
      </c>
      <c r="CN189">
        <v>-5.0480000000000004E-3</v>
      </c>
      <c r="CO189">
        <v>0.13808799999999999</v>
      </c>
      <c r="CP189">
        <v>0.75961699999999999</v>
      </c>
      <c r="CQ189">
        <v>118.125916</v>
      </c>
      <c r="CR189">
        <v>3.7599999999999998E-4</v>
      </c>
      <c r="CS189">
        <v>2.4333689999999999</v>
      </c>
      <c r="CT189">
        <v>-3.6000000000000001E-5</v>
      </c>
      <c r="CU189">
        <v>1</v>
      </c>
      <c r="CV189">
        <v>2.4396819999999999</v>
      </c>
      <c r="CW189">
        <v>1.1E-5</v>
      </c>
      <c r="CX189">
        <v>1</v>
      </c>
      <c r="CY189">
        <v>0.60025499999999998</v>
      </c>
      <c r="CZ189">
        <v>0.60245199999999999</v>
      </c>
      <c r="DA189">
        <v>0.106742</v>
      </c>
      <c r="DB189">
        <v>0</v>
      </c>
      <c r="DC189" t="s">
        <v>704</v>
      </c>
      <c r="DD189" t="s">
        <v>515</v>
      </c>
      <c r="DE189" t="s">
        <v>516</v>
      </c>
      <c r="DF189" t="s">
        <v>517</v>
      </c>
      <c r="DG189" t="s">
        <v>518</v>
      </c>
      <c r="DH189" t="s">
        <v>205</v>
      </c>
      <c r="DI189" t="s">
        <v>519</v>
      </c>
    </row>
    <row r="190" spans="1:113">
      <c r="A190">
        <v>13</v>
      </c>
      <c r="B190" s="3">
        <v>0.48756944444444444</v>
      </c>
      <c r="C190" s="1">
        <v>45149</v>
      </c>
      <c r="D190" t="s">
        <v>196</v>
      </c>
      <c r="E190" t="s">
        <v>197</v>
      </c>
      <c r="G190">
        <v>13</v>
      </c>
      <c r="J190">
        <v>4.1015000000000003E-2</v>
      </c>
      <c r="K190">
        <v>2.9214609999999999</v>
      </c>
      <c r="L190">
        <v>4.0446999999999997E-2</v>
      </c>
      <c r="M190">
        <v>1.549285</v>
      </c>
      <c r="N190">
        <v>2.3127840000000002</v>
      </c>
      <c r="O190">
        <v>2.2721629999999999</v>
      </c>
      <c r="P190">
        <v>5.8074479999999999</v>
      </c>
      <c r="Q190">
        <v>3.4946640000000002</v>
      </c>
      <c r="R190">
        <v>23.843588</v>
      </c>
      <c r="S190">
        <v>24.269856999999998</v>
      </c>
      <c r="T190">
        <v>60.942112000000002</v>
      </c>
      <c r="U190">
        <v>0.44178600000000001</v>
      </c>
      <c r="V190" t="s">
        <v>705</v>
      </c>
      <c r="W190">
        <v>0</v>
      </c>
      <c r="X190">
        <v>0</v>
      </c>
      <c r="Y190">
        <v>0</v>
      </c>
      <c r="Z190">
        <v>111.856697</v>
      </c>
      <c r="AA190">
        <v>358.67965700000002</v>
      </c>
      <c r="AB190">
        <v>0.68814299999999995</v>
      </c>
      <c r="AC190">
        <v>0.5</v>
      </c>
      <c r="AD190">
        <v>0.8</v>
      </c>
      <c r="AE190">
        <v>150.01919599999999</v>
      </c>
      <c r="AF190">
        <v>38.72</v>
      </c>
      <c r="AG190">
        <v>38.04</v>
      </c>
      <c r="AH190">
        <v>36.01</v>
      </c>
      <c r="AI190">
        <v>35.5</v>
      </c>
      <c r="AJ190">
        <v>95.29</v>
      </c>
      <c r="AK190">
        <v>156.69999999999999</v>
      </c>
      <c r="AL190">
        <v>155.5</v>
      </c>
      <c r="AM190">
        <v>0.8</v>
      </c>
      <c r="AN190">
        <v>545</v>
      </c>
      <c r="AO190">
        <v>3.92</v>
      </c>
      <c r="AP190">
        <v>15</v>
      </c>
      <c r="AQ190">
        <v>-17</v>
      </c>
      <c r="AR190">
        <v>293</v>
      </c>
      <c r="AS190">
        <v>70.58</v>
      </c>
      <c r="AT190">
        <v>33.24</v>
      </c>
      <c r="AU190">
        <v>22.52</v>
      </c>
      <c r="AV190">
        <v>-17.25</v>
      </c>
      <c r="AW190">
        <v>15.19</v>
      </c>
      <c r="AX190">
        <v>268.14</v>
      </c>
      <c r="AY190">
        <v>62.76</v>
      </c>
      <c r="AZ190" s="3">
        <v>0.69439814814814815</v>
      </c>
      <c r="BA190" s="1">
        <v>45149</v>
      </c>
      <c r="BB190">
        <v>38.493060999999997</v>
      </c>
      <c r="BC190">
        <v>-1.3652580000000001</v>
      </c>
      <c r="BD190">
        <v>550.79998799999998</v>
      </c>
      <c r="BE190">
        <v>5</v>
      </c>
      <c r="BF190">
        <v>1.66</v>
      </c>
      <c r="BG190" s="3">
        <v>0.48501157407407408</v>
      </c>
      <c r="BH190" s="1">
        <v>45149</v>
      </c>
      <c r="BI190">
        <v>-0.06</v>
      </c>
      <c r="BJ190">
        <v>0</v>
      </c>
      <c r="BK190">
        <v>-1E-3</v>
      </c>
      <c r="BL190">
        <v>0</v>
      </c>
      <c r="BM190">
        <v>0.78</v>
      </c>
      <c r="BN190">
        <v>-0.47399999999999998</v>
      </c>
      <c r="BO190">
        <v>-13.846</v>
      </c>
      <c r="BP190">
        <v>1</v>
      </c>
      <c r="BQ190">
        <v>150</v>
      </c>
      <c r="BR190">
        <v>5.0000000000000001E-3</v>
      </c>
      <c r="BS190">
        <v>2</v>
      </c>
      <c r="BT190">
        <v>0</v>
      </c>
      <c r="BU190" t="s">
        <v>200</v>
      </c>
      <c r="BV190">
        <v>7000</v>
      </c>
      <c r="BW190">
        <v>500</v>
      </c>
      <c r="BX190">
        <v>5</v>
      </c>
      <c r="BY190">
        <v>2</v>
      </c>
      <c r="BZ190">
        <v>300</v>
      </c>
      <c r="CA190">
        <v>300</v>
      </c>
      <c r="CB190">
        <v>300</v>
      </c>
      <c r="CC190">
        <v>358.67965700000002</v>
      </c>
      <c r="CD190">
        <v>25</v>
      </c>
      <c r="CE190">
        <v>5.9074390000000001</v>
      </c>
      <c r="CF190">
        <v>365.794647</v>
      </c>
      <c r="CG190">
        <v>367.10687300000001</v>
      </c>
      <c r="CH190">
        <v>-1.312225</v>
      </c>
      <c r="CI190">
        <v>2.4980069999999999</v>
      </c>
      <c r="CJ190">
        <v>2.5075780000000001</v>
      </c>
      <c r="CK190">
        <v>1.6661300000000001</v>
      </c>
      <c r="CL190">
        <v>0.94109799999999999</v>
      </c>
      <c r="CM190">
        <v>0.17680699999999999</v>
      </c>
      <c r="CN190">
        <v>-5.849E-3</v>
      </c>
      <c r="CO190">
        <v>0.14177799999999999</v>
      </c>
      <c r="CP190">
        <v>0.58884099999999995</v>
      </c>
      <c r="CQ190">
        <v>111.856697</v>
      </c>
      <c r="CR190">
        <v>3.7599999999999998E-4</v>
      </c>
      <c r="CS190">
        <v>2.4333689999999999</v>
      </c>
      <c r="CT190">
        <v>-3.6000000000000001E-5</v>
      </c>
      <c r="CU190">
        <v>1</v>
      </c>
      <c r="CV190">
        <v>2.4396819999999999</v>
      </c>
      <c r="CW190">
        <v>1.1E-5</v>
      </c>
      <c r="CX190">
        <v>1</v>
      </c>
      <c r="CY190">
        <v>0.60025499999999998</v>
      </c>
      <c r="CZ190">
        <v>0.60245199999999999</v>
      </c>
      <c r="DA190">
        <v>0.106742</v>
      </c>
      <c r="DB190">
        <v>0</v>
      </c>
      <c r="DC190" t="s">
        <v>705</v>
      </c>
      <c r="DD190" t="s">
        <v>515</v>
      </c>
      <c r="DE190" t="s">
        <v>516</v>
      </c>
      <c r="DF190" t="s">
        <v>517</v>
      </c>
      <c r="DG190" t="s">
        <v>518</v>
      </c>
      <c r="DH190" t="s">
        <v>205</v>
      </c>
      <c r="DI190" t="s">
        <v>519</v>
      </c>
    </row>
    <row r="191" spans="1:113">
      <c r="A191">
        <v>14</v>
      </c>
      <c r="B191" s="3">
        <v>0.48777777777777781</v>
      </c>
      <c r="C191" s="1">
        <v>45149</v>
      </c>
      <c r="D191" t="s">
        <v>196</v>
      </c>
      <c r="E191" t="s">
        <v>197</v>
      </c>
      <c r="G191">
        <v>14</v>
      </c>
      <c r="J191">
        <v>3.1393999999999998E-2</v>
      </c>
      <c r="K191">
        <v>2.9217059999999999</v>
      </c>
      <c r="L191">
        <v>3.1060000000000001E-2</v>
      </c>
      <c r="M191">
        <v>1.392358</v>
      </c>
      <c r="N191">
        <v>2.3109820000000001</v>
      </c>
      <c r="O191">
        <v>2.2744800000000001</v>
      </c>
      <c r="P191">
        <v>6.3880460000000001</v>
      </c>
      <c r="Q191">
        <v>4.0770650000000002</v>
      </c>
      <c r="R191">
        <v>23.867027</v>
      </c>
      <c r="S191">
        <v>24.250053000000001</v>
      </c>
      <c r="T191">
        <v>67.032325999999998</v>
      </c>
      <c r="U191">
        <v>0.44178600000000001</v>
      </c>
      <c r="V191" t="s">
        <v>706</v>
      </c>
      <c r="W191">
        <v>0</v>
      </c>
      <c r="X191">
        <v>0</v>
      </c>
      <c r="Y191">
        <v>0</v>
      </c>
      <c r="Z191">
        <v>95.403312999999997</v>
      </c>
      <c r="AA191">
        <v>154.45881700000001</v>
      </c>
      <c r="AB191">
        <v>0.38233800000000001</v>
      </c>
      <c r="AC191">
        <v>0.5</v>
      </c>
      <c r="AD191">
        <v>0.8</v>
      </c>
      <c r="AE191">
        <v>127.041222</v>
      </c>
      <c r="AF191">
        <v>38.630000000000003</v>
      </c>
      <c r="AG191">
        <v>38.020000000000003</v>
      </c>
      <c r="AH191">
        <v>36.04</v>
      </c>
      <c r="AI191">
        <v>37.24</v>
      </c>
      <c r="AJ191">
        <v>95.3</v>
      </c>
      <c r="AK191">
        <v>156.69999999999999</v>
      </c>
      <c r="AL191">
        <v>155.30000000000001</v>
      </c>
      <c r="AM191">
        <v>0.9</v>
      </c>
      <c r="AN191">
        <v>831</v>
      </c>
      <c r="AO191">
        <v>3.919</v>
      </c>
      <c r="AP191">
        <v>-3</v>
      </c>
      <c r="AQ191">
        <v>-13</v>
      </c>
      <c r="AR191">
        <v>12</v>
      </c>
      <c r="AS191">
        <v>51.22</v>
      </c>
      <c r="AT191">
        <v>62.64</v>
      </c>
      <c r="AU191">
        <v>13.34</v>
      </c>
      <c r="AV191">
        <v>114.77</v>
      </c>
      <c r="AW191">
        <v>15.19</v>
      </c>
      <c r="AX191">
        <v>268.3</v>
      </c>
      <c r="AY191">
        <v>62.95</v>
      </c>
      <c r="AZ191" s="3">
        <v>0.69460648148148152</v>
      </c>
      <c r="BA191" s="1">
        <v>45149</v>
      </c>
      <c r="BB191">
        <v>38.493084000000003</v>
      </c>
      <c r="BC191">
        <v>-1.365275</v>
      </c>
      <c r="BD191">
        <v>551.09997599999997</v>
      </c>
      <c r="BE191">
        <v>6</v>
      </c>
      <c r="BF191">
        <v>1.19</v>
      </c>
      <c r="BG191" s="3">
        <v>0.48501157407407408</v>
      </c>
      <c r="BH191" s="1">
        <v>45149</v>
      </c>
      <c r="BI191">
        <v>-0.06</v>
      </c>
      <c r="BJ191">
        <v>3.0000000000000001E-3</v>
      </c>
      <c r="BK191">
        <v>4.0000000000000001E-3</v>
      </c>
      <c r="BL191">
        <v>-9999</v>
      </c>
      <c r="BM191">
        <v>-4.5110000000000001</v>
      </c>
      <c r="BN191">
        <v>-4.1440000000000001</v>
      </c>
      <c r="BO191">
        <v>-9999</v>
      </c>
      <c r="BP191">
        <v>1</v>
      </c>
      <c r="BQ191">
        <v>150</v>
      </c>
      <c r="BR191">
        <v>5.0000000000000001E-3</v>
      </c>
      <c r="BS191">
        <v>2</v>
      </c>
      <c r="BT191">
        <v>0</v>
      </c>
      <c r="BU191" t="s">
        <v>200</v>
      </c>
      <c r="BV191">
        <v>7000</v>
      </c>
      <c r="BW191">
        <v>500</v>
      </c>
      <c r="BX191">
        <v>5</v>
      </c>
      <c r="BY191">
        <v>2</v>
      </c>
      <c r="BZ191">
        <v>300</v>
      </c>
      <c r="CA191">
        <v>300</v>
      </c>
      <c r="CB191">
        <v>300</v>
      </c>
      <c r="CC191">
        <v>151.17823799999999</v>
      </c>
      <c r="CD191">
        <v>25</v>
      </c>
      <c r="CE191">
        <v>-2.1796030000000002</v>
      </c>
      <c r="CF191">
        <v>151.52264400000001</v>
      </c>
      <c r="CG191">
        <v>151.34951799999999</v>
      </c>
      <c r="CH191">
        <v>0.173126</v>
      </c>
      <c r="CI191">
        <v>2.4979710000000002</v>
      </c>
      <c r="CJ191">
        <v>2.5074380000000001</v>
      </c>
      <c r="CK191">
        <v>1.666388</v>
      </c>
      <c r="CL191">
        <v>0.94059499999999996</v>
      </c>
      <c r="CM191">
        <v>0.17661199999999999</v>
      </c>
      <c r="CN191">
        <v>1.6018999999999999E-2</v>
      </c>
      <c r="CO191">
        <v>0.14413999999999999</v>
      </c>
      <c r="CP191">
        <v>0.84153599999999995</v>
      </c>
      <c r="CQ191">
        <v>95.403312999999997</v>
      </c>
      <c r="CR191">
        <v>3.7599999999999998E-4</v>
      </c>
      <c r="CS191">
        <v>2.4333689999999999</v>
      </c>
      <c r="CT191">
        <v>-3.6000000000000001E-5</v>
      </c>
      <c r="CU191">
        <v>1</v>
      </c>
      <c r="CV191">
        <v>2.4396819999999999</v>
      </c>
      <c r="CW191">
        <v>1.1E-5</v>
      </c>
      <c r="CX191">
        <v>1</v>
      </c>
      <c r="CY191">
        <v>0.60025499999999998</v>
      </c>
      <c r="CZ191">
        <v>0.60245199999999999</v>
      </c>
      <c r="DA191">
        <v>0.106742</v>
      </c>
      <c r="DB191">
        <v>0</v>
      </c>
      <c r="DC191" t="s">
        <v>706</v>
      </c>
      <c r="DD191" t="s">
        <v>515</v>
      </c>
      <c r="DE191" t="s">
        <v>516</v>
      </c>
      <c r="DF191" t="s">
        <v>517</v>
      </c>
      <c r="DG191" t="s">
        <v>518</v>
      </c>
      <c r="DH191" t="s">
        <v>205</v>
      </c>
      <c r="DI191" t="s">
        <v>519</v>
      </c>
    </row>
    <row r="192" spans="1:113">
      <c r="A192">
        <v>1</v>
      </c>
      <c r="B192" s="3">
        <v>0.51569444444444446</v>
      </c>
      <c r="C192" s="1">
        <v>45149</v>
      </c>
      <c r="D192" t="s">
        <v>196</v>
      </c>
      <c r="E192" t="s">
        <v>197</v>
      </c>
      <c r="G192">
        <v>1</v>
      </c>
      <c r="J192">
        <v>3.6322E-2</v>
      </c>
      <c r="K192">
        <v>2.9219620000000002</v>
      </c>
      <c r="L192">
        <v>3.5875999999999998E-2</v>
      </c>
      <c r="M192">
        <v>1.016079</v>
      </c>
      <c r="N192">
        <v>1.982972</v>
      </c>
      <c r="O192">
        <v>1.9562109999999999</v>
      </c>
      <c r="P192">
        <v>4.5923100000000003</v>
      </c>
      <c r="Q192">
        <v>2.6093389999999999</v>
      </c>
      <c r="R192">
        <v>20.501276000000001</v>
      </c>
      <c r="S192">
        <v>20.781727</v>
      </c>
      <c r="T192">
        <v>48.127842000000001</v>
      </c>
      <c r="U192">
        <v>0.44178600000000001</v>
      </c>
      <c r="V192" t="s">
        <v>707</v>
      </c>
      <c r="W192">
        <v>0</v>
      </c>
      <c r="X192">
        <v>0</v>
      </c>
      <c r="Y192">
        <v>0</v>
      </c>
      <c r="Z192">
        <v>111.744759</v>
      </c>
      <c r="AA192">
        <v>466.30346700000001</v>
      </c>
      <c r="AB192">
        <v>0.76036000000000004</v>
      </c>
      <c r="AC192">
        <v>0.5</v>
      </c>
      <c r="AD192">
        <v>0.8</v>
      </c>
      <c r="AE192">
        <v>24.247356</v>
      </c>
      <c r="AF192">
        <v>44.2</v>
      </c>
      <c r="AG192">
        <v>43.6</v>
      </c>
      <c r="AH192">
        <v>30.9</v>
      </c>
      <c r="AI192">
        <v>31.31</v>
      </c>
      <c r="AJ192">
        <v>95.42</v>
      </c>
      <c r="AK192">
        <v>156.69999999999999</v>
      </c>
      <c r="AL192">
        <v>154.30000000000001</v>
      </c>
      <c r="AM192">
        <v>1.6</v>
      </c>
      <c r="AN192">
        <v>80</v>
      </c>
      <c r="AO192">
        <v>3.9260000000000002</v>
      </c>
      <c r="AP192">
        <v>34</v>
      </c>
      <c r="AQ192">
        <v>-7</v>
      </c>
      <c r="AR192">
        <v>84</v>
      </c>
      <c r="AZ192" s="3">
        <v>0</v>
      </c>
      <c r="BA192" t="s">
        <v>513</v>
      </c>
      <c r="BB192" t="s">
        <v>514</v>
      </c>
      <c r="BC192" t="s">
        <v>514</v>
      </c>
      <c r="BD192" t="s">
        <v>514</v>
      </c>
      <c r="BE192">
        <v>0</v>
      </c>
      <c r="BF192" t="s">
        <v>514</v>
      </c>
      <c r="BG192" s="3">
        <v>0.51552083333333332</v>
      </c>
      <c r="BH192" s="1">
        <v>45149</v>
      </c>
      <c r="BI192">
        <v>0.01</v>
      </c>
      <c r="BJ192">
        <v>-1E-3</v>
      </c>
      <c r="BK192">
        <v>-2E-3</v>
      </c>
      <c r="BL192">
        <v>-9999</v>
      </c>
      <c r="BM192">
        <v>1.119</v>
      </c>
      <c r="BN192">
        <v>1.512</v>
      </c>
      <c r="BO192">
        <v>-9999</v>
      </c>
      <c r="BP192">
        <v>1</v>
      </c>
      <c r="BQ192">
        <v>150</v>
      </c>
      <c r="BR192">
        <v>5.0000000000000001E-3</v>
      </c>
      <c r="BS192">
        <v>2</v>
      </c>
      <c r="BT192">
        <v>0</v>
      </c>
      <c r="BU192" t="s">
        <v>200</v>
      </c>
      <c r="BV192">
        <v>7000</v>
      </c>
      <c r="BW192">
        <v>500</v>
      </c>
      <c r="BX192">
        <v>5</v>
      </c>
      <c r="BY192">
        <v>2</v>
      </c>
      <c r="BZ192">
        <v>300</v>
      </c>
      <c r="CA192">
        <v>300</v>
      </c>
      <c r="CB192">
        <v>300</v>
      </c>
      <c r="CC192">
        <v>466.30346700000001</v>
      </c>
      <c r="CD192">
        <v>25</v>
      </c>
      <c r="CE192">
        <v>9.5053400000000003</v>
      </c>
      <c r="CF192">
        <v>476.49084499999998</v>
      </c>
      <c r="CG192">
        <v>479.86322000000001</v>
      </c>
      <c r="CH192">
        <v>-3.3723749999999999</v>
      </c>
      <c r="CI192">
        <v>2.507231</v>
      </c>
      <c r="CJ192">
        <v>2.5163730000000002</v>
      </c>
      <c r="CK192">
        <v>1.666658</v>
      </c>
      <c r="CL192">
        <v>0.93794599999999995</v>
      </c>
      <c r="CM192">
        <v>0.215835</v>
      </c>
      <c r="CN192">
        <v>5.5440000000000003E-3</v>
      </c>
      <c r="CO192">
        <v>8.6499000000000006E-2</v>
      </c>
      <c r="CP192">
        <v>0.177262</v>
      </c>
      <c r="CQ192">
        <v>111.744759</v>
      </c>
      <c r="CR192">
        <v>3.59E-4</v>
      </c>
      <c r="CS192">
        <v>2.4333689999999999</v>
      </c>
      <c r="CT192">
        <v>-3.6000000000000001E-5</v>
      </c>
      <c r="CU192">
        <v>1</v>
      </c>
      <c r="CV192">
        <v>2.4396819999999999</v>
      </c>
      <c r="CW192">
        <v>1.1E-5</v>
      </c>
      <c r="CX192">
        <v>1</v>
      </c>
      <c r="CY192">
        <v>0.60025499999999998</v>
      </c>
      <c r="CZ192">
        <v>0.60245199999999999</v>
      </c>
      <c r="DA192">
        <v>0.106742</v>
      </c>
      <c r="DB192">
        <v>0</v>
      </c>
      <c r="DC192" t="s">
        <v>707</v>
      </c>
      <c r="DD192" t="s">
        <v>515</v>
      </c>
      <c r="DE192" t="s">
        <v>516</v>
      </c>
      <c r="DF192" t="s">
        <v>517</v>
      </c>
      <c r="DG192" t="s">
        <v>518</v>
      </c>
      <c r="DH192" t="s">
        <v>205</v>
      </c>
      <c r="DI192" t="s">
        <v>519</v>
      </c>
    </row>
    <row r="193" spans="1:113">
      <c r="A193">
        <v>2</v>
      </c>
      <c r="B193" s="3">
        <v>0.51589120370370367</v>
      </c>
      <c r="C193" s="1">
        <v>45149</v>
      </c>
      <c r="D193" t="s">
        <v>196</v>
      </c>
      <c r="E193" t="s">
        <v>197</v>
      </c>
      <c r="G193">
        <v>2</v>
      </c>
      <c r="J193">
        <v>2.4885000000000001E-2</v>
      </c>
      <c r="K193">
        <v>2.9208189999999998</v>
      </c>
      <c r="L193">
        <v>2.4674000000000001E-2</v>
      </c>
      <c r="M193">
        <v>0.67182900000000001</v>
      </c>
      <c r="N193">
        <v>2.0375009999999998</v>
      </c>
      <c r="O193">
        <v>2.0197989999999999</v>
      </c>
      <c r="P193">
        <v>4.5462759999999998</v>
      </c>
      <c r="Q193">
        <v>2.508775</v>
      </c>
      <c r="R193">
        <v>21.164738</v>
      </c>
      <c r="S193">
        <v>21.350231000000001</v>
      </c>
      <c r="T193">
        <v>47.638782999999997</v>
      </c>
      <c r="U193">
        <v>0.44178600000000001</v>
      </c>
      <c r="V193" t="s">
        <v>708</v>
      </c>
      <c r="W193">
        <v>0</v>
      </c>
      <c r="X193">
        <v>0</v>
      </c>
      <c r="Y193">
        <v>0</v>
      </c>
      <c r="Z193">
        <v>95.002410999999995</v>
      </c>
      <c r="AA193">
        <v>396.04461700000002</v>
      </c>
      <c r="AB193">
        <v>0.76012199999999996</v>
      </c>
      <c r="AC193">
        <v>0.5</v>
      </c>
      <c r="AD193">
        <v>0.8</v>
      </c>
      <c r="AE193">
        <v>28.539107999999999</v>
      </c>
      <c r="AF193">
        <v>45.35</v>
      </c>
      <c r="AG193">
        <v>44.96</v>
      </c>
      <c r="AH193">
        <v>30.93</v>
      </c>
      <c r="AI193">
        <v>31.14</v>
      </c>
      <c r="AJ193">
        <v>95.43</v>
      </c>
      <c r="AK193">
        <v>156.6</v>
      </c>
      <c r="AL193">
        <v>156.19999999999999</v>
      </c>
      <c r="AM193">
        <v>0.2</v>
      </c>
      <c r="AN193">
        <v>94</v>
      </c>
      <c r="AO193">
        <v>3.927</v>
      </c>
      <c r="AP193">
        <v>28</v>
      </c>
      <c r="AQ193">
        <v>-10</v>
      </c>
      <c r="AR193">
        <v>90</v>
      </c>
      <c r="AZ193" s="3">
        <v>0</v>
      </c>
      <c r="BA193" t="s">
        <v>513</v>
      </c>
      <c r="BB193" t="s">
        <v>514</v>
      </c>
      <c r="BC193" t="s">
        <v>514</v>
      </c>
      <c r="BD193" t="s">
        <v>514</v>
      </c>
      <c r="BE193">
        <v>0</v>
      </c>
      <c r="BF193" t="s">
        <v>514</v>
      </c>
      <c r="BG193" s="3">
        <v>0.51552083333333332</v>
      </c>
      <c r="BH193" s="1">
        <v>45149</v>
      </c>
      <c r="BI193">
        <v>0.01</v>
      </c>
      <c r="BJ193">
        <v>0</v>
      </c>
      <c r="BK193">
        <v>0</v>
      </c>
      <c r="BL193">
        <v>-9999</v>
      </c>
      <c r="BM193">
        <v>-6.2E-2</v>
      </c>
      <c r="BN193">
        <v>-0.10199999999999999</v>
      </c>
      <c r="BO193">
        <v>-9999</v>
      </c>
      <c r="BP193">
        <v>1</v>
      </c>
      <c r="BQ193">
        <v>150</v>
      </c>
      <c r="BR193">
        <v>5.0000000000000001E-3</v>
      </c>
      <c r="BS193">
        <v>2</v>
      </c>
      <c r="BT193">
        <v>0</v>
      </c>
      <c r="BU193" t="s">
        <v>200</v>
      </c>
      <c r="BV193">
        <v>7000</v>
      </c>
      <c r="BW193">
        <v>500</v>
      </c>
      <c r="BX193">
        <v>5</v>
      </c>
      <c r="BY193">
        <v>2</v>
      </c>
      <c r="BZ193">
        <v>300</v>
      </c>
      <c r="CA193">
        <v>300</v>
      </c>
      <c r="CB193">
        <v>300</v>
      </c>
      <c r="CC193">
        <v>396.04461700000002</v>
      </c>
      <c r="CD193">
        <v>25</v>
      </c>
      <c r="CE193">
        <v>5.4243030000000001</v>
      </c>
      <c r="CF193">
        <v>406.717285</v>
      </c>
      <c r="CG193">
        <v>403.782623</v>
      </c>
      <c r="CH193">
        <v>2.9346619999999999</v>
      </c>
      <c r="CI193">
        <v>2.5092460000000001</v>
      </c>
      <c r="CJ193">
        <v>2.5180959999999999</v>
      </c>
      <c r="CK193">
        <v>1.6654530000000001</v>
      </c>
      <c r="CL193">
        <v>0.94300300000000004</v>
      </c>
      <c r="CM193">
        <v>0.215644</v>
      </c>
      <c r="CN193">
        <v>3.1159999999999998E-3</v>
      </c>
      <c r="CO193">
        <v>8.9202000000000004E-2</v>
      </c>
      <c r="CP193">
        <v>0.18976999999999999</v>
      </c>
      <c r="CQ193">
        <v>95.002410999999995</v>
      </c>
      <c r="CR193">
        <v>3.6499999999999998E-4</v>
      </c>
      <c r="CS193">
        <v>2.4333689999999999</v>
      </c>
      <c r="CT193">
        <v>-3.6000000000000001E-5</v>
      </c>
      <c r="CU193">
        <v>1</v>
      </c>
      <c r="CV193">
        <v>2.4396819999999999</v>
      </c>
      <c r="CW193">
        <v>1.1E-5</v>
      </c>
      <c r="CX193">
        <v>1</v>
      </c>
      <c r="CY193">
        <v>0.60025499999999998</v>
      </c>
      <c r="CZ193">
        <v>0.60245199999999999</v>
      </c>
      <c r="DA193">
        <v>0.106742</v>
      </c>
      <c r="DB193">
        <v>0</v>
      </c>
      <c r="DC193" t="s">
        <v>708</v>
      </c>
      <c r="DD193" t="s">
        <v>515</v>
      </c>
      <c r="DE193" t="s">
        <v>516</v>
      </c>
      <c r="DF193" t="s">
        <v>517</v>
      </c>
      <c r="DG193" t="s">
        <v>518</v>
      </c>
      <c r="DH193" t="s">
        <v>205</v>
      </c>
      <c r="DI193" t="s">
        <v>519</v>
      </c>
    </row>
    <row r="194" spans="1:113">
      <c r="A194">
        <v>3</v>
      </c>
      <c r="B194" s="3">
        <v>0.51601851851851854</v>
      </c>
      <c r="C194" s="1">
        <v>45149</v>
      </c>
      <c r="D194" t="s">
        <v>196</v>
      </c>
      <c r="E194" t="s">
        <v>197</v>
      </c>
      <c r="G194">
        <v>3</v>
      </c>
      <c r="J194">
        <v>3.9867E-2</v>
      </c>
      <c r="K194">
        <v>2.9220030000000001</v>
      </c>
      <c r="L194">
        <v>3.9329999999999997E-2</v>
      </c>
      <c r="M194">
        <v>1.040581</v>
      </c>
      <c r="N194">
        <v>2.0595629999999998</v>
      </c>
      <c r="O194">
        <v>2.0321750000000001</v>
      </c>
      <c r="P194">
        <v>4.4978860000000003</v>
      </c>
      <c r="Q194">
        <v>2.438323</v>
      </c>
      <c r="R194">
        <v>21.293087</v>
      </c>
      <c r="S194">
        <v>21.580057</v>
      </c>
      <c r="T194">
        <v>47.128757</v>
      </c>
      <c r="U194">
        <v>0.44178600000000001</v>
      </c>
      <c r="V194" t="s">
        <v>709</v>
      </c>
      <c r="W194">
        <v>0</v>
      </c>
      <c r="X194">
        <v>0</v>
      </c>
      <c r="Y194">
        <v>0</v>
      </c>
      <c r="Z194">
        <v>89.460609000000005</v>
      </c>
      <c r="AA194">
        <v>399.09375</v>
      </c>
      <c r="AB194">
        <v>0.775841</v>
      </c>
      <c r="AC194">
        <v>0.5</v>
      </c>
      <c r="AD194">
        <v>0.8</v>
      </c>
      <c r="AE194">
        <v>29.793507000000002</v>
      </c>
      <c r="AF194">
        <v>45.79</v>
      </c>
      <c r="AG194">
        <v>45.18</v>
      </c>
      <c r="AH194">
        <v>30.95</v>
      </c>
      <c r="AI194">
        <v>30.95</v>
      </c>
      <c r="AJ194">
        <v>95.44</v>
      </c>
      <c r="AK194">
        <v>156.69999999999999</v>
      </c>
      <c r="AL194">
        <v>140.6</v>
      </c>
      <c r="AM194">
        <v>10.3</v>
      </c>
      <c r="AN194">
        <v>96</v>
      </c>
      <c r="AO194">
        <v>3.9260000000000002</v>
      </c>
      <c r="AP194">
        <v>29</v>
      </c>
      <c r="AQ194">
        <v>-6</v>
      </c>
      <c r="AR194">
        <v>101</v>
      </c>
      <c r="AZ194" s="3">
        <v>0</v>
      </c>
      <c r="BA194" t="s">
        <v>513</v>
      </c>
      <c r="BB194" t="s">
        <v>514</v>
      </c>
      <c r="BC194" t="s">
        <v>514</v>
      </c>
      <c r="BD194" t="s">
        <v>514</v>
      </c>
      <c r="BE194">
        <v>0</v>
      </c>
      <c r="BF194" t="s">
        <v>514</v>
      </c>
      <c r="BG194" s="3">
        <v>0.51552083333333332</v>
      </c>
      <c r="BH194" s="1">
        <v>45149</v>
      </c>
      <c r="BI194">
        <v>0.01</v>
      </c>
      <c r="BJ194">
        <v>-1E-3</v>
      </c>
      <c r="BK194">
        <v>1E-3</v>
      </c>
      <c r="BL194">
        <v>-9999</v>
      </c>
      <c r="BM194">
        <v>0.02</v>
      </c>
      <c r="BN194">
        <v>5.7000000000000002E-2</v>
      </c>
      <c r="BO194">
        <v>-9999</v>
      </c>
      <c r="BP194">
        <v>1</v>
      </c>
      <c r="BQ194">
        <v>150</v>
      </c>
      <c r="BR194">
        <v>5.0000000000000001E-3</v>
      </c>
      <c r="BS194">
        <v>2</v>
      </c>
      <c r="BT194">
        <v>0</v>
      </c>
      <c r="BU194" t="s">
        <v>200</v>
      </c>
      <c r="BV194">
        <v>7000</v>
      </c>
      <c r="BW194">
        <v>500</v>
      </c>
      <c r="BX194">
        <v>5</v>
      </c>
      <c r="BY194">
        <v>2</v>
      </c>
      <c r="BZ194">
        <v>300</v>
      </c>
      <c r="CA194">
        <v>300</v>
      </c>
      <c r="CB194">
        <v>300</v>
      </c>
      <c r="CC194">
        <v>393.88989299999997</v>
      </c>
      <c r="CD194">
        <v>25</v>
      </c>
      <c r="CE194">
        <v>-3.0964640000000001</v>
      </c>
      <c r="CF194">
        <v>402.56094400000001</v>
      </c>
      <c r="CG194">
        <v>394.676514</v>
      </c>
      <c r="CH194">
        <v>7.88443</v>
      </c>
      <c r="CI194">
        <v>2.5095740000000002</v>
      </c>
      <c r="CJ194">
        <v>2.5187460000000002</v>
      </c>
      <c r="CK194">
        <v>1.666701</v>
      </c>
      <c r="CL194">
        <v>0.90355600000000003</v>
      </c>
      <c r="CM194">
        <v>0.215473</v>
      </c>
      <c r="CN194">
        <v>5.9199999999999997E-4</v>
      </c>
      <c r="CO194">
        <v>9.1051999999999994E-2</v>
      </c>
      <c r="CP194">
        <v>0.191664</v>
      </c>
      <c r="CQ194">
        <v>89.460609000000005</v>
      </c>
      <c r="CR194">
        <v>3.68E-4</v>
      </c>
      <c r="CS194">
        <v>2.4333689999999999</v>
      </c>
      <c r="CT194">
        <v>-3.6000000000000001E-5</v>
      </c>
      <c r="CU194">
        <v>1</v>
      </c>
      <c r="CV194">
        <v>2.4396819999999999</v>
      </c>
      <c r="CW194">
        <v>1.1E-5</v>
      </c>
      <c r="CX194">
        <v>1</v>
      </c>
      <c r="CY194">
        <v>0.60025499999999998</v>
      </c>
      <c r="CZ194">
        <v>0.60245199999999999</v>
      </c>
      <c r="DA194">
        <v>0.106742</v>
      </c>
      <c r="DB194">
        <v>0</v>
      </c>
      <c r="DC194" t="s">
        <v>709</v>
      </c>
      <c r="DD194" t="s">
        <v>515</v>
      </c>
      <c r="DE194" t="s">
        <v>516</v>
      </c>
      <c r="DF194" t="s">
        <v>517</v>
      </c>
      <c r="DG194" t="s">
        <v>518</v>
      </c>
      <c r="DH194" t="s">
        <v>205</v>
      </c>
      <c r="DI194" t="s">
        <v>519</v>
      </c>
    </row>
    <row r="195" spans="1:113">
      <c r="A195">
        <v>4</v>
      </c>
      <c r="B195" s="3">
        <v>0.51621527777777776</v>
      </c>
      <c r="C195" s="1">
        <v>45149</v>
      </c>
      <c r="D195" t="s">
        <v>196</v>
      </c>
      <c r="E195" t="s">
        <v>197</v>
      </c>
      <c r="G195">
        <v>4</v>
      </c>
      <c r="J195">
        <v>3.0138999999999999E-2</v>
      </c>
      <c r="K195">
        <v>2.9212720000000001</v>
      </c>
      <c r="L195">
        <v>2.9832000000000001E-2</v>
      </c>
      <c r="M195">
        <v>0.80146200000000001</v>
      </c>
      <c r="N195">
        <v>2.0949249999999999</v>
      </c>
      <c r="O195">
        <v>2.0738289999999999</v>
      </c>
      <c r="P195">
        <v>4.5691649999999999</v>
      </c>
      <c r="Q195">
        <v>2.47424</v>
      </c>
      <c r="R195">
        <v>21.732099999999999</v>
      </c>
      <c r="S195">
        <v>21.953168999999999</v>
      </c>
      <c r="T195">
        <v>47.881256</v>
      </c>
      <c r="U195">
        <v>0.44178600000000001</v>
      </c>
      <c r="V195" t="s">
        <v>710</v>
      </c>
      <c r="W195">
        <v>0</v>
      </c>
      <c r="X195">
        <v>0</v>
      </c>
      <c r="Y195">
        <v>0</v>
      </c>
      <c r="Z195">
        <v>101.923225</v>
      </c>
      <c r="AA195">
        <v>399.573669</v>
      </c>
      <c r="AB195">
        <v>0.74492000000000003</v>
      </c>
      <c r="AC195">
        <v>0.5</v>
      </c>
      <c r="AD195">
        <v>0.8</v>
      </c>
      <c r="AE195">
        <v>94.596541999999999</v>
      </c>
      <c r="AF195">
        <v>46.48</v>
      </c>
      <c r="AG195">
        <v>46.02</v>
      </c>
      <c r="AH195">
        <v>30.98</v>
      </c>
      <c r="AI195">
        <v>31.22</v>
      </c>
      <c r="AJ195">
        <v>95.43</v>
      </c>
      <c r="AK195">
        <v>156.6</v>
      </c>
      <c r="AL195">
        <v>156.19999999999999</v>
      </c>
      <c r="AM195">
        <v>0.3</v>
      </c>
      <c r="AN195">
        <v>317</v>
      </c>
      <c r="AO195">
        <v>3.9249999999999998</v>
      </c>
      <c r="AP195">
        <v>24</v>
      </c>
      <c r="AQ195">
        <v>-13</v>
      </c>
      <c r="AR195">
        <v>102</v>
      </c>
      <c r="AS195">
        <v>50.62</v>
      </c>
      <c r="AT195">
        <v>63.45</v>
      </c>
      <c r="AU195">
        <v>27.11</v>
      </c>
      <c r="AV195">
        <v>131.58000000000001</v>
      </c>
      <c r="AW195">
        <v>15.18</v>
      </c>
      <c r="AX195">
        <v>274.60000000000002</v>
      </c>
      <c r="AY195">
        <v>70.959999999999994</v>
      </c>
      <c r="AZ195" s="3">
        <v>0.72303240740740737</v>
      </c>
      <c r="BA195" s="1">
        <v>45149</v>
      </c>
      <c r="BB195">
        <v>38.493110999999999</v>
      </c>
      <c r="BC195">
        <v>-1.362285</v>
      </c>
      <c r="BD195">
        <v>563.29998799999998</v>
      </c>
      <c r="BE195">
        <v>4</v>
      </c>
      <c r="BF195">
        <v>7.92</v>
      </c>
      <c r="BG195" s="3">
        <v>0.51552083333333332</v>
      </c>
      <c r="BH195" s="1">
        <v>45149</v>
      </c>
      <c r="BI195">
        <v>0.01</v>
      </c>
      <c r="BJ195">
        <v>-1E-3</v>
      </c>
      <c r="BK195">
        <v>1E-3</v>
      </c>
      <c r="BL195">
        <v>-9999</v>
      </c>
      <c r="BM195">
        <v>-0.622</v>
      </c>
      <c r="BN195">
        <v>-0.64100000000000001</v>
      </c>
      <c r="BO195">
        <v>-9999</v>
      </c>
      <c r="BP195">
        <v>1</v>
      </c>
      <c r="BQ195">
        <v>150</v>
      </c>
      <c r="BR195">
        <v>5.0000000000000001E-3</v>
      </c>
      <c r="BS195">
        <v>2</v>
      </c>
      <c r="BT195">
        <v>0</v>
      </c>
      <c r="BU195" t="s">
        <v>200</v>
      </c>
      <c r="BV195">
        <v>7000</v>
      </c>
      <c r="BW195">
        <v>500</v>
      </c>
      <c r="BX195">
        <v>5</v>
      </c>
      <c r="BY195">
        <v>2</v>
      </c>
      <c r="BZ195">
        <v>300</v>
      </c>
      <c r="CA195">
        <v>300</v>
      </c>
      <c r="CB195">
        <v>300</v>
      </c>
      <c r="CC195">
        <v>399.573669</v>
      </c>
      <c r="CD195">
        <v>25</v>
      </c>
      <c r="CE195">
        <v>0.96993300000000005</v>
      </c>
      <c r="CF195">
        <v>409.145599</v>
      </c>
      <c r="CG195">
        <v>400.95730600000002</v>
      </c>
      <c r="CH195">
        <v>8.1882929999999998</v>
      </c>
      <c r="CI195">
        <v>2.510799</v>
      </c>
      <c r="CJ195">
        <v>2.519768</v>
      </c>
      <c r="CK195">
        <v>1.6659310000000001</v>
      </c>
      <c r="CL195">
        <v>0.94289900000000004</v>
      </c>
      <c r="CM195">
        <v>0.215169</v>
      </c>
      <c r="CN195">
        <v>3.5070000000000001E-3</v>
      </c>
      <c r="CO195">
        <v>9.3687000000000006E-2</v>
      </c>
      <c r="CP195">
        <v>0.38756600000000002</v>
      </c>
      <c r="CQ195">
        <v>101.923225</v>
      </c>
      <c r="CR195">
        <v>3.77E-4</v>
      </c>
      <c r="CS195">
        <v>2.4333689999999999</v>
      </c>
      <c r="CT195">
        <v>-3.6000000000000001E-5</v>
      </c>
      <c r="CU195">
        <v>1</v>
      </c>
      <c r="CV195">
        <v>2.4396819999999999</v>
      </c>
      <c r="CW195">
        <v>1.1E-5</v>
      </c>
      <c r="CX195">
        <v>1</v>
      </c>
      <c r="CY195">
        <v>0.60025499999999998</v>
      </c>
      <c r="CZ195">
        <v>0.60245199999999999</v>
      </c>
      <c r="DA195">
        <v>0.106742</v>
      </c>
      <c r="DB195">
        <v>0</v>
      </c>
      <c r="DC195" t="s">
        <v>710</v>
      </c>
      <c r="DD195" t="s">
        <v>515</v>
      </c>
      <c r="DE195" t="s">
        <v>516</v>
      </c>
      <c r="DF195" t="s">
        <v>517</v>
      </c>
      <c r="DG195" t="s">
        <v>518</v>
      </c>
      <c r="DH195" t="s">
        <v>205</v>
      </c>
      <c r="DI195" t="s">
        <v>519</v>
      </c>
    </row>
    <row r="196" spans="1:113">
      <c r="A196">
        <v>5</v>
      </c>
      <c r="B196" s="3">
        <v>0.5163078703703704</v>
      </c>
      <c r="C196" s="1">
        <v>45149</v>
      </c>
      <c r="D196" t="s">
        <v>196</v>
      </c>
      <c r="E196" t="s">
        <v>197</v>
      </c>
      <c r="G196">
        <v>5</v>
      </c>
      <c r="J196">
        <v>3.5026000000000002E-2</v>
      </c>
      <c r="K196">
        <v>2.9202430000000001</v>
      </c>
      <c r="L196">
        <v>3.4611000000000003E-2</v>
      </c>
      <c r="M196">
        <v>0.93952100000000005</v>
      </c>
      <c r="N196">
        <v>2.097515</v>
      </c>
      <c r="O196">
        <v>2.0727669999999998</v>
      </c>
      <c r="P196">
        <v>4.5969249999999997</v>
      </c>
      <c r="Q196">
        <v>2.4994100000000001</v>
      </c>
      <c r="R196">
        <v>21.721703999999999</v>
      </c>
      <c r="S196">
        <v>21.981058000000001</v>
      </c>
      <c r="T196">
        <v>48.173805000000002</v>
      </c>
      <c r="U196">
        <v>0.44178600000000001</v>
      </c>
      <c r="V196" t="s">
        <v>711</v>
      </c>
      <c r="W196">
        <v>0</v>
      </c>
      <c r="X196">
        <v>0</v>
      </c>
      <c r="Y196">
        <v>0</v>
      </c>
      <c r="Z196">
        <v>95.087524000000002</v>
      </c>
      <c r="AA196">
        <v>366.45465100000001</v>
      </c>
      <c r="AB196">
        <v>0.74051999999999996</v>
      </c>
      <c r="AC196">
        <v>0.5</v>
      </c>
      <c r="AD196">
        <v>0.8</v>
      </c>
      <c r="AE196">
        <v>27.896688000000001</v>
      </c>
      <c r="AF196">
        <v>46.49</v>
      </c>
      <c r="AG196">
        <v>45.94</v>
      </c>
      <c r="AH196">
        <v>31</v>
      </c>
      <c r="AI196">
        <v>31.33</v>
      </c>
      <c r="AJ196">
        <v>95.42</v>
      </c>
      <c r="AK196">
        <v>156.5</v>
      </c>
      <c r="AL196">
        <v>156.1</v>
      </c>
      <c r="AM196">
        <v>0.2</v>
      </c>
      <c r="AN196">
        <v>94</v>
      </c>
      <c r="AO196">
        <v>3.9239999999999999</v>
      </c>
      <c r="AP196">
        <v>32</v>
      </c>
      <c r="AQ196">
        <v>-5</v>
      </c>
      <c r="AR196">
        <v>113</v>
      </c>
      <c r="AS196">
        <v>43.69</v>
      </c>
      <c r="AT196">
        <v>72.31</v>
      </c>
      <c r="AU196">
        <v>32.35</v>
      </c>
      <c r="AV196">
        <v>122.37</v>
      </c>
      <c r="AW196">
        <v>15.18</v>
      </c>
      <c r="AX196">
        <v>274.60000000000002</v>
      </c>
      <c r="AY196">
        <v>70.959999999999994</v>
      </c>
      <c r="AZ196" s="3">
        <v>0.72313657407407417</v>
      </c>
      <c r="BA196" s="1">
        <v>45149</v>
      </c>
      <c r="BB196">
        <v>38.493251999999998</v>
      </c>
      <c r="BC196">
        <v>-1.362263</v>
      </c>
      <c r="BD196">
        <v>561.5</v>
      </c>
      <c r="BE196">
        <v>4</v>
      </c>
      <c r="BF196">
        <v>7.97</v>
      </c>
      <c r="BG196" s="3">
        <v>0.51552083333333332</v>
      </c>
      <c r="BH196" s="1">
        <v>45149</v>
      </c>
      <c r="BI196">
        <v>0.01</v>
      </c>
      <c r="BJ196">
        <v>0</v>
      </c>
      <c r="BK196">
        <v>2E-3</v>
      </c>
      <c r="BL196">
        <v>-9999</v>
      </c>
      <c r="BM196">
        <v>-1.0999999999999999E-2</v>
      </c>
      <c r="BN196">
        <v>2.1000000000000001E-2</v>
      </c>
      <c r="BO196">
        <v>-9999</v>
      </c>
      <c r="BP196">
        <v>1</v>
      </c>
      <c r="BQ196">
        <v>150</v>
      </c>
      <c r="BR196">
        <v>5.0000000000000001E-3</v>
      </c>
      <c r="BS196">
        <v>2</v>
      </c>
      <c r="BT196">
        <v>0</v>
      </c>
      <c r="BU196" t="s">
        <v>200</v>
      </c>
      <c r="BV196">
        <v>7000</v>
      </c>
      <c r="BW196">
        <v>500</v>
      </c>
      <c r="BX196">
        <v>5</v>
      </c>
      <c r="BY196">
        <v>2</v>
      </c>
      <c r="BZ196">
        <v>300</v>
      </c>
      <c r="CA196">
        <v>300</v>
      </c>
      <c r="CB196">
        <v>300</v>
      </c>
      <c r="CC196">
        <v>355.19097900000003</v>
      </c>
      <c r="CD196">
        <v>25</v>
      </c>
      <c r="CE196">
        <v>-7.7924020000000001</v>
      </c>
      <c r="CF196">
        <v>358.00088499999998</v>
      </c>
      <c r="CG196">
        <v>355.33846999999997</v>
      </c>
      <c r="CH196">
        <v>2.6624150000000002</v>
      </c>
      <c r="CI196">
        <v>2.5106799999999998</v>
      </c>
      <c r="CJ196">
        <v>2.5197699999999998</v>
      </c>
      <c r="CK196">
        <v>1.664847</v>
      </c>
      <c r="CL196">
        <v>0.94277100000000003</v>
      </c>
      <c r="CM196">
        <v>0.21499499999999999</v>
      </c>
      <c r="CN196">
        <v>4.5539999999999999E-3</v>
      </c>
      <c r="CO196">
        <v>9.4827999999999996E-2</v>
      </c>
      <c r="CP196">
        <v>0.19005</v>
      </c>
      <c r="CQ196">
        <v>95.087524000000002</v>
      </c>
      <c r="CR196">
        <v>3.6099999999999999E-4</v>
      </c>
      <c r="CS196">
        <v>2.4333689999999999</v>
      </c>
      <c r="CT196">
        <v>-3.6000000000000001E-5</v>
      </c>
      <c r="CU196">
        <v>1</v>
      </c>
      <c r="CV196">
        <v>2.4396819999999999</v>
      </c>
      <c r="CW196">
        <v>1.1E-5</v>
      </c>
      <c r="CX196">
        <v>1</v>
      </c>
      <c r="CY196">
        <v>0.60025499999999998</v>
      </c>
      <c r="CZ196">
        <v>0.60245199999999999</v>
      </c>
      <c r="DA196">
        <v>0.106742</v>
      </c>
      <c r="DB196">
        <v>0</v>
      </c>
      <c r="DC196" t="s">
        <v>711</v>
      </c>
      <c r="DD196" t="s">
        <v>515</v>
      </c>
      <c r="DE196" t="s">
        <v>516</v>
      </c>
      <c r="DF196" t="s">
        <v>517</v>
      </c>
      <c r="DG196" t="s">
        <v>518</v>
      </c>
      <c r="DH196" t="s">
        <v>205</v>
      </c>
      <c r="DI196" t="s">
        <v>519</v>
      </c>
    </row>
    <row r="197" spans="1:113">
      <c r="A197">
        <v>6</v>
      </c>
      <c r="B197" s="3">
        <v>0.51641203703703698</v>
      </c>
      <c r="C197" s="1">
        <v>45149</v>
      </c>
      <c r="D197" t="s">
        <v>196</v>
      </c>
      <c r="E197" t="s">
        <v>197</v>
      </c>
      <c r="G197">
        <v>6</v>
      </c>
      <c r="J197">
        <v>3.7262000000000003E-2</v>
      </c>
      <c r="K197">
        <v>2.9218540000000002</v>
      </c>
      <c r="L197">
        <v>3.6791999999999998E-2</v>
      </c>
      <c r="M197">
        <v>1.0290600000000001</v>
      </c>
      <c r="N197">
        <v>2.109572</v>
      </c>
      <c r="O197">
        <v>2.082503</v>
      </c>
      <c r="P197">
        <v>4.6835570000000004</v>
      </c>
      <c r="Q197">
        <v>2.573985</v>
      </c>
      <c r="R197">
        <v>21.823336000000001</v>
      </c>
      <c r="S197">
        <v>22.107008</v>
      </c>
      <c r="T197">
        <v>49.080768999999997</v>
      </c>
      <c r="U197">
        <v>0.44178600000000001</v>
      </c>
      <c r="V197" t="s">
        <v>712</v>
      </c>
      <c r="W197">
        <v>0</v>
      </c>
      <c r="X197">
        <v>0</v>
      </c>
      <c r="Y197">
        <v>0</v>
      </c>
      <c r="Z197">
        <v>97.185012999999998</v>
      </c>
      <c r="AA197">
        <v>303.50195300000001</v>
      </c>
      <c r="AB197">
        <v>0.67978799999999995</v>
      </c>
      <c r="AC197">
        <v>0.5</v>
      </c>
      <c r="AD197">
        <v>0.8</v>
      </c>
      <c r="AE197">
        <v>28.065289</v>
      </c>
      <c r="AF197">
        <v>46.69</v>
      </c>
      <c r="AG197">
        <v>46.09</v>
      </c>
      <c r="AH197">
        <v>31.03</v>
      </c>
      <c r="AI197">
        <v>31.66</v>
      </c>
      <c r="AJ197">
        <v>95.43</v>
      </c>
      <c r="AK197">
        <v>156.69999999999999</v>
      </c>
      <c r="AL197">
        <v>131.9</v>
      </c>
      <c r="AM197">
        <v>15.8</v>
      </c>
      <c r="AN197">
        <v>103</v>
      </c>
      <c r="AO197">
        <v>3.9239999999999999</v>
      </c>
      <c r="AP197">
        <v>33</v>
      </c>
      <c r="AQ197">
        <v>-5</v>
      </c>
      <c r="AR197">
        <v>116</v>
      </c>
      <c r="AS197">
        <v>43.95</v>
      </c>
      <c r="AT197">
        <v>72</v>
      </c>
      <c r="AU197">
        <v>33.33</v>
      </c>
      <c r="AV197">
        <v>125.13</v>
      </c>
      <c r="AW197">
        <v>15.18</v>
      </c>
      <c r="AX197">
        <v>274.60000000000002</v>
      </c>
      <c r="AY197">
        <v>70.959999999999994</v>
      </c>
      <c r="AZ197" s="3">
        <v>0.72321759259259266</v>
      </c>
      <c r="BA197" s="1">
        <v>45149</v>
      </c>
      <c r="BB197">
        <v>38.493378</v>
      </c>
      <c r="BC197">
        <v>-1.3621479999999999</v>
      </c>
      <c r="BD197">
        <v>575.79998799999998</v>
      </c>
      <c r="BE197">
        <v>6</v>
      </c>
      <c r="BF197">
        <v>2.5099999999999998</v>
      </c>
      <c r="BG197" s="3">
        <v>0.51552083333333332</v>
      </c>
      <c r="BH197" s="1">
        <v>45149</v>
      </c>
      <c r="BI197">
        <v>0.01</v>
      </c>
      <c r="BJ197">
        <v>-1E-3</v>
      </c>
      <c r="BK197">
        <v>0</v>
      </c>
      <c r="BL197">
        <v>-9999</v>
      </c>
      <c r="BM197">
        <v>0.08</v>
      </c>
      <c r="BN197">
        <v>0.23499999999999999</v>
      </c>
      <c r="BO197">
        <v>-9999</v>
      </c>
      <c r="BP197">
        <v>1</v>
      </c>
      <c r="BQ197">
        <v>150</v>
      </c>
      <c r="BR197">
        <v>5.0000000000000001E-3</v>
      </c>
      <c r="BS197">
        <v>2</v>
      </c>
      <c r="BT197">
        <v>0</v>
      </c>
      <c r="BU197" t="s">
        <v>200</v>
      </c>
      <c r="BV197">
        <v>7000</v>
      </c>
      <c r="BW197">
        <v>500</v>
      </c>
      <c r="BX197">
        <v>5</v>
      </c>
      <c r="BY197">
        <v>2</v>
      </c>
      <c r="BZ197">
        <v>300</v>
      </c>
      <c r="CA197">
        <v>300</v>
      </c>
      <c r="CB197">
        <v>300</v>
      </c>
      <c r="CC197">
        <v>291.89480600000002</v>
      </c>
      <c r="CD197">
        <v>25</v>
      </c>
      <c r="CE197">
        <v>-7.9680879999999998</v>
      </c>
      <c r="CF197">
        <v>293.06530800000002</v>
      </c>
      <c r="CG197">
        <v>292.135132</v>
      </c>
      <c r="CH197">
        <v>0.930176</v>
      </c>
      <c r="CI197">
        <v>2.5108990000000002</v>
      </c>
      <c r="CJ197">
        <v>2.5200659999999999</v>
      </c>
      <c r="CK197">
        <v>1.6665449999999999</v>
      </c>
      <c r="CL197">
        <v>0.882023</v>
      </c>
      <c r="CM197">
        <v>0.21478700000000001</v>
      </c>
      <c r="CN197">
        <v>8.2649999999999998E-3</v>
      </c>
      <c r="CO197">
        <v>9.6045000000000005E-2</v>
      </c>
      <c r="CP197">
        <v>0.19804099999999999</v>
      </c>
      <c r="CQ197">
        <v>97.185012999999998</v>
      </c>
      <c r="CR197">
        <v>3.7300000000000001E-4</v>
      </c>
      <c r="CS197">
        <v>2.4333689999999999</v>
      </c>
      <c r="CT197">
        <v>-3.6000000000000001E-5</v>
      </c>
      <c r="CU197">
        <v>1</v>
      </c>
      <c r="CV197">
        <v>2.4396819999999999</v>
      </c>
      <c r="CW197">
        <v>1.1E-5</v>
      </c>
      <c r="CX197">
        <v>1</v>
      </c>
      <c r="CY197">
        <v>0.60025499999999998</v>
      </c>
      <c r="CZ197">
        <v>0.60245199999999999</v>
      </c>
      <c r="DA197">
        <v>0.106742</v>
      </c>
      <c r="DB197">
        <v>0</v>
      </c>
      <c r="DC197" t="s">
        <v>712</v>
      </c>
      <c r="DD197" t="s">
        <v>515</v>
      </c>
      <c r="DE197" t="s">
        <v>516</v>
      </c>
      <c r="DF197" t="s">
        <v>517</v>
      </c>
      <c r="DG197" t="s">
        <v>518</v>
      </c>
      <c r="DH197" t="s">
        <v>205</v>
      </c>
      <c r="DI197" t="s">
        <v>519</v>
      </c>
    </row>
    <row r="198" spans="1:113">
      <c r="A198">
        <v>7</v>
      </c>
      <c r="B198" s="3">
        <v>0.51659722222222226</v>
      </c>
      <c r="C198" s="1">
        <v>45149</v>
      </c>
      <c r="D198" t="s">
        <v>196</v>
      </c>
      <c r="E198" t="s">
        <v>197</v>
      </c>
      <c r="G198">
        <v>7</v>
      </c>
      <c r="J198">
        <v>4.8177999999999999E-2</v>
      </c>
      <c r="K198">
        <v>2.9213429999999998</v>
      </c>
      <c r="L198">
        <v>4.7396000000000001E-2</v>
      </c>
      <c r="M198">
        <v>1.2700149999999999</v>
      </c>
      <c r="N198">
        <v>2.1484130000000001</v>
      </c>
      <c r="O198">
        <v>2.1150060000000002</v>
      </c>
      <c r="P198">
        <v>4.6147850000000004</v>
      </c>
      <c r="Q198">
        <v>2.4663719999999998</v>
      </c>
      <c r="R198">
        <v>22.164179000000001</v>
      </c>
      <c r="S198">
        <v>22.514271000000001</v>
      </c>
      <c r="T198">
        <v>48.360588</v>
      </c>
      <c r="U198">
        <v>0.44178600000000001</v>
      </c>
      <c r="V198" t="s">
        <v>713</v>
      </c>
      <c r="W198">
        <v>0</v>
      </c>
      <c r="X198">
        <v>0</v>
      </c>
      <c r="Y198">
        <v>0</v>
      </c>
      <c r="Z198">
        <v>115.851044</v>
      </c>
      <c r="AA198">
        <v>400.868042</v>
      </c>
      <c r="AB198">
        <v>0.71099999999999997</v>
      </c>
      <c r="AC198">
        <v>0.5</v>
      </c>
      <c r="AD198">
        <v>0.8</v>
      </c>
      <c r="AE198">
        <v>32.801285</v>
      </c>
      <c r="AF198">
        <v>47.4</v>
      </c>
      <c r="AG198">
        <v>46.66</v>
      </c>
      <c r="AH198">
        <v>31.08</v>
      </c>
      <c r="AI198">
        <v>31.4</v>
      </c>
      <c r="AJ198">
        <v>95.42</v>
      </c>
      <c r="AK198">
        <v>156.69999999999999</v>
      </c>
      <c r="AL198">
        <v>156.1</v>
      </c>
      <c r="AM198">
        <v>0.4</v>
      </c>
      <c r="AN198">
        <v>115</v>
      </c>
      <c r="AO198">
        <v>3.9239999999999999</v>
      </c>
      <c r="AP198">
        <v>23</v>
      </c>
      <c r="AQ198">
        <v>-5</v>
      </c>
      <c r="AR198">
        <v>93</v>
      </c>
      <c r="AS198">
        <v>47.99</v>
      </c>
      <c r="AT198">
        <v>66.92</v>
      </c>
      <c r="AU198">
        <v>23.51</v>
      </c>
      <c r="AV198">
        <v>105.62</v>
      </c>
      <c r="AW198">
        <v>15.18</v>
      </c>
      <c r="AX198">
        <v>274.60000000000002</v>
      </c>
      <c r="AY198">
        <v>70.959999999999994</v>
      </c>
      <c r="AZ198" s="3">
        <v>0.72341435185185177</v>
      </c>
      <c r="BA198" s="1">
        <v>45149</v>
      </c>
      <c r="BB198">
        <v>38.493369999999999</v>
      </c>
      <c r="BC198">
        <v>-1.3621650000000001</v>
      </c>
      <c r="BD198">
        <v>576.90002400000003</v>
      </c>
      <c r="BE198">
        <v>6</v>
      </c>
      <c r="BF198">
        <v>2.52</v>
      </c>
      <c r="BG198" s="3">
        <v>0.51552083333333332</v>
      </c>
      <c r="BH198" s="1">
        <v>45149</v>
      </c>
      <c r="BI198">
        <v>0.01</v>
      </c>
      <c r="BJ198">
        <v>-1E-3</v>
      </c>
      <c r="BK198">
        <v>-1E-3</v>
      </c>
      <c r="BL198">
        <v>-9999</v>
      </c>
      <c r="BM198">
        <v>-0.23699999999999999</v>
      </c>
      <c r="BN198">
        <v>-0.50600000000000001</v>
      </c>
      <c r="BO198">
        <v>-9999</v>
      </c>
      <c r="BP198">
        <v>1</v>
      </c>
      <c r="BQ198">
        <v>150</v>
      </c>
      <c r="BR198">
        <v>5.0000000000000001E-3</v>
      </c>
      <c r="BS198">
        <v>2</v>
      </c>
      <c r="BT198">
        <v>0</v>
      </c>
      <c r="BU198" t="s">
        <v>200</v>
      </c>
      <c r="BV198">
        <v>7000</v>
      </c>
      <c r="BW198">
        <v>500</v>
      </c>
      <c r="BX198">
        <v>5</v>
      </c>
      <c r="BY198">
        <v>2</v>
      </c>
      <c r="BZ198">
        <v>300</v>
      </c>
      <c r="CA198">
        <v>300</v>
      </c>
      <c r="CB198">
        <v>300</v>
      </c>
      <c r="CC198">
        <v>395.22421300000002</v>
      </c>
      <c r="CD198">
        <v>25</v>
      </c>
      <c r="CE198">
        <v>-7.4556709999999997</v>
      </c>
      <c r="CF198">
        <v>398.02407799999997</v>
      </c>
      <c r="CG198">
        <v>390.23220800000001</v>
      </c>
      <c r="CH198">
        <v>7.7918700000000003</v>
      </c>
      <c r="CI198">
        <v>2.511733</v>
      </c>
      <c r="CJ198">
        <v>2.5211100000000002</v>
      </c>
      <c r="CK198">
        <v>1.666005</v>
      </c>
      <c r="CL198">
        <v>0.94263200000000003</v>
      </c>
      <c r="CM198">
        <v>0.21431900000000001</v>
      </c>
      <c r="CN198">
        <v>4.411E-3</v>
      </c>
      <c r="CO198">
        <v>9.8434999999999995E-2</v>
      </c>
      <c r="CP198">
        <v>0.208763</v>
      </c>
      <c r="CQ198">
        <v>115.851044</v>
      </c>
      <c r="CR198">
        <v>3.7199999999999999E-4</v>
      </c>
      <c r="CS198">
        <v>2.4333689999999999</v>
      </c>
      <c r="CT198">
        <v>-3.6000000000000001E-5</v>
      </c>
      <c r="CU198">
        <v>1</v>
      </c>
      <c r="CV198">
        <v>2.4396819999999999</v>
      </c>
      <c r="CW198">
        <v>1.1E-5</v>
      </c>
      <c r="CX198">
        <v>1</v>
      </c>
      <c r="CY198">
        <v>0.60025499999999998</v>
      </c>
      <c r="CZ198">
        <v>0.60245199999999999</v>
      </c>
      <c r="DA198">
        <v>0.106742</v>
      </c>
      <c r="DB198">
        <v>0</v>
      </c>
      <c r="DC198" t="s">
        <v>713</v>
      </c>
      <c r="DD198" t="s">
        <v>515</v>
      </c>
      <c r="DE198" t="s">
        <v>516</v>
      </c>
      <c r="DF198" t="s">
        <v>517</v>
      </c>
      <c r="DG198" t="s">
        <v>518</v>
      </c>
      <c r="DH198" t="s">
        <v>205</v>
      </c>
      <c r="DI198" t="s">
        <v>519</v>
      </c>
    </row>
    <row r="199" spans="1:113">
      <c r="A199">
        <v>8</v>
      </c>
      <c r="B199" s="3">
        <v>0.5166898148148148</v>
      </c>
      <c r="C199" s="1">
        <v>45149</v>
      </c>
      <c r="D199" t="s">
        <v>196</v>
      </c>
      <c r="E199" t="s">
        <v>197</v>
      </c>
      <c r="G199">
        <v>8</v>
      </c>
      <c r="J199">
        <v>3.9815999999999997E-2</v>
      </c>
      <c r="K199">
        <v>2.9213469999999999</v>
      </c>
      <c r="L199">
        <v>3.9281000000000003E-2</v>
      </c>
      <c r="M199">
        <v>1.0660959999999999</v>
      </c>
      <c r="N199">
        <v>2.1390250000000002</v>
      </c>
      <c r="O199">
        <v>2.1109770000000001</v>
      </c>
      <c r="P199">
        <v>4.6371140000000004</v>
      </c>
      <c r="Q199">
        <v>2.4980889999999998</v>
      </c>
      <c r="R199">
        <v>22.120224</v>
      </c>
      <c r="S199">
        <v>22.414133</v>
      </c>
      <c r="T199">
        <v>48.590767</v>
      </c>
      <c r="U199">
        <v>0.44178600000000001</v>
      </c>
      <c r="V199" t="s">
        <v>714</v>
      </c>
      <c r="W199">
        <v>0</v>
      </c>
      <c r="X199">
        <v>0</v>
      </c>
      <c r="Y199">
        <v>0</v>
      </c>
      <c r="Z199">
        <v>108.38413199999999</v>
      </c>
      <c r="AA199">
        <v>375.09164399999997</v>
      </c>
      <c r="AB199">
        <v>0.71104599999999996</v>
      </c>
      <c r="AC199">
        <v>0.5</v>
      </c>
      <c r="AD199">
        <v>0.8</v>
      </c>
      <c r="AE199">
        <v>32.562533999999999</v>
      </c>
      <c r="AF199">
        <v>47.12</v>
      </c>
      <c r="AG199">
        <v>46.5</v>
      </c>
      <c r="AH199">
        <v>31.11</v>
      </c>
      <c r="AI199">
        <v>31.48</v>
      </c>
      <c r="AJ199">
        <v>95.43</v>
      </c>
      <c r="AK199">
        <v>156.69999999999999</v>
      </c>
      <c r="AL199">
        <v>156.1</v>
      </c>
      <c r="AM199">
        <v>0.3</v>
      </c>
      <c r="AN199">
        <v>114</v>
      </c>
      <c r="AO199">
        <v>3.923</v>
      </c>
      <c r="AP199">
        <v>23</v>
      </c>
      <c r="AQ199">
        <v>-4</v>
      </c>
      <c r="AR199">
        <v>98</v>
      </c>
      <c r="AS199">
        <v>48.44</v>
      </c>
      <c r="AT199">
        <v>66.34</v>
      </c>
      <c r="AU199">
        <v>23.33</v>
      </c>
      <c r="AV199">
        <v>108.15</v>
      </c>
      <c r="AW199">
        <v>15.18</v>
      </c>
      <c r="AX199">
        <v>274.60000000000002</v>
      </c>
      <c r="AY199">
        <v>70.959999999999994</v>
      </c>
      <c r="AZ199" s="3">
        <v>0.72350694444444441</v>
      </c>
      <c r="BA199" s="1">
        <v>45149</v>
      </c>
      <c r="BB199">
        <v>38.493304999999999</v>
      </c>
      <c r="BC199">
        <v>-1.3621829999999999</v>
      </c>
      <c r="BD199">
        <v>575.5</v>
      </c>
      <c r="BE199">
        <v>6</v>
      </c>
      <c r="BF199">
        <v>2.68</v>
      </c>
      <c r="BG199" s="3">
        <v>0.51552083333333332</v>
      </c>
      <c r="BH199" s="1">
        <v>45149</v>
      </c>
      <c r="BI199">
        <v>0.01</v>
      </c>
      <c r="BJ199">
        <v>1E-3</v>
      </c>
      <c r="BK199">
        <v>1E-3</v>
      </c>
      <c r="BL199">
        <v>-9999</v>
      </c>
      <c r="BM199">
        <v>9.8000000000000004E-2</v>
      </c>
      <c r="BN199">
        <v>0.46899999999999997</v>
      </c>
      <c r="BO199">
        <v>-9999</v>
      </c>
      <c r="BP199">
        <v>1</v>
      </c>
      <c r="BQ199">
        <v>150</v>
      </c>
      <c r="BR199">
        <v>5.0000000000000001E-3</v>
      </c>
      <c r="BS199">
        <v>2</v>
      </c>
      <c r="BT199">
        <v>0</v>
      </c>
      <c r="BU199" t="s">
        <v>200</v>
      </c>
      <c r="BV199">
        <v>7000</v>
      </c>
      <c r="BW199">
        <v>500</v>
      </c>
      <c r="BX199">
        <v>5</v>
      </c>
      <c r="BY199">
        <v>2</v>
      </c>
      <c r="BZ199">
        <v>300</v>
      </c>
      <c r="CA199">
        <v>300</v>
      </c>
      <c r="CB199">
        <v>300</v>
      </c>
      <c r="CC199">
        <v>373.47363300000001</v>
      </c>
      <c r="CD199">
        <v>25</v>
      </c>
      <c r="CE199">
        <v>-0.94065200000000004</v>
      </c>
      <c r="CF199">
        <v>382.35604899999998</v>
      </c>
      <c r="CG199">
        <v>373.74975599999999</v>
      </c>
      <c r="CH199">
        <v>8.6062930000000009</v>
      </c>
      <c r="CI199">
        <v>2.5114899999999998</v>
      </c>
      <c r="CJ199">
        <v>2.5206900000000001</v>
      </c>
      <c r="CK199">
        <v>1.6660090000000001</v>
      </c>
      <c r="CL199">
        <v>0.94273200000000001</v>
      </c>
      <c r="CM199">
        <v>0.21409</v>
      </c>
      <c r="CN199">
        <v>5.1149999999999998E-3</v>
      </c>
      <c r="CO199">
        <v>9.9542000000000005E-2</v>
      </c>
      <c r="CP199">
        <v>0.208014</v>
      </c>
      <c r="CQ199">
        <v>108.38413199999999</v>
      </c>
      <c r="CR199">
        <v>3.6400000000000001E-4</v>
      </c>
      <c r="CS199">
        <v>2.4333689999999999</v>
      </c>
      <c r="CT199">
        <v>-3.6000000000000001E-5</v>
      </c>
      <c r="CU199">
        <v>1</v>
      </c>
      <c r="CV199">
        <v>2.4396819999999999</v>
      </c>
      <c r="CW199">
        <v>1.1E-5</v>
      </c>
      <c r="CX199">
        <v>1</v>
      </c>
      <c r="CY199">
        <v>0.60025499999999998</v>
      </c>
      <c r="CZ199">
        <v>0.60245199999999999</v>
      </c>
      <c r="DA199">
        <v>0.106742</v>
      </c>
      <c r="DB199">
        <v>0</v>
      </c>
      <c r="DC199" t="s">
        <v>714</v>
      </c>
      <c r="DD199" t="s">
        <v>515</v>
      </c>
      <c r="DE199" t="s">
        <v>516</v>
      </c>
      <c r="DF199" t="s">
        <v>517</v>
      </c>
      <c r="DG199" t="s">
        <v>518</v>
      </c>
      <c r="DH199" t="s">
        <v>205</v>
      </c>
      <c r="DI199" t="s">
        <v>519</v>
      </c>
    </row>
    <row r="200" spans="1:113">
      <c r="A200">
        <v>9</v>
      </c>
      <c r="B200" s="3">
        <v>0.51679398148148148</v>
      </c>
      <c r="C200" s="1">
        <v>45149</v>
      </c>
      <c r="D200" t="s">
        <v>196</v>
      </c>
      <c r="E200" t="s">
        <v>197</v>
      </c>
      <c r="G200">
        <v>9</v>
      </c>
      <c r="J200">
        <v>4.4509E-2</v>
      </c>
      <c r="K200">
        <v>2.9206650000000001</v>
      </c>
      <c r="L200">
        <v>4.3840999999999998E-2</v>
      </c>
      <c r="M200">
        <v>1.1651229999999999</v>
      </c>
      <c r="N200">
        <v>2.1373639999999998</v>
      </c>
      <c r="O200">
        <v>2.1066929999999999</v>
      </c>
      <c r="P200">
        <v>4.5842700000000001</v>
      </c>
      <c r="Q200">
        <v>2.4469059999999998</v>
      </c>
      <c r="R200">
        <v>22.075158999999999</v>
      </c>
      <c r="S200">
        <v>22.396547000000002</v>
      </c>
      <c r="T200">
        <v>48.036659</v>
      </c>
      <c r="U200">
        <v>0.44178600000000001</v>
      </c>
      <c r="V200" t="s">
        <v>715</v>
      </c>
      <c r="W200">
        <v>0</v>
      </c>
      <c r="X200">
        <v>0</v>
      </c>
      <c r="Y200">
        <v>0</v>
      </c>
      <c r="Z200">
        <v>101.431488</v>
      </c>
      <c r="AA200">
        <v>370.92303500000003</v>
      </c>
      <c r="AB200">
        <v>0.72654300000000005</v>
      </c>
      <c r="AC200">
        <v>0.5</v>
      </c>
      <c r="AD200">
        <v>0.8</v>
      </c>
      <c r="AE200">
        <v>36.136417000000002</v>
      </c>
      <c r="AF200">
        <v>47</v>
      </c>
      <c r="AG200">
        <v>46.33</v>
      </c>
      <c r="AH200">
        <v>31.14</v>
      </c>
      <c r="AI200">
        <v>31.28</v>
      </c>
      <c r="AJ200">
        <v>95.43</v>
      </c>
      <c r="AK200">
        <v>156.6</v>
      </c>
      <c r="AL200">
        <v>156.19999999999999</v>
      </c>
      <c r="AM200">
        <v>0.3</v>
      </c>
      <c r="AN200">
        <v>124</v>
      </c>
      <c r="AO200">
        <v>3.9209999999999998</v>
      </c>
      <c r="AP200">
        <v>18</v>
      </c>
      <c r="AQ200">
        <v>-3</v>
      </c>
      <c r="AR200">
        <v>107</v>
      </c>
      <c r="AS200">
        <v>54.43</v>
      </c>
      <c r="AT200">
        <v>58.16</v>
      </c>
      <c r="AU200">
        <v>18.239999999999998</v>
      </c>
      <c r="AV200">
        <v>116.63</v>
      </c>
      <c r="AW200">
        <v>15.18</v>
      </c>
      <c r="AX200">
        <v>274.75</v>
      </c>
      <c r="AY200">
        <v>71.16</v>
      </c>
      <c r="AZ200" s="3">
        <v>0.72361111111111109</v>
      </c>
      <c r="BA200" s="1">
        <v>45149</v>
      </c>
      <c r="BB200">
        <v>38.493301000000002</v>
      </c>
      <c r="BC200">
        <v>-1.3621620000000001</v>
      </c>
      <c r="BD200">
        <v>575.20001200000002</v>
      </c>
      <c r="BE200">
        <v>8</v>
      </c>
      <c r="BF200">
        <v>1.51</v>
      </c>
      <c r="BG200" s="3">
        <v>0.51552083333333332</v>
      </c>
      <c r="BH200" s="1">
        <v>45149</v>
      </c>
      <c r="BI200">
        <v>0.01</v>
      </c>
      <c r="BJ200">
        <v>1E-3</v>
      </c>
      <c r="BK200">
        <v>1E-3</v>
      </c>
      <c r="BL200">
        <v>-9999</v>
      </c>
      <c r="BM200">
        <v>5.6000000000000001E-2</v>
      </c>
      <c r="BN200">
        <v>0.28699999999999998</v>
      </c>
      <c r="BO200">
        <v>-9999</v>
      </c>
      <c r="BP200">
        <v>1</v>
      </c>
      <c r="BQ200">
        <v>150</v>
      </c>
      <c r="BR200">
        <v>5.0000000000000001E-3</v>
      </c>
      <c r="BS200">
        <v>2</v>
      </c>
      <c r="BT200">
        <v>0</v>
      </c>
      <c r="BU200" t="s">
        <v>200</v>
      </c>
      <c r="BV200">
        <v>7000</v>
      </c>
      <c r="BW200">
        <v>500</v>
      </c>
      <c r="BX200">
        <v>5</v>
      </c>
      <c r="BY200">
        <v>2</v>
      </c>
      <c r="BZ200">
        <v>300</v>
      </c>
      <c r="CA200">
        <v>300</v>
      </c>
      <c r="CB200">
        <v>300</v>
      </c>
      <c r="CC200">
        <v>370.92303500000003</v>
      </c>
      <c r="CD200">
        <v>25</v>
      </c>
      <c r="CE200">
        <v>1.18222</v>
      </c>
      <c r="CF200">
        <v>381.12439000000001</v>
      </c>
      <c r="CG200">
        <v>372.60952800000001</v>
      </c>
      <c r="CH200">
        <v>8.5148620000000008</v>
      </c>
      <c r="CI200">
        <v>2.5112269999999999</v>
      </c>
      <c r="CJ200">
        <v>2.5205120000000001</v>
      </c>
      <c r="CK200">
        <v>1.6652910000000001</v>
      </c>
      <c r="CL200">
        <v>0.94286000000000003</v>
      </c>
      <c r="CM200">
        <v>0.213836</v>
      </c>
      <c r="CN200">
        <v>2.2920000000000002E-3</v>
      </c>
      <c r="CO200">
        <v>0.100803</v>
      </c>
      <c r="CP200">
        <v>0.21673200000000001</v>
      </c>
      <c r="CQ200">
        <v>101.431488</v>
      </c>
      <c r="CR200">
        <v>3.68E-4</v>
      </c>
      <c r="CS200">
        <v>2.4333689999999999</v>
      </c>
      <c r="CT200">
        <v>-3.6000000000000001E-5</v>
      </c>
      <c r="CU200">
        <v>1</v>
      </c>
      <c r="CV200">
        <v>2.4396819999999999</v>
      </c>
      <c r="CW200">
        <v>1.1E-5</v>
      </c>
      <c r="CX200">
        <v>1</v>
      </c>
      <c r="CY200">
        <v>0.60025499999999998</v>
      </c>
      <c r="CZ200">
        <v>0.60245199999999999</v>
      </c>
      <c r="DA200">
        <v>0.106742</v>
      </c>
      <c r="DB200">
        <v>0</v>
      </c>
      <c r="DC200" t="s">
        <v>715</v>
      </c>
      <c r="DD200" t="s">
        <v>515</v>
      </c>
      <c r="DE200" t="s">
        <v>516</v>
      </c>
      <c r="DF200" t="s">
        <v>517</v>
      </c>
      <c r="DG200" t="s">
        <v>518</v>
      </c>
      <c r="DH200" t="s">
        <v>205</v>
      </c>
      <c r="DI200" t="s">
        <v>519</v>
      </c>
    </row>
    <row r="201" spans="1:113">
      <c r="A201">
        <v>10</v>
      </c>
      <c r="B201" s="3">
        <v>0.51694444444444443</v>
      </c>
      <c r="C201" s="1">
        <v>45149</v>
      </c>
      <c r="D201" t="s">
        <v>196</v>
      </c>
      <c r="E201" t="s">
        <v>197</v>
      </c>
      <c r="G201">
        <v>10</v>
      </c>
      <c r="J201">
        <v>7.1230000000000002E-2</v>
      </c>
      <c r="K201">
        <v>2.921306</v>
      </c>
      <c r="L201">
        <v>6.9533999999999999E-2</v>
      </c>
      <c r="M201">
        <v>2.06758</v>
      </c>
      <c r="N201">
        <v>2.1859790000000001</v>
      </c>
      <c r="O201">
        <v>2.1316060000000001</v>
      </c>
      <c r="P201">
        <v>4.9180970000000004</v>
      </c>
      <c r="Q201">
        <v>2.7321170000000001</v>
      </c>
      <c r="R201">
        <v>22.335688000000001</v>
      </c>
      <c r="S201">
        <v>22.905424</v>
      </c>
      <c r="T201">
        <v>51.533465999999997</v>
      </c>
      <c r="U201">
        <v>0.44178600000000001</v>
      </c>
      <c r="V201" t="s">
        <v>716</v>
      </c>
      <c r="W201">
        <v>0</v>
      </c>
      <c r="X201">
        <v>0</v>
      </c>
      <c r="Y201">
        <v>0</v>
      </c>
      <c r="Z201">
        <v>112.868073</v>
      </c>
      <c r="AA201">
        <v>275.09719799999999</v>
      </c>
      <c r="AB201">
        <v>0.58971600000000002</v>
      </c>
      <c r="AC201">
        <v>0.5</v>
      </c>
      <c r="AD201">
        <v>0.8</v>
      </c>
      <c r="AE201">
        <v>27.412344000000001</v>
      </c>
      <c r="AF201">
        <v>47.92</v>
      </c>
      <c r="AG201">
        <v>46.73</v>
      </c>
      <c r="AH201">
        <v>31.19</v>
      </c>
      <c r="AI201">
        <v>32.520000000000003</v>
      </c>
      <c r="AJ201">
        <v>95.43</v>
      </c>
      <c r="AK201">
        <v>156.69999999999999</v>
      </c>
      <c r="AL201">
        <v>156.1</v>
      </c>
      <c r="AM201">
        <v>0.3</v>
      </c>
      <c r="AN201">
        <v>116</v>
      </c>
      <c r="AO201">
        <v>3.9209999999999998</v>
      </c>
      <c r="AP201">
        <v>3</v>
      </c>
      <c r="AQ201">
        <v>-2</v>
      </c>
      <c r="AR201">
        <v>33</v>
      </c>
      <c r="AS201">
        <v>67.989999999999995</v>
      </c>
      <c r="AT201">
        <v>37.479999999999997</v>
      </c>
      <c r="AU201">
        <v>3.61</v>
      </c>
      <c r="AV201">
        <v>66.709999999999994</v>
      </c>
      <c r="AW201">
        <v>15.18</v>
      </c>
      <c r="AX201">
        <v>274.75</v>
      </c>
      <c r="AY201">
        <v>71.16</v>
      </c>
      <c r="AZ201" s="3">
        <v>0.72377314814814808</v>
      </c>
      <c r="BA201" s="1">
        <v>45149</v>
      </c>
      <c r="BB201">
        <v>38.493293999999999</v>
      </c>
      <c r="BC201">
        <v>-1.362158</v>
      </c>
      <c r="BD201">
        <v>575.59997599999997</v>
      </c>
      <c r="BE201">
        <v>9</v>
      </c>
      <c r="BF201">
        <v>1.21</v>
      </c>
      <c r="BG201" s="3">
        <v>0.51552083333333332</v>
      </c>
      <c r="BH201" s="1">
        <v>45149</v>
      </c>
      <c r="BI201">
        <v>0.01</v>
      </c>
      <c r="BJ201">
        <v>0</v>
      </c>
      <c r="BK201">
        <v>0</v>
      </c>
      <c r="BL201">
        <v>-9999</v>
      </c>
      <c r="BM201">
        <v>0.68300000000000005</v>
      </c>
      <c r="BN201">
        <v>1.6240000000000001</v>
      </c>
      <c r="BO201">
        <v>-9999</v>
      </c>
      <c r="BP201">
        <v>1</v>
      </c>
      <c r="BQ201">
        <v>150</v>
      </c>
      <c r="BR201">
        <v>5.0000000000000001E-3</v>
      </c>
      <c r="BS201">
        <v>2</v>
      </c>
      <c r="BT201">
        <v>0</v>
      </c>
      <c r="BU201" t="s">
        <v>200</v>
      </c>
      <c r="BV201">
        <v>7000</v>
      </c>
      <c r="BW201">
        <v>500</v>
      </c>
      <c r="BX201">
        <v>5</v>
      </c>
      <c r="BY201">
        <v>2</v>
      </c>
      <c r="BZ201">
        <v>300</v>
      </c>
      <c r="CA201">
        <v>300</v>
      </c>
      <c r="CB201">
        <v>300</v>
      </c>
      <c r="CC201">
        <v>258.27383400000002</v>
      </c>
      <c r="CD201">
        <v>25</v>
      </c>
      <c r="CE201">
        <v>-11.710565000000001</v>
      </c>
      <c r="CF201">
        <v>258.334991</v>
      </c>
      <c r="CG201">
        <v>258.39160199999998</v>
      </c>
      <c r="CH201">
        <v>-5.6610000000000001E-2</v>
      </c>
      <c r="CI201">
        <v>2.5118140000000002</v>
      </c>
      <c r="CJ201">
        <v>2.521871</v>
      </c>
      <c r="CK201">
        <v>1.6659660000000001</v>
      </c>
      <c r="CL201">
        <v>0.94281000000000004</v>
      </c>
      <c r="CM201">
        <v>0.21338599999999999</v>
      </c>
      <c r="CN201">
        <v>1.6855999999999999E-2</v>
      </c>
      <c r="CO201">
        <v>0.102825</v>
      </c>
      <c r="CP201">
        <v>0.209537</v>
      </c>
      <c r="CQ201">
        <v>112.868073</v>
      </c>
      <c r="CR201">
        <v>3.68E-4</v>
      </c>
      <c r="CS201">
        <v>2.4333689999999999</v>
      </c>
      <c r="CT201">
        <v>-3.6000000000000001E-5</v>
      </c>
      <c r="CU201">
        <v>1</v>
      </c>
      <c r="CV201">
        <v>2.4396819999999999</v>
      </c>
      <c r="CW201">
        <v>1.1E-5</v>
      </c>
      <c r="CX201">
        <v>1</v>
      </c>
      <c r="CY201">
        <v>0.60025499999999998</v>
      </c>
      <c r="CZ201">
        <v>0.60245199999999999</v>
      </c>
      <c r="DA201">
        <v>0.106742</v>
      </c>
      <c r="DB201">
        <v>0</v>
      </c>
      <c r="DC201" t="s">
        <v>716</v>
      </c>
      <c r="DD201" t="s">
        <v>515</v>
      </c>
      <c r="DE201" t="s">
        <v>516</v>
      </c>
      <c r="DF201" t="s">
        <v>517</v>
      </c>
      <c r="DG201" t="s">
        <v>518</v>
      </c>
      <c r="DH201" t="s">
        <v>205</v>
      </c>
      <c r="DI201" t="s">
        <v>519</v>
      </c>
    </row>
    <row r="202" spans="1:113">
      <c r="A202">
        <v>11</v>
      </c>
      <c r="B202" s="3">
        <v>0.51703703703703707</v>
      </c>
      <c r="C202" s="1">
        <v>45149</v>
      </c>
      <c r="D202" t="s">
        <v>196</v>
      </c>
      <c r="E202" t="s">
        <v>197</v>
      </c>
      <c r="G202">
        <v>11</v>
      </c>
      <c r="J202">
        <v>7.0311999999999999E-2</v>
      </c>
      <c r="K202">
        <v>2.9207000000000001</v>
      </c>
      <c r="L202">
        <v>6.8659999999999999E-2</v>
      </c>
      <c r="M202">
        <v>1.9686509999999999</v>
      </c>
      <c r="N202">
        <v>2.233975</v>
      </c>
      <c r="O202">
        <v>2.1822080000000001</v>
      </c>
      <c r="P202">
        <v>4.8684339999999997</v>
      </c>
      <c r="Q202">
        <v>2.6344590000000001</v>
      </c>
      <c r="R202">
        <v>22.866686000000001</v>
      </c>
      <c r="S202">
        <v>23.409143</v>
      </c>
      <c r="T202">
        <v>51.014823999999997</v>
      </c>
      <c r="U202">
        <v>0.44178600000000001</v>
      </c>
      <c r="V202" t="s">
        <v>717</v>
      </c>
      <c r="W202">
        <v>0</v>
      </c>
      <c r="X202">
        <v>0</v>
      </c>
      <c r="Y202">
        <v>0</v>
      </c>
      <c r="Z202">
        <v>113.658432</v>
      </c>
      <c r="AA202">
        <v>292.979309</v>
      </c>
      <c r="AB202">
        <v>0.61206000000000005</v>
      </c>
      <c r="AC202">
        <v>0.5</v>
      </c>
      <c r="AD202">
        <v>0.8</v>
      </c>
      <c r="AE202">
        <v>27.661016</v>
      </c>
      <c r="AF202">
        <v>48.87</v>
      </c>
      <c r="AG202">
        <v>47.74</v>
      </c>
      <c r="AH202">
        <v>31.23</v>
      </c>
      <c r="AI202">
        <v>32.340000000000003</v>
      </c>
      <c r="AJ202">
        <v>95.43</v>
      </c>
      <c r="AK202">
        <v>156.6</v>
      </c>
      <c r="AL202">
        <v>156.19999999999999</v>
      </c>
      <c r="AM202">
        <v>0.3</v>
      </c>
      <c r="AN202">
        <v>113</v>
      </c>
      <c r="AO202">
        <v>3.9209999999999998</v>
      </c>
      <c r="AP202">
        <v>3</v>
      </c>
      <c r="AQ202">
        <v>0</v>
      </c>
      <c r="AR202">
        <v>32</v>
      </c>
      <c r="AS202">
        <v>69.81</v>
      </c>
      <c r="AT202">
        <v>34.520000000000003</v>
      </c>
      <c r="AU202">
        <v>3</v>
      </c>
      <c r="AV202">
        <v>32</v>
      </c>
      <c r="AW202">
        <v>15.18</v>
      </c>
      <c r="AX202">
        <v>274.75</v>
      </c>
      <c r="AY202">
        <v>71.16</v>
      </c>
      <c r="AZ202" s="3">
        <v>0.72385416666666658</v>
      </c>
      <c r="BA202" s="1">
        <v>45149</v>
      </c>
      <c r="BB202">
        <v>38.493293999999999</v>
      </c>
      <c r="BC202">
        <v>-1.36216</v>
      </c>
      <c r="BD202">
        <v>575.79998799999998</v>
      </c>
      <c r="BE202">
        <v>9</v>
      </c>
      <c r="BF202">
        <v>1.22</v>
      </c>
      <c r="BG202" s="3">
        <v>0.51552083333333332</v>
      </c>
      <c r="BH202" s="1">
        <v>45149</v>
      </c>
      <c r="BI202">
        <v>0.01</v>
      </c>
      <c r="BJ202">
        <v>0</v>
      </c>
      <c r="BK202">
        <v>2E-3</v>
      </c>
      <c r="BL202">
        <v>-9999</v>
      </c>
      <c r="BM202">
        <v>-5.6000000000000001E-2</v>
      </c>
      <c r="BN202">
        <v>-0.08</v>
      </c>
      <c r="BO202">
        <v>-9999</v>
      </c>
      <c r="BP202">
        <v>1</v>
      </c>
      <c r="BQ202">
        <v>150</v>
      </c>
      <c r="BR202">
        <v>5.0000000000000001E-3</v>
      </c>
      <c r="BS202">
        <v>2</v>
      </c>
      <c r="BT202">
        <v>0</v>
      </c>
      <c r="BU202" t="s">
        <v>200</v>
      </c>
      <c r="BV202">
        <v>7000</v>
      </c>
      <c r="BW202">
        <v>500</v>
      </c>
      <c r="BX202">
        <v>5</v>
      </c>
      <c r="BY202">
        <v>2</v>
      </c>
      <c r="BZ202">
        <v>300</v>
      </c>
      <c r="CA202">
        <v>300</v>
      </c>
      <c r="CB202">
        <v>300</v>
      </c>
      <c r="CC202">
        <v>274.89315800000003</v>
      </c>
      <c r="CD202">
        <v>25</v>
      </c>
      <c r="CE202">
        <v>-12.669517000000001</v>
      </c>
      <c r="CF202">
        <v>274.16073599999999</v>
      </c>
      <c r="CG202">
        <v>274.90570100000002</v>
      </c>
      <c r="CH202">
        <v>-0.74496499999999999</v>
      </c>
      <c r="CI202">
        <v>2.513296</v>
      </c>
      <c r="CJ202">
        <v>2.5232709999999998</v>
      </c>
      <c r="CK202">
        <v>1.6653279999999999</v>
      </c>
      <c r="CL202">
        <v>0.94290399999999996</v>
      </c>
      <c r="CM202">
        <v>0.21307899999999999</v>
      </c>
      <c r="CN202">
        <v>1.4189E-2</v>
      </c>
      <c r="CO202">
        <v>0.103898</v>
      </c>
      <c r="CP202">
        <v>0.20668300000000001</v>
      </c>
      <c r="CQ202">
        <v>113.658432</v>
      </c>
      <c r="CR202">
        <v>3.68E-4</v>
      </c>
      <c r="CS202">
        <v>2.4333689999999999</v>
      </c>
      <c r="CT202">
        <v>-3.6000000000000001E-5</v>
      </c>
      <c r="CU202">
        <v>1</v>
      </c>
      <c r="CV202">
        <v>2.4396819999999999</v>
      </c>
      <c r="CW202">
        <v>1.1E-5</v>
      </c>
      <c r="CX202">
        <v>1</v>
      </c>
      <c r="CY202">
        <v>0.60025499999999998</v>
      </c>
      <c r="CZ202">
        <v>0.60245199999999999</v>
      </c>
      <c r="DA202">
        <v>0.106742</v>
      </c>
      <c r="DB202">
        <v>0</v>
      </c>
      <c r="DC202" t="s">
        <v>717</v>
      </c>
      <c r="DD202" t="s">
        <v>515</v>
      </c>
      <c r="DE202" t="s">
        <v>516</v>
      </c>
      <c r="DF202" t="s">
        <v>517</v>
      </c>
      <c r="DG202" t="s">
        <v>518</v>
      </c>
      <c r="DH202" t="s">
        <v>205</v>
      </c>
      <c r="DI202" t="s">
        <v>519</v>
      </c>
    </row>
    <row r="203" spans="1:113">
      <c r="A203">
        <v>12</v>
      </c>
      <c r="B203" s="3">
        <v>0.51712962962962961</v>
      </c>
      <c r="C203" s="1">
        <v>45149</v>
      </c>
      <c r="D203" t="s">
        <v>196</v>
      </c>
      <c r="E203" t="s">
        <v>197</v>
      </c>
      <c r="G203">
        <v>12</v>
      </c>
      <c r="J203">
        <v>6.2183000000000002E-2</v>
      </c>
      <c r="K203">
        <v>2.921999</v>
      </c>
      <c r="L203">
        <v>6.0886999999999997E-2</v>
      </c>
      <c r="M203">
        <v>1.837485</v>
      </c>
      <c r="N203">
        <v>2.2397320000000001</v>
      </c>
      <c r="O203">
        <v>2.191468</v>
      </c>
      <c r="P203">
        <v>5.0102409999999997</v>
      </c>
      <c r="Q203">
        <v>2.7705090000000001</v>
      </c>
      <c r="R203">
        <v>22.964441000000001</v>
      </c>
      <c r="S203">
        <v>23.470203000000001</v>
      </c>
      <c r="T203">
        <v>52.502426</v>
      </c>
      <c r="U203">
        <v>0.44178600000000001</v>
      </c>
      <c r="V203" t="s">
        <v>718</v>
      </c>
      <c r="W203">
        <v>0</v>
      </c>
      <c r="X203">
        <v>0</v>
      </c>
      <c r="Y203">
        <v>0</v>
      </c>
      <c r="Z203">
        <v>107.723236</v>
      </c>
      <c r="AA203">
        <v>282.50537100000003</v>
      </c>
      <c r="AB203">
        <v>0.61868599999999996</v>
      </c>
      <c r="AC203">
        <v>0.5</v>
      </c>
      <c r="AD203">
        <v>0.8</v>
      </c>
      <c r="AE203">
        <v>27.800592000000002</v>
      </c>
      <c r="AF203">
        <v>48.91</v>
      </c>
      <c r="AG203">
        <v>47.86</v>
      </c>
      <c r="AH203">
        <v>31.26</v>
      </c>
      <c r="AI203">
        <v>32.85</v>
      </c>
      <c r="AJ203">
        <v>95.43</v>
      </c>
      <c r="AK203">
        <v>156.69999999999999</v>
      </c>
      <c r="AL203">
        <v>139.6</v>
      </c>
      <c r="AM203">
        <v>10.9</v>
      </c>
      <c r="AN203">
        <v>112</v>
      </c>
      <c r="AO203">
        <v>3.92</v>
      </c>
      <c r="AP203">
        <v>4</v>
      </c>
      <c r="AQ203">
        <v>1</v>
      </c>
      <c r="AR203">
        <v>36</v>
      </c>
      <c r="AS203">
        <v>69.989999999999995</v>
      </c>
      <c r="AT203">
        <v>34.22</v>
      </c>
      <c r="AU203">
        <v>4.12</v>
      </c>
      <c r="AV203">
        <v>21.95</v>
      </c>
      <c r="AW203">
        <v>15.18</v>
      </c>
      <c r="AX203">
        <v>274.75</v>
      </c>
      <c r="AY203">
        <v>71.16</v>
      </c>
      <c r="AZ203" s="3">
        <v>0.72391203703703699</v>
      </c>
      <c r="BA203" s="1">
        <v>45149</v>
      </c>
      <c r="BB203">
        <v>38.493298000000003</v>
      </c>
      <c r="BC203">
        <v>-1.3621700000000001</v>
      </c>
      <c r="BD203">
        <v>575.40002400000003</v>
      </c>
      <c r="BE203">
        <v>9</v>
      </c>
      <c r="BF203">
        <v>1.22</v>
      </c>
      <c r="BG203" s="3">
        <v>0.51552083333333332</v>
      </c>
      <c r="BH203" s="1">
        <v>45149</v>
      </c>
      <c r="BI203">
        <v>0.01</v>
      </c>
      <c r="BJ203">
        <v>-1E-3</v>
      </c>
      <c r="BK203">
        <v>-2E-3</v>
      </c>
      <c r="BL203">
        <v>-9999</v>
      </c>
      <c r="BM203">
        <v>0.54600000000000004</v>
      </c>
      <c r="BN203">
        <v>1.274</v>
      </c>
      <c r="BO203">
        <v>-9999</v>
      </c>
      <c r="BP203">
        <v>1</v>
      </c>
      <c r="BQ203">
        <v>150</v>
      </c>
      <c r="BR203">
        <v>5.0000000000000001E-3</v>
      </c>
      <c r="BS203">
        <v>2</v>
      </c>
      <c r="BT203">
        <v>0</v>
      </c>
      <c r="BU203" t="s">
        <v>200</v>
      </c>
      <c r="BV203">
        <v>7000</v>
      </c>
      <c r="BW203">
        <v>500</v>
      </c>
      <c r="BX203">
        <v>5</v>
      </c>
      <c r="BY203">
        <v>2</v>
      </c>
      <c r="BZ203">
        <v>300</v>
      </c>
      <c r="CA203">
        <v>300</v>
      </c>
      <c r="CB203">
        <v>300</v>
      </c>
      <c r="CC203">
        <v>264.453644</v>
      </c>
      <c r="CD203">
        <v>25</v>
      </c>
      <c r="CE203">
        <v>-12.653046</v>
      </c>
      <c r="CF203">
        <v>263.63610799999998</v>
      </c>
      <c r="CG203">
        <v>264.45526100000001</v>
      </c>
      <c r="CH203">
        <v>-0.81915300000000002</v>
      </c>
      <c r="CI203">
        <v>2.5134650000000001</v>
      </c>
      <c r="CJ203">
        <v>2.523326</v>
      </c>
      <c r="CK203">
        <v>1.6666970000000001</v>
      </c>
      <c r="CL203">
        <v>0.90103800000000001</v>
      </c>
      <c r="CM203">
        <v>0.21282300000000001</v>
      </c>
      <c r="CN203">
        <v>2.0115000000000001E-2</v>
      </c>
      <c r="CO203">
        <v>0.104889</v>
      </c>
      <c r="CP203">
        <v>0.20611099999999999</v>
      </c>
      <c r="CQ203">
        <v>107.723236</v>
      </c>
      <c r="CR203">
        <v>3.6499999999999998E-4</v>
      </c>
      <c r="CS203">
        <v>2.4333689999999999</v>
      </c>
      <c r="CT203">
        <v>-3.6000000000000001E-5</v>
      </c>
      <c r="CU203">
        <v>1</v>
      </c>
      <c r="CV203">
        <v>2.4396819999999999</v>
      </c>
      <c r="CW203">
        <v>1.1E-5</v>
      </c>
      <c r="CX203">
        <v>1</v>
      </c>
      <c r="CY203">
        <v>0.60025499999999998</v>
      </c>
      <c r="CZ203">
        <v>0.60245199999999999</v>
      </c>
      <c r="DA203">
        <v>0.106742</v>
      </c>
      <c r="DB203">
        <v>0</v>
      </c>
      <c r="DC203" t="s">
        <v>718</v>
      </c>
      <c r="DD203" t="s">
        <v>515</v>
      </c>
      <c r="DE203" t="s">
        <v>516</v>
      </c>
      <c r="DF203" t="s">
        <v>517</v>
      </c>
      <c r="DG203" t="s">
        <v>518</v>
      </c>
      <c r="DH203" t="s">
        <v>205</v>
      </c>
      <c r="DI203" t="s">
        <v>519</v>
      </c>
    </row>
    <row r="204" spans="1:113">
      <c r="A204">
        <v>13</v>
      </c>
      <c r="B204" s="3">
        <v>0.51726851851851852</v>
      </c>
      <c r="C204" s="1">
        <v>45149</v>
      </c>
      <c r="D204" t="s">
        <v>196</v>
      </c>
      <c r="E204" t="s">
        <v>197</v>
      </c>
      <c r="G204">
        <v>13</v>
      </c>
      <c r="J204">
        <v>8.4864999999999996E-2</v>
      </c>
      <c r="K204">
        <v>2.9202379999999999</v>
      </c>
      <c r="L204">
        <v>8.2468E-2</v>
      </c>
      <c r="M204">
        <v>2.1215290000000002</v>
      </c>
      <c r="N204">
        <v>2.2483499999999998</v>
      </c>
      <c r="O204">
        <v>2.1925500000000002</v>
      </c>
      <c r="P204">
        <v>4.6151049999999998</v>
      </c>
      <c r="Q204">
        <v>2.3667549999999999</v>
      </c>
      <c r="R204">
        <v>22.974941000000001</v>
      </c>
      <c r="S204">
        <v>23.559646999999998</v>
      </c>
      <c r="T204">
        <v>48.360011999999998</v>
      </c>
      <c r="U204">
        <v>0.44178600000000001</v>
      </c>
      <c r="V204" t="s">
        <v>719</v>
      </c>
      <c r="W204">
        <v>0</v>
      </c>
      <c r="X204">
        <v>0</v>
      </c>
      <c r="Y204">
        <v>0</v>
      </c>
      <c r="Z204">
        <v>106.433273</v>
      </c>
      <c r="AA204">
        <v>417.41134599999998</v>
      </c>
      <c r="AB204">
        <v>0.74501600000000001</v>
      </c>
      <c r="AC204">
        <v>0.5</v>
      </c>
      <c r="AD204">
        <v>0.8</v>
      </c>
      <c r="AE204">
        <v>30.538853</v>
      </c>
      <c r="AF204">
        <v>48.97</v>
      </c>
      <c r="AG204">
        <v>47.75</v>
      </c>
      <c r="AH204">
        <v>31.31</v>
      </c>
      <c r="AI204">
        <v>31.4</v>
      </c>
      <c r="AJ204">
        <v>95.43</v>
      </c>
      <c r="AK204">
        <v>156.5</v>
      </c>
      <c r="AL204">
        <v>156.19999999999999</v>
      </c>
      <c r="AM204">
        <v>0.2</v>
      </c>
      <c r="AN204">
        <v>102</v>
      </c>
      <c r="AO204">
        <v>3.92</v>
      </c>
      <c r="AP204">
        <v>16</v>
      </c>
      <c r="AQ204">
        <v>-13</v>
      </c>
      <c r="AR204">
        <v>102</v>
      </c>
      <c r="AS204">
        <v>58.14</v>
      </c>
      <c r="AT204">
        <v>52.78</v>
      </c>
      <c r="AU204">
        <v>20.51</v>
      </c>
      <c r="AV204">
        <v>141.94999999999999</v>
      </c>
      <c r="AW204">
        <v>15.18</v>
      </c>
      <c r="AX204">
        <v>274.75</v>
      </c>
      <c r="AY204">
        <v>71.16</v>
      </c>
      <c r="AZ204" s="3">
        <v>0.72408564814814813</v>
      </c>
      <c r="BA204" s="1">
        <v>45149</v>
      </c>
      <c r="BB204">
        <v>38.493298000000003</v>
      </c>
      <c r="BC204">
        <v>-1.3621829999999999</v>
      </c>
      <c r="BD204">
        <v>575.20001200000002</v>
      </c>
      <c r="BE204">
        <v>8</v>
      </c>
      <c r="BF204">
        <v>1.28</v>
      </c>
      <c r="BG204" s="3">
        <v>0.51552083333333332</v>
      </c>
      <c r="BH204" s="1">
        <v>45149</v>
      </c>
      <c r="BI204">
        <v>0.01</v>
      </c>
      <c r="BJ204">
        <v>-1E-3</v>
      </c>
      <c r="BK204">
        <v>1E-3</v>
      </c>
      <c r="BL204">
        <v>-9999</v>
      </c>
      <c r="BM204">
        <v>-0.17799999999999999</v>
      </c>
      <c r="BN204">
        <v>-0.38500000000000001</v>
      </c>
      <c r="BO204">
        <v>-9999</v>
      </c>
      <c r="BP204">
        <v>1</v>
      </c>
      <c r="BQ204">
        <v>150</v>
      </c>
      <c r="BR204">
        <v>5.0000000000000001E-3</v>
      </c>
      <c r="BS204">
        <v>2</v>
      </c>
      <c r="BT204">
        <v>0</v>
      </c>
      <c r="BU204" t="s">
        <v>200</v>
      </c>
      <c r="BV204">
        <v>7000</v>
      </c>
      <c r="BW204">
        <v>500</v>
      </c>
      <c r="BX204">
        <v>5</v>
      </c>
      <c r="BY204">
        <v>2</v>
      </c>
      <c r="BZ204">
        <v>300</v>
      </c>
      <c r="CA204">
        <v>300</v>
      </c>
      <c r="CB204">
        <v>300</v>
      </c>
      <c r="CC204">
        <v>395.684845</v>
      </c>
      <c r="CD204">
        <v>25</v>
      </c>
      <c r="CE204">
        <v>-15.178531</v>
      </c>
      <c r="CF204">
        <v>395.46203600000001</v>
      </c>
      <c r="CG204">
        <v>395.75854500000003</v>
      </c>
      <c r="CH204">
        <v>-0.29650900000000002</v>
      </c>
      <c r="CI204">
        <v>2.5133000000000001</v>
      </c>
      <c r="CJ204">
        <v>2.5234009999999998</v>
      </c>
      <c r="CK204">
        <v>1.6648419999999999</v>
      </c>
      <c r="CL204">
        <v>0.94296899999999995</v>
      </c>
      <c r="CM204">
        <v>0.212426</v>
      </c>
      <c r="CN204">
        <v>1.6750000000000001E-3</v>
      </c>
      <c r="CO204">
        <v>0.10655199999999999</v>
      </c>
      <c r="CP204">
        <v>0.19738900000000001</v>
      </c>
      <c r="CQ204">
        <v>106.433273</v>
      </c>
      <c r="CR204">
        <v>3.6499999999999998E-4</v>
      </c>
      <c r="CS204">
        <v>2.4333689999999999</v>
      </c>
      <c r="CT204">
        <v>-3.6000000000000001E-5</v>
      </c>
      <c r="CU204">
        <v>1</v>
      </c>
      <c r="CV204">
        <v>2.4396819999999999</v>
      </c>
      <c r="CW204">
        <v>1.1E-5</v>
      </c>
      <c r="CX204">
        <v>1</v>
      </c>
      <c r="CY204">
        <v>0.60025499999999998</v>
      </c>
      <c r="CZ204">
        <v>0.60245199999999999</v>
      </c>
      <c r="DA204">
        <v>0.106742</v>
      </c>
      <c r="DB204">
        <v>0</v>
      </c>
      <c r="DC204" t="s">
        <v>719</v>
      </c>
      <c r="DD204" t="s">
        <v>515</v>
      </c>
      <c r="DE204" t="s">
        <v>516</v>
      </c>
      <c r="DF204" t="s">
        <v>517</v>
      </c>
      <c r="DG204" t="s">
        <v>518</v>
      </c>
      <c r="DH204" t="s">
        <v>205</v>
      </c>
      <c r="DI204" t="s">
        <v>519</v>
      </c>
    </row>
    <row r="205" spans="1:113">
      <c r="A205">
        <v>14</v>
      </c>
      <c r="B205" s="3">
        <v>0.51736111111111105</v>
      </c>
      <c r="C205" s="1">
        <v>45149</v>
      </c>
      <c r="D205" t="s">
        <v>196</v>
      </c>
      <c r="E205" t="s">
        <v>197</v>
      </c>
      <c r="G205">
        <v>14</v>
      </c>
      <c r="J205">
        <v>8.1446000000000005E-2</v>
      </c>
      <c r="K205">
        <v>2.9211990000000001</v>
      </c>
      <c r="L205">
        <v>7.9237000000000002E-2</v>
      </c>
      <c r="M205">
        <v>2.049102</v>
      </c>
      <c r="N205">
        <v>2.2222949999999999</v>
      </c>
      <c r="O205">
        <v>2.168425</v>
      </c>
      <c r="P205">
        <v>4.6020570000000003</v>
      </c>
      <c r="Q205">
        <v>2.3797619999999999</v>
      </c>
      <c r="R205">
        <v>22.721485000000001</v>
      </c>
      <c r="S205">
        <v>23.285957</v>
      </c>
      <c r="T205">
        <v>48.221901000000003</v>
      </c>
      <c r="U205">
        <v>0.44178600000000001</v>
      </c>
      <c r="V205" t="s">
        <v>720</v>
      </c>
      <c r="W205">
        <v>0</v>
      </c>
      <c r="X205">
        <v>0</v>
      </c>
      <c r="Y205">
        <v>0</v>
      </c>
      <c r="Z205">
        <v>103.487488</v>
      </c>
      <c r="AA205">
        <v>440.07015999999999</v>
      </c>
      <c r="AB205">
        <v>0.76483900000000005</v>
      </c>
      <c r="AC205">
        <v>0.5</v>
      </c>
      <c r="AD205">
        <v>0.8</v>
      </c>
      <c r="AE205">
        <v>43.807918999999998</v>
      </c>
      <c r="AF205">
        <v>48.32</v>
      </c>
      <c r="AG205">
        <v>47.15</v>
      </c>
      <c r="AH205">
        <v>31.34</v>
      </c>
      <c r="AI205">
        <v>31.35</v>
      </c>
      <c r="AJ205">
        <v>95.43</v>
      </c>
      <c r="AK205">
        <v>156.6</v>
      </c>
      <c r="AL205">
        <v>156</v>
      </c>
      <c r="AM205">
        <v>0.4</v>
      </c>
      <c r="AN205">
        <v>143</v>
      </c>
      <c r="AO205">
        <v>3.9209999999999998</v>
      </c>
      <c r="AP205">
        <v>18</v>
      </c>
      <c r="AQ205">
        <v>-9</v>
      </c>
      <c r="AR205">
        <v>113</v>
      </c>
      <c r="AS205">
        <v>57.9</v>
      </c>
      <c r="AT205">
        <v>53.13</v>
      </c>
      <c r="AU205">
        <v>20.059999999999999</v>
      </c>
      <c r="AV205">
        <v>140.13999999999999</v>
      </c>
      <c r="AW205">
        <v>15.18</v>
      </c>
      <c r="AX205">
        <v>274.75</v>
      </c>
      <c r="AY205">
        <v>71.16</v>
      </c>
      <c r="AZ205" s="3">
        <v>0.72417824074074078</v>
      </c>
      <c r="BA205" s="1">
        <v>45149</v>
      </c>
      <c r="BB205">
        <v>38.493316999999998</v>
      </c>
      <c r="BC205">
        <v>-1.3621799999999999</v>
      </c>
      <c r="BD205">
        <v>574.90002400000003</v>
      </c>
      <c r="BE205">
        <v>8</v>
      </c>
      <c r="BF205">
        <v>1.28</v>
      </c>
      <c r="BG205" s="3">
        <v>0.51552083333333332</v>
      </c>
      <c r="BH205" s="1">
        <v>45149</v>
      </c>
      <c r="BI205">
        <v>0.01</v>
      </c>
      <c r="BJ205">
        <v>-1E-3</v>
      </c>
      <c r="BK205">
        <v>-1E-3</v>
      </c>
      <c r="BL205">
        <v>-9999</v>
      </c>
      <c r="BM205">
        <v>-0.113</v>
      </c>
      <c r="BN205">
        <v>-0.26</v>
      </c>
      <c r="BO205">
        <v>-9999</v>
      </c>
      <c r="BP205">
        <v>1</v>
      </c>
      <c r="BQ205">
        <v>150</v>
      </c>
      <c r="BR205">
        <v>5.0000000000000001E-3</v>
      </c>
      <c r="BS205">
        <v>2</v>
      </c>
      <c r="BT205">
        <v>0</v>
      </c>
      <c r="BU205" t="s">
        <v>200</v>
      </c>
      <c r="BV205">
        <v>7000</v>
      </c>
      <c r="BW205">
        <v>500</v>
      </c>
      <c r="BX205">
        <v>5</v>
      </c>
      <c r="BY205">
        <v>2</v>
      </c>
      <c r="BZ205">
        <v>300</v>
      </c>
      <c r="CA205">
        <v>300</v>
      </c>
      <c r="CB205">
        <v>300</v>
      </c>
      <c r="CC205">
        <v>422.27374300000002</v>
      </c>
      <c r="CD205">
        <v>25</v>
      </c>
      <c r="CE205">
        <v>-12.199191000000001</v>
      </c>
      <c r="CF205">
        <v>423.01654100000002</v>
      </c>
      <c r="CG205">
        <v>422.66751099999999</v>
      </c>
      <c r="CH205">
        <v>0.34903000000000001</v>
      </c>
      <c r="CI205">
        <v>2.5123980000000001</v>
      </c>
      <c r="CJ205">
        <v>2.5224329999999999</v>
      </c>
      <c r="CK205">
        <v>1.665853</v>
      </c>
      <c r="CL205">
        <v>0.94253799999999999</v>
      </c>
      <c r="CM205">
        <v>0.21217</v>
      </c>
      <c r="CN205">
        <v>6.9499999999999998E-4</v>
      </c>
      <c r="CO205">
        <v>0.107595</v>
      </c>
      <c r="CP205">
        <v>0.233405</v>
      </c>
      <c r="CQ205">
        <v>103.487488</v>
      </c>
      <c r="CR205">
        <v>3.6699999999999998E-4</v>
      </c>
      <c r="CS205">
        <v>2.4333689999999999</v>
      </c>
      <c r="CT205">
        <v>-3.6000000000000001E-5</v>
      </c>
      <c r="CU205">
        <v>1</v>
      </c>
      <c r="CV205">
        <v>2.4396819999999999</v>
      </c>
      <c r="CW205">
        <v>1.1E-5</v>
      </c>
      <c r="CX205">
        <v>1</v>
      </c>
      <c r="CY205">
        <v>0.60025499999999998</v>
      </c>
      <c r="CZ205">
        <v>0.60245199999999999</v>
      </c>
      <c r="DA205">
        <v>0.106742</v>
      </c>
      <c r="DB205">
        <v>0</v>
      </c>
      <c r="DC205" t="s">
        <v>720</v>
      </c>
      <c r="DD205" t="s">
        <v>515</v>
      </c>
      <c r="DE205" t="s">
        <v>516</v>
      </c>
      <c r="DF205" t="s">
        <v>517</v>
      </c>
      <c r="DG205" t="s">
        <v>518</v>
      </c>
      <c r="DH205" t="s">
        <v>205</v>
      </c>
      <c r="DI205" t="s">
        <v>519</v>
      </c>
    </row>
    <row r="206" spans="1:113">
      <c r="A206">
        <v>15</v>
      </c>
      <c r="B206" s="3">
        <v>0.51744212962962965</v>
      </c>
      <c r="C206" s="1">
        <v>45149</v>
      </c>
      <c r="D206" t="s">
        <v>196</v>
      </c>
      <c r="E206" t="s">
        <v>197</v>
      </c>
      <c r="G206">
        <v>15</v>
      </c>
      <c r="J206">
        <v>2.4698999999999999E-2</v>
      </c>
      <c r="K206">
        <v>2.9207019999999999</v>
      </c>
      <c r="L206">
        <v>2.4492E-2</v>
      </c>
      <c r="M206">
        <v>0.70263399999999998</v>
      </c>
      <c r="N206">
        <v>2.1917900000000001</v>
      </c>
      <c r="O206">
        <v>2.1733039999999999</v>
      </c>
      <c r="P206">
        <v>4.8289749999999998</v>
      </c>
      <c r="Q206">
        <v>2.6371850000000001</v>
      </c>
      <c r="R206">
        <v>22.772193999999999</v>
      </c>
      <c r="S206">
        <v>22.965890999999999</v>
      </c>
      <c r="T206">
        <v>50.598697999999999</v>
      </c>
      <c r="U206">
        <v>0.44178600000000001</v>
      </c>
      <c r="V206" t="s">
        <v>721</v>
      </c>
      <c r="W206">
        <v>0</v>
      </c>
      <c r="X206">
        <v>0</v>
      </c>
      <c r="Y206">
        <v>0</v>
      </c>
      <c r="Z206">
        <v>111.280563</v>
      </c>
      <c r="AA206">
        <v>385.79070999999999</v>
      </c>
      <c r="AB206">
        <v>0.71155199999999996</v>
      </c>
      <c r="AC206">
        <v>0.5</v>
      </c>
      <c r="AD206">
        <v>0.8</v>
      </c>
      <c r="AE206">
        <v>62.327990999999997</v>
      </c>
      <c r="AF206">
        <v>47.58</v>
      </c>
      <c r="AG206">
        <v>47.17</v>
      </c>
      <c r="AH206">
        <v>31.37</v>
      </c>
      <c r="AI206">
        <v>32.200000000000003</v>
      </c>
      <c r="AJ206">
        <v>95.44</v>
      </c>
      <c r="AK206">
        <v>156.6</v>
      </c>
      <c r="AL206">
        <v>152.1</v>
      </c>
      <c r="AM206">
        <v>2.9</v>
      </c>
      <c r="AN206">
        <v>219</v>
      </c>
      <c r="AO206">
        <v>3.9209999999999998</v>
      </c>
      <c r="AP206">
        <v>19</v>
      </c>
      <c r="AQ206">
        <v>-6</v>
      </c>
      <c r="AR206">
        <v>119</v>
      </c>
      <c r="AS206">
        <v>57.15</v>
      </c>
      <c r="AT206">
        <v>54.25</v>
      </c>
      <c r="AU206">
        <v>19.89</v>
      </c>
      <c r="AV206">
        <v>136.88999999999999</v>
      </c>
      <c r="AW206">
        <v>15.18</v>
      </c>
      <c r="AX206">
        <v>274.75</v>
      </c>
      <c r="AY206">
        <v>71.16</v>
      </c>
      <c r="AZ206" s="3">
        <v>0.72427083333333331</v>
      </c>
      <c r="BA206" s="1">
        <v>45149</v>
      </c>
      <c r="BB206">
        <v>38.493293999999999</v>
      </c>
      <c r="BC206">
        <v>-1.362168</v>
      </c>
      <c r="BD206">
        <v>575.5</v>
      </c>
      <c r="BE206">
        <v>9</v>
      </c>
      <c r="BF206">
        <v>1.1399999999999999</v>
      </c>
      <c r="BG206" s="3">
        <v>0.51552083333333332</v>
      </c>
      <c r="BH206" s="1">
        <v>45149</v>
      </c>
      <c r="BI206">
        <v>0.01</v>
      </c>
      <c r="BJ206">
        <v>-1E-3</v>
      </c>
      <c r="BK206">
        <v>-1E-3</v>
      </c>
      <c r="BL206">
        <v>-9999</v>
      </c>
      <c r="BM206">
        <v>-1.07</v>
      </c>
      <c r="BN206">
        <v>-2.5859999999999999</v>
      </c>
      <c r="BO206">
        <v>-9999</v>
      </c>
      <c r="BP206">
        <v>1</v>
      </c>
      <c r="BQ206">
        <v>150</v>
      </c>
      <c r="BR206">
        <v>5.0000000000000001E-3</v>
      </c>
      <c r="BS206">
        <v>2</v>
      </c>
      <c r="BT206">
        <v>0</v>
      </c>
      <c r="BU206" t="s">
        <v>200</v>
      </c>
      <c r="BV206">
        <v>7000</v>
      </c>
      <c r="BW206">
        <v>500</v>
      </c>
      <c r="BX206">
        <v>5</v>
      </c>
      <c r="BY206">
        <v>2</v>
      </c>
      <c r="BZ206">
        <v>300</v>
      </c>
      <c r="CA206">
        <v>300</v>
      </c>
      <c r="CB206">
        <v>300</v>
      </c>
      <c r="CC206">
        <v>385.79070999999999</v>
      </c>
      <c r="CD206">
        <v>25</v>
      </c>
      <c r="CE206">
        <v>15.837353999999999</v>
      </c>
      <c r="CF206">
        <v>401.90362499999998</v>
      </c>
      <c r="CG206">
        <v>408.38336199999998</v>
      </c>
      <c r="CH206">
        <v>-6.4797359999999999</v>
      </c>
      <c r="CI206">
        <v>2.5124339999999998</v>
      </c>
      <c r="CJ206">
        <v>2.5213299999999998</v>
      </c>
      <c r="CK206">
        <v>1.6653290000000001</v>
      </c>
      <c r="CL206">
        <v>0.93234499999999998</v>
      </c>
      <c r="CM206">
        <v>0.21192800000000001</v>
      </c>
      <c r="CN206">
        <v>1.073E-2</v>
      </c>
      <c r="CO206">
        <v>0.108555</v>
      </c>
      <c r="CP206">
        <v>0.30044900000000002</v>
      </c>
      <c r="CQ206">
        <v>111.280563</v>
      </c>
      <c r="CR206">
        <v>3.6900000000000002E-4</v>
      </c>
      <c r="CS206">
        <v>2.4333689999999999</v>
      </c>
      <c r="CT206">
        <v>-3.6000000000000001E-5</v>
      </c>
      <c r="CU206">
        <v>1</v>
      </c>
      <c r="CV206">
        <v>2.4396819999999999</v>
      </c>
      <c r="CW206">
        <v>1.1E-5</v>
      </c>
      <c r="CX206">
        <v>1</v>
      </c>
      <c r="CY206">
        <v>0.60025499999999998</v>
      </c>
      <c r="CZ206">
        <v>0.60245199999999999</v>
      </c>
      <c r="DA206">
        <v>0.106742</v>
      </c>
      <c r="DB206">
        <v>0</v>
      </c>
      <c r="DC206" t="s">
        <v>721</v>
      </c>
      <c r="DD206" t="s">
        <v>515</v>
      </c>
      <c r="DE206" t="s">
        <v>516</v>
      </c>
      <c r="DF206" t="s">
        <v>517</v>
      </c>
      <c r="DG206" t="s">
        <v>518</v>
      </c>
      <c r="DH206" t="s">
        <v>205</v>
      </c>
      <c r="DI206" t="s">
        <v>519</v>
      </c>
    </row>
    <row r="207" spans="1:113">
      <c r="A207">
        <v>16</v>
      </c>
      <c r="B207" s="3">
        <v>0.5176736111111111</v>
      </c>
      <c r="C207" s="1">
        <v>45149</v>
      </c>
      <c r="D207" t="s">
        <v>196</v>
      </c>
      <c r="E207" t="s">
        <v>197</v>
      </c>
      <c r="G207">
        <v>16</v>
      </c>
      <c r="J207">
        <v>3.916E-2</v>
      </c>
      <c r="K207">
        <v>2.9226399999999999</v>
      </c>
      <c r="L207">
        <v>3.8642999999999997E-2</v>
      </c>
      <c r="M207">
        <v>1.002248</v>
      </c>
      <c r="N207">
        <v>2.2254770000000001</v>
      </c>
      <c r="O207">
        <v>2.1991589999999999</v>
      </c>
      <c r="P207">
        <v>4.6120799999999997</v>
      </c>
      <c r="Q207">
        <v>2.3866019999999999</v>
      </c>
      <c r="R207">
        <v>23.043104</v>
      </c>
      <c r="S207">
        <v>23.318871999999999</v>
      </c>
      <c r="T207">
        <v>48.326034999999997</v>
      </c>
      <c r="U207">
        <v>0.44178600000000001</v>
      </c>
      <c r="V207" t="s">
        <v>722</v>
      </c>
      <c r="W207">
        <v>0</v>
      </c>
      <c r="X207">
        <v>0</v>
      </c>
      <c r="Y207">
        <v>0</v>
      </c>
      <c r="Z207">
        <v>99.896193999999994</v>
      </c>
      <c r="AA207">
        <v>405.779022</v>
      </c>
      <c r="AB207">
        <v>0.75381600000000004</v>
      </c>
      <c r="AC207">
        <v>0.5</v>
      </c>
      <c r="AD207">
        <v>0.8</v>
      </c>
      <c r="AE207">
        <v>30.724160999999999</v>
      </c>
      <c r="AF207">
        <v>48.09</v>
      </c>
      <c r="AG207">
        <v>47.52</v>
      </c>
      <c r="AH207">
        <v>31.45</v>
      </c>
      <c r="AI207">
        <v>31.39</v>
      </c>
      <c r="AJ207">
        <v>95.44</v>
      </c>
      <c r="AK207">
        <v>156.80000000000001</v>
      </c>
      <c r="AL207">
        <v>155.69999999999999</v>
      </c>
      <c r="AM207">
        <v>0.7</v>
      </c>
      <c r="AN207">
        <v>102</v>
      </c>
      <c r="AO207">
        <v>3.92</v>
      </c>
      <c r="AP207">
        <v>22</v>
      </c>
      <c r="AQ207">
        <v>-3</v>
      </c>
      <c r="AR207">
        <v>80</v>
      </c>
      <c r="AS207">
        <v>49.36</v>
      </c>
      <c r="AT207">
        <v>65.13</v>
      </c>
      <c r="AU207">
        <v>22.19</v>
      </c>
      <c r="AV207">
        <v>87.96</v>
      </c>
      <c r="AW207">
        <v>15.18</v>
      </c>
      <c r="AX207">
        <v>274.89999999999998</v>
      </c>
      <c r="AY207">
        <v>71.349999999999994</v>
      </c>
      <c r="AZ207" s="3">
        <v>0.72450231481481486</v>
      </c>
      <c r="BA207" s="1">
        <v>45149</v>
      </c>
      <c r="BB207">
        <v>38.493298000000003</v>
      </c>
      <c r="BC207">
        <v>-1.362182</v>
      </c>
      <c r="BD207">
        <v>575</v>
      </c>
      <c r="BE207">
        <v>9</v>
      </c>
      <c r="BF207">
        <v>1.1399999999999999</v>
      </c>
      <c r="BG207" s="3">
        <v>0.51552083333333332</v>
      </c>
      <c r="BH207" s="1">
        <v>45149</v>
      </c>
      <c r="BI207">
        <v>0.01</v>
      </c>
      <c r="BJ207">
        <v>1E-3</v>
      </c>
      <c r="BK207">
        <v>1E-3</v>
      </c>
      <c r="BL207">
        <v>-9999</v>
      </c>
      <c r="BM207">
        <v>0.19900000000000001</v>
      </c>
      <c r="BN207">
        <v>0.39300000000000002</v>
      </c>
      <c r="BO207">
        <v>-9999</v>
      </c>
      <c r="BP207">
        <v>1</v>
      </c>
      <c r="BQ207">
        <v>150</v>
      </c>
      <c r="BR207">
        <v>5.0000000000000001E-3</v>
      </c>
      <c r="BS207">
        <v>2</v>
      </c>
      <c r="BT207">
        <v>0</v>
      </c>
      <c r="BU207" t="s">
        <v>200</v>
      </c>
      <c r="BV207">
        <v>7000</v>
      </c>
      <c r="BW207">
        <v>500</v>
      </c>
      <c r="BX207">
        <v>5</v>
      </c>
      <c r="BY207">
        <v>2</v>
      </c>
      <c r="BZ207">
        <v>300</v>
      </c>
      <c r="CA207">
        <v>300</v>
      </c>
      <c r="CB207">
        <v>300</v>
      </c>
      <c r="CC207">
        <v>390.68948399999999</v>
      </c>
      <c r="CD207">
        <v>25</v>
      </c>
      <c r="CE207">
        <v>-12.301674</v>
      </c>
      <c r="CF207">
        <v>391.630402</v>
      </c>
      <c r="CG207">
        <v>388.230164</v>
      </c>
      <c r="CH207">
        <v>3.4002379999999999</v>
      </c>
      <c r="CI207">
        <v>2.5129269999999999</v>
      </c>
      <c r="CJ207">
        <v>2.522078</v>
      </c>
      <c r="CK207">
        <v>1.6673739999999999</v>
      </c>
      <c r="CL207">
        <v>0.94170500000000001</v>
      </c>
      <c r="CM207">
        <v>0.21126500000000001</v>
      </c>
      <c r="CN207">
        <v>-1.65E-4</v>
      </c>
      <c r="CO207">
        <v>0.11143699999999999</v>
      </c>
      <c r="CP207">
        <v>0.19687499999999999</v>
      </c>
      <c r="CQ207">
        <v>99.896193999999994</v>
      </c>
      <c r="CR207">
        <v>3.6200000000000002E-4</v>
      </c>
      <c r="CS207">
        <v>2.4333689999999999</v>
      </c>
      <c r="CT207">
        <v>-3.6000000000000001E-5</v>
      </c>
      <c r="CU207">
        <v>1</v>
      </c>
      <c r="CV207">
        <v>2.4396819999999999</v>
      </c>
      <c r="CW207">
        <v>1.1E-5</v>
      </c>
      <c r="CX207">
        <v>1</v>
      </c>
      <c r="CY207">
        <v>0.60025499999999998</v>
      </c>
      <c r="CZ207">
        <v>0.60245199999999999</v>
      </c>
      <c r="DA207">
        <v>0.106742</v>
      </c>
      <c r="DB207">
        <v>0</v>
      </c>
      <c r="DC207" t="s">
        <v>722</v>
      </c>
      <c r="DD207" t="s">
        <v>515</v>
      </c>
      <c r="DE207" t="s">
        <v>516</v>
      </c>
      <c r="DF207" t="s">
        <v>517</v>
      </c>
      <c r="DG207" t="s">
        <v>518</v>
      </c>
      <c r="DH207" t="s">
        <v>205</v>
      </c>
      <c r="DI207" t="s">
        <v>519</v>
      </c>
    </row>
    <row r="208" spans="1:113">
      <c r="A208">
        <v>17</v>
      </c>
      <c r="B208" s="3">
        <v>0.51776620370370374</v>
      </c>
      <c r="C208" s="1">
        <v>45149</v>
      </c>
      <c r="D208" t="s">
        <v>196</v>
      </c>
      <c r="E208" t="s">
        <v>197</v>
      </c>
      <c r="G208">
        <v>17</v>
      </c>
      <c r="J208">
        <v>4.3189999999999999E-2</v>
      </c>
      <c r="K208">
        <v>2.9205679999999998</v>
      </c>
      <c r="L208">
        <v>4.2560000000000001E-2</v>
      </c>
      <c r="M208">
        <v>1.1314169999999999</v>
      </c>
      <c r="N208">
        <v>2.188752</v>
      </c>
      <c r="O208">
        <v>2.158982</v>
      </c>
      <c r="P208">
        <v>4.6350249999999997</v>
      </c>
      <c r="Q208">
        <v>2.4462730000000001</v>
      </c>
      <c r="R208">
        <v>22.623016</v>
      </c>
      <c r="S208">
        <v>22.934958000000002</v>
      </c>
      <c r="T208">
        <v>48.568367000000002</v>
      </c>
      <c r="U208">
        <v>0.44178600000000001</v>
      </c>
      <c r="V208" t="s">
        <v>723</v>
      </c>
      <c r="W208">
        <v>0</v>
      </c>
      <c r="X208">
        <v>0</v>
      </c>
      <c r="Y208">
        <v>0</v>
      </c>
      <c r="Z208">
        <v>101.651428</v>
      </c>
      <c r="AA208">
        <v>351.15136699999999</v>
      </c>
      <c r="AB208">
        <v>0.71052000000000004</v>
      </c>
      <c r="AC208">
        <v>0.5</v>
      </c>
      <c r="AD208">
        <v>0.8</v>
      </c>
      <c r="AE208">
        <v>30.203658999999998</v>
      </c>
      <c r="AF208">
        <v>47.22</v>
      </c>
      <c r="AG208">
        <v>46.58</v>
      </c>
      <c r="AH208">
        <v>31.48</v>
      </c>
      <c r="AI208">
        <v>31.48</v>
      </c>
      <c r="AJ208">
        <v>95.43</v>
      </c>
      <c r="AK208">
        <v>156.6</v>
      </c>
      <c r="AL208">
        <v>155.9</v>
      </c>
      <c r="AM208">
        <v>0.4</v>
      </c>
      <c r="AN208">
        <v>106</v>
      </c>
      <c r="AO208">
        <v>3.9209999999999998</v>
      </c>
      <c r="AP208">
        <v>23</v>
      </c>
      <c r="AQ208">
        <v>-4</v>
      </c>
      <c r="AR208">
        <v>90</v>
      </c>
      <c r="AS208">
        <v>48.15</v>
      </c>
      <c r="AT208">
        <v>66.72</v>
      </c>
      <c r="AU208">
        <v>23.33</v>
      </c>
      <c r="AV208">
        <v>100.15</v>
      </c>
      <c r="AW208">
        <v>15.18</v>
      </c>
      <c r="AX208">
        <v>274.89999999999998</v>
      </c>
      <c r="AY208">
        <v>71.349999999999994</v>
      </c>
      <c r="AZ208" s="3">
        <v>0.72454861111111113</v>
      </c>
      <c r="BA208" s="1">
        <v>45149</v>
      </c>
      <c r="BB208">
        <v>38.493309000000004</v>
      </c>
      <c r="BC208">
        <v>-1.3621749999999999</v>
      </c>
      <c r="BD208">
        <v>574.29998799999998</v>
      </c>
      <c r="BE208">
        <v>8</v>
      </c>
      <c r="BF208">
        <v>1.2</v>
      </c>
      <c r="BG208" s="3">
        <v>0.51552083333333332</v>
      </c>
      <c r="BH208" s="1">
        <v>45149</v>
      </c>
      <c r="BI208">
        <v>0.01</v>
      </c>
      <c r="BJ208">
        <v>0</v>
      </c>
      <c r="BK208">
        <v>-1E-3</v>
      </c>
      <c r="BL208">
        <v>-9999</v>
      </c>
      <c r="BM208">
        <v>0.151</v>
      </c>
      <c r="BN208">
        <v>0.26100000000000001</v>
      </c>
      <c r="BO208">
        <v>-9999</v>
      </c>
      <c r="BP208">
        <v>1</v>
      </c>
      <c r="BQ208">
        <v>150</v>
      </c>
      <c r="BR208">
        <v>5.0000000000000001E-3</v>
      </c>
      <c r="BS208">
        <v>2</v>
      </c>
      <c r="BT208">
        <v>0</v>
      </c>
      <c r="BU208" t="s">
        <v>200</v>
      </c>
      <c r="BV208">
        <v>7000</v>
      </c>
      <c r="BW208">
        <v>500</v>
      </c>
      <c r="BX208">
        <v>5</v>
      </c>
      <c r="BY208">
        <v>2</v>
      </c>
      <c r="BZ208">
        <v>300</v>
      </c>
      <c r="CA208">
        <v>300</v>
      </c>
      <c r="CB208">
        <v>300</v>
      </c>
      <c r="CC208">
        <v>340.00253300000003</v>
      </c>
      <c r="CD208">
        <v>25</v>
      </c>
      <c r="CE208">
        <v>-8.4640350000000009</v>
      </c>
      <c r="CF208">
        <v>339.90741000000003</v>
      </c>
      <c r="CG208">
        <v>339.07705700000002</v>
      </c>
      <c r="CH208">
        <v>0.83035300000000001</v>
      </c>
      <c r="CI208">
        <v>2.5115319999999999</v>
      </c>
      <c r="CJ208">
        <v>2.5207869999999999</v>
      </c>
      <c r="CK208">
        <v>1.665189</v>
      </c>
      <c r="CL208">
        <v>0.94229099999999999</v>
      </c>
      <c r="CM208">
        <v>0.211033</v>
      </c>
      <c r="CN208">
        <v>5.5599999999999996E-4</v>
      </c>
      <c r="CO208">
        <v>0.112369</v>
      </c>
      <c r="CP208">
        <v>0.20074700000000001</v>
      </c>
      <c r="CQ208">
        <v>101.651428</v>
      </c>
      <c r="CR208">
        <v>3.68E-4</v>
      </c>
      <c r="CS208">
        <v>2.4333689999999999</v>
      </c>
      <c r="CT208">
        <v>-3.6000000000000001E-5</v>
      </c>
      <c r="CU208">
        <v>1</v>
      </c>
      <c r="CV208">
        <v>2.4396819999999999</v>
      </c>
      <c r="CW208">
        <v>1.1E-5</v>
      </c>
      <c r="CX208">
        <v>1</v>
      </c>
      <c r="CY208">
        <v>0.60025499999999998</v>
      </c>
      <c r="CZ208">
        <v>0.60245199999999999</v>
      </c>
      <c r="DA208">
        <v>0.106742</v>
      </c>
      <c r="DB208">
        <v>0</v>
      </c>
      <c r="DC208" t="s">
        <v>723</v>
      </c>
      <c r="DD208" t="s">
        <v>515</v>
      </c>
      <c r="DE208" t="s">
        <v>516</v>
      </c>
      <c r="DF208" t="s">
        <v>517</v>
      </c>
      <c r="DG208" t="s">
        <v>518</v>
      </c>
      <c r="DH208" t="s">
        <v>205</v>
      </c>
      <c r="DI208" t="s">
        <v>519</v>
      </c>
    </row>
    <row r="209" spans="1:113">
      <c r="A209">
        <v>18</v>
      </c>
      <c r="B209" s="3">
        <v>0.51785879629629628</v>
      </c>
      <c r="C209" s="1">
        <v>45149</v>
      </c>
      <c r="D209" t="s">
        <v>196</v>
      </c>
      <c r="E209" t="s">
        <v>197</v>
      </c>
      <c r="G209">
        <v>18</v>
      </c>
      <c r="J209">
        <v>3.7540999999999998E-2</v>
      </c>
      <c r="K209">
        <v>2.9211930000000002</v>
      </c>
      <c r="L209">
        <v>3.7064E-2</v>
      </c>
      <c r="M209">
        <v>0.99121099999999995</v>
      </c>
      <c r="N209">
        <v>2.1836829999999998</v>
      </c>
      <c r="O209">
        <v>2.1576140000000001</v>
      </c>
      <c r="P209">
        <v>4.644469</v>
      </c>
      <c r="Q209">
        <v>2.4607860000000001</v>
      </c>
      <c r="R209">
        <v>22.609273999999999</v>
      </c>
      <c r="S209">
        <v>22.882441</v>
      </c>
      <c r="T209">
        <v>48.668602</v>
      </c>
      <c r="U209">
        <v>0.44178600000000001</v>
      </c>
      <c r="V209" t="s">
        <v>724</v>
      </c>
      <c r="W209">
        <v>0</v>
      </c>
      <c r="X209">
        <v>0</v>
      </c>
      <c r="Y209">
        <v>0</v>
      </c>
      <c r="Z209">
        <v>93.835114000000004</v>
      </c>
      <c r="AA209">
        <v>345.75027499999999</v>
      </c>
      <c r="AB209">
        <v>0.72860400000000003</v>
      </c>
      <c r="AC209">
        <v>0.5</v>
      </c>
      <c r="AD209">
        <v>0.8</v>
      </c>
      <c r="AE209">
        <v>30.962413999999999</v>
      </c>
      <c r="AF209">
        <v>47.03</v>
      </c>
      <c r="AG209">
        <v>46.47</v>
      </c>
      <c r="AH209">
        <v>31.51</v>
      </c>
      <c r="AI209">
        <v>31.51</v>
      </c>
      <c r="AJ209">
        <v>95.43</v>
      </c>
      <c r="AK209">
        <v>156.6</v>
      </c>
      <c r="AL209">
        <v>154.1</v>
      </c>
      <c r="AM209">
        <v>1.6</v>
      </c>
      <c r="AN209">
        <v>106</v>
      </c>
      <c r="AO209">
        <v>3.92</v>
      </c>
      <c r="AP209">
        <v>25</v>
      </c>
      <c r="AQ209">
        <v>-1</v>
      </c>
      <c r="AR209">
        <v>95</v>
      </c>
      <c r="AS209">
        <v>46.36</v>
      </c>
      <c r="AT209">
        <v>69.010000000000005</v>
      </c>
      <c r="AU209">
        <v>25.02</v>
      </c>
      <c r="AV209">
        <v>97.37</v>
      </c>
      <c r="AW209">
        <v>15.18</v>
      </c>
      <c r="AX209">
        <v>274.89999999999998</v>
      </c>
      <c r="AY209">
        <v>71.349999999999994</v>
      </c>
      <c r="AZ209" s="3">
        <v>0.72466435185185185</v>
      </c>
      <c r="BA209" s="1">
        <v>45149</v>
      </c>
      <c r="BB209">
        <v>38.493301000000002</v>
      </c>
      <c r="BC209">
        <v>-1.3621700000000001</v>
      </c>
      <c r="BD209">
        <v>574.5</v>
      </c>
      <c r="BE209">
        <v>10</v>
      </c>
      <c r="BF209">
        <v>1.04</v>
      </c>
      <c r="BG209" s="3">
        <v>0.51552083333333332</v>
      </c>
      <c r="BH209" s="1">
        <v>45149</v>
      </c>
      <c r="BI209">
        <v>0.01</v>
      </c>
      <c r="BJ209">
        <v>0</v>
      </c>
      <c r="BK209">
        <v>1E-3</v>
      </c>
      <c r="BL209">
        <v>-9999</v>
      </c>
      <c r="BM209">
        <v>7.4999999999999997E-2</v>
      </c>
      <c r="BN209">
        <v>0.122</v>
      </c>
      <c r="BO209">
        <v>-9999</v>
      </c>
      <c r="BP209">
        <v>1</v>
      </c>
      <c r="BQ209">
        <v>150</v>
      </c>
      <c r="BR209">
        <v>5.0000000000000001E-3</v>
      </c>
      <c r="BS209">
        <v>2</v>
      </c>
      <c r="BT209">
        <v>0</v>
      </c>
      <c r="BU209" t="s">
        <v>200</v>
      </c>
      <c r="BV209">
        <v>7000</v>
      </c>
      <c r="BW209">
        <v>500</v>
      </c>
      <c r="BX209">
        <v>5</v>
      </c>
      <c r="BY209">
        <v>2</v>
      </c>
      <c r="BZ209">
        <v>300</v>
      </c>
      <c r="CA209">
        <v>300</v>
      </c>
      <c r="CB209">
        <v>300</v>
      </c>
      <c r="CC209">
        <v>333.360321</v>
      </c>
      <c r="CD209">
        <v>25</v>
      </c>
      <c r="CE209">
        <v>-8.5957989999999995</v>
      </c>
      <c r="CF209">
        <v>335.77252199999998</v>
      </c>
      <c r="CG209">
        <v>333.48800699999998</v>
      </c>
      <c r="CH209">
        <v>2.2845149999999999</v>
      </c>
      <c r="CI209">
        <v>2.5113669999999999</v>
      </c>
      <c r="CJ209">
        <v>2.5205030000000002</v>
      </c>
      <c r="CK209">
        <v>1.6658470000000001</v>
      </c>
      <c r="CL209">
        <v>0.93753600000000004</v>
      </c>
      <c r="CM209">
        <v>0.210787</v>
      </c>
      <c r="CN209">
        <v>6.3000000000000003E-4</v>
      </c>
      <c r="CO209">
        <v>0.11337999999999999</v>
      </c>
      <c r="CP209">
        <v>0.20071700000000001</v>
      </c>
      <c r="CQ209">
        <v>93.835114000000004</v>
      </c>
      <c r="CR209">
        <v>3.6400000000000001E-4</v>
      </c>
      <c r="CS209">
        <v>2.4333689999999999</v>
      </c>
      <c r="CT209">
        <v>-3.6000000000000001E-5</v>
      </c>
      <c r="CU209">
        <v>1</v>
      </c>
      <c r="CV209">
        <v>2.4396819999999999</v>
      </c>
      <c r="CW209">
        <v>1.1E-5</v>
      </c>
      <c r="CX209">
        <v>1</v>
      </c>
      <c r="CY209">
        <v>0.60025499999999998</v>
      </c>
      <c r="CZ209">
        <v>0.60245199999999999</v>
      </c>
      <c r="DA209">
        <v>0.106742</v>
      </c>
      <c r="DB209">
        <v>0</v>
      </c>
      <c r="DC209" t="s">
        <v>724</v>
      </c>
      <c r="DD209" t="s">
        <v>515</v>
      </c>
      <c r="DE209" t="s">
        <v>516</v>
      </c>
      <c r="DF209" t="s">
        <v>517</v>
      </c>
      <c r="DG209" t="s">
        <v>518</v>
      </c>
      <c r="DH209" t="s">
        <v>205</v>
      </c>
      <c r="DI209" t="s">
        <v>519</v>
      </c>
    </row>
    <row r="210" spans="1:113">
      <c r="A210">
        <v>19</v>
      </c>
      <c r="B210" s="3">
        <v>0.51797453703703711</v>
      </c>
      <c r="C210" s="1">
        <v>45149</v>
      </c>
      <c r="D210" t="s">
        <v>196</v>
      </c>
      <c r="E210" t="s">
        <v>197</v>
      </c>
      <c r="G210">
        <v>19</v>
      </c>
      <c r="J210">
        <v>4.036E-2</v>
      </c>
      <c r="K210">
        <v>2.920957</v>
      </c>
      <c r="L210">
        <v>3.9809999999999998E-2</v>
      </c>
      <c r="M210">
        <v>1.2607950000000001</v>
      </c>
      <c r="N210">
        <v>2.2126890000000001</v>
      </c>
      <c r="O210">
        <v>2.1795360000000001</v>
      </c>
      <c r="P210">
        <v>5.1187740000000002</v>
      </c>
      <c r="Q210">
        <v>2.9060860000000002</v>
      </c>
      <c r="R210">
        <v>22.840005999999999</v>
      </c>
      <c r="S210">
        <v>23.187424</v>
      </c>
      <c r="T210">
        <v>53.641159000000002</v>
      </c>
      <c r="U210">
        <v>0.44178600000000001</v>
      </c>
      <c r="V210" t="s">
        <v>725</v>
      </c>
      <c r="W210">
        <v>0</v>
      </c>
      <c r="X210">
        <v>0</v>
      </c>
      <c r="Y210">
        <v>0</v>
      </c>
      <c r="Z210">
        <v>104.21312</v>
      </c>
      <c r="AA210">
        <v>256.80392499999999</v>
      </c>
      <c r="AB210">
        <v>0.59419200000000005</v>
      </c>
      <c r="AC210">
        <v>0.5</v>
      </c>
      <c r="AD210">
        <v>0.8</v>
      </c>
      <c r="AE210">
        <v>82.22757</v>
      </c>
      <c r="AF210">
        <v>47.54</v>
      </c>
      <c r="AG210">
        <v>46.83</v>
      </c>
      <c r="AH210">
        <v>31.55</v>
      </c>
      <c r="AI210">
        <v>33.229999999999997</v>
      </c>
      <c r="AJ210">
        <v>95.43</v>
      </c>
      <c r="AK210">
        <v>156.6</v>
      </c>
      <c r="AL210">
        <v>156.1</v>
      </c>
      <c r="AM210">
        <v>0.3</v>
      </c>
      <c r="AN210">
        <v>346</v>
      </c>
      <c r="AO210">
        <v>3.92</v>
      </c>
      <c r="AP210">
        <v>22</v>
      </c>
      <c r="AQ210">
        <v>-22</v>
      </c>
      <c r="AR210">
        <v>29</v>
      </c>
      <c r="AS210">
        <v>42.84</v>
      </c>
      <c r="AT210">
        <v>73.33</v>
      </c>
      <c r="AU210">
        <v>30.72</v>
      </c>
      <c r="AV210">
        <v>76.16</v>
      </c>
      <c r="AW210">
        <v>15.18</v>
      </c>
      <c r="AX210">
        <v>274.89999999999998</v>
      </c>
      <c r="AY210">
        <v>71.349999999999994</v>
      </c>
      <c r="AZ210" s="3">
        <v>0.72479166666666661</v>
      </c>
      <c r="BA210" s="1">
        <v>45149</v>
      </c>
      <c r="BB210">
        <v>38.493290000000002</v>
      </c>
      <c r="BC210">
        <v>-1.3621780000000001</v>
      </c>
      <c r="BD210">
        <v>574</v>
      </c>
      <c r="BE210">
        <v>11</v>
      </c>
      <c r="BF210">
        <v>0.92</v>
      </c>
      <c r="BG210" s="3">
        <v>0.51552083333333332</v>
      </c>
      <c r="BH210" s="1">
        <v>45149</v>
      </c>
      <c r="BI210">
        <v>0.01</v>
      </c>
      <c r="BJ210">
        <v>1E-3</v>
      </c>
      <c r="BK210">
        <v>4.0000000000000001E-3</v>
      </c>
      <c r="BL210">
        <v>-9999</v>
      </c>
      <c r="BM210">
        <v>0.42599999999999999</v>
      </c>
      <c r="BN210">
        <v>3.1640000000000001</v>
      </c>
      <c r="BO210">
        <v>-9999</v>
      </c>
      <c r="BP210">
        <v>1</v>
      </c>
      <c r="BQ210">
        <v>150</v>
      </c>
      <c r="BR210">
        <v>5.0000000000000001E-3</v>
      </c>
      <c r="BS210">
        <v>2</v>
      </c>
      <c r="BT210">
        <v>0</v>
      </c>
      <c r="BU210" t="s">
        <v>200</v>
      </c>
      <c r="BV210">
        <v>7000</v>
      </c>
      <c r="BW210">
        <v>500</v>
      </c>
      <c r="BX210">
        <v>5</v>
      </c>
      <c r="BY210">
        <v>2</v>
      </c>
      <c r="BZ210">
        <v>300</v>
      </c>
      <c r="CA210">
        <v>300</v>
      </c>
      <c r="CB210">
        <v>300</v>
      </c>
      <c r="CC210">
        <v>242.86151100000001</v>
      </c>
      <c r="CD210">
        <v>25</v>
      </c>
      <c r="CE210">
        <v>-9.6041629999999998</v>
      </c>
      <c r="CF210">
        <v>242.65014600000001</v>
      </c>
      <c r="CG210">
        <v>243.10318000000001</v>
      </c>
      <c r="CH210">
        <v>-0.45303300000000002</v>
      </c>
      <c r="CI210">
        <v>2.511895</v>
      </c>
      <c r="CJ210">
        <v>2.5212590000000001</v>
      </c>
      <c r="CK210">
        <v>1.6655979999999999</v>
      </c>
      <c r="CL210">
        <v>0.94262599999999996</v>
      </c>
      <c r="CM210">
        <v>0.210449</v>
      </c>
      <c r="CN210">
        <v>2.1359E-2</v>
      </c>
      <c r="CO210">
        <v>0.114689</v>
      </c>
      <c r="CP210">
        <v>0.412769</v>
      </c>
      <c r="CQ210">
        <v>104.21312</v>
      </c>
      <c r="CR210">
        <v>3.68E-4</v>
      </c>
      <c r="CS210">
        <v>2.4333689999999999</v>
      </c>
      <c r="CT210">
        <v>-3.6000000000000001E-5</v>
      </c>
      <c r="CU210">
        <v>1</v>
      </c>
      <c r="CV210">
        <v>2.4396819999999999</v>
      </c>
      <c r="CW210">
        <v>1.1E-5</v>
      </c>
      <c r="CX210">
        <v>1</v>
      </c>
      <c r="CY210">
        <v>0.60025499999999998</v>
      </c>
      <c r="CZ210">
        <v>0.60245199999999999</v>
      </c>
      <c r="DA210">
        <v>0.106742</v>
      </c>
      <c r="DB210">
        <v>0</v>
      </c>
      <c r="DC210" t="s">
        <v>725</v>
      </c>
      <c r="DD210" t="s">
        <v>515</v>
      </c>
      <c r="DE210" t="s">
        <v>516</v>
      </c>
      <c r="DF210" t="s">
        <v>517</v>
      </c>
      <c r="DG210" t="s">
        <v>518</v>
      </c>
      <c r="DH210" t="s">
        <v>205</v>
      </c>
      <c r="DI210" t="s">
        <v>519</v>
      </c>
    </row>
    <row r="211" spans="1:113">
      <c r="A211">
        <v>20</v>
      </c>
      <c r="B211" s="3">
        <v>0.51806712962962964</v>
      </c>
      <c r="C211" s="1">
        <v>45149</v>
      </c>
      <c r="D211" t="s">
        <v>196</v>
      </c>
      <c r="E211" t="s">
        <v>197</v>
      </c>
      <c r="G211">
        <v>20</v>
      </c>
      <c r="J211">
        <v>3.5200000000000002E-2</v>
      </c>
      <c r="K211">
        <v>2.9214009999999999</v>
      </c>
      <c r="L211">
        <v>3.4780999999999999E-2</v>
      </c>
      <c r="M211">
        <v>1.0711520000000001</v>
      </c>
      <c r="N211">
        <v>2.23</v>
      </c>
      <c r="O211">
        <v>2.2018469999999999</v>
      </c>
      <c r="P211">
        <v>5.0569350000000002</v>
      </c>
      <c r="Q211">
        <v>2.8269350000000002</v>
      </c>
      <c r="R211">
        <v>23.071629999999999</v>
      </c>
      <c r="S211">
        <v>23.366631999999999</v>
      </c>
      <c r="T211">
        <v>52.988132</v>
      </c>
      <c r="U211">
        <v>0.44178600000000001</v>
      </c>
      <c r="V211" t="s">
        <v>726</v>
      </c>
      <c r="W211">
        <v>0</v>
      </c>
      <c r="X211">
        <v>0</v>
      </c>
      <c r="Y211">
        <v>0</v>
      </c>
      <c r="Z211">
        <v>99.848267000000007</v>
      </c>
      <c r="AA211">
        <v>226.388992</v>
      </c>
      <c r="AB211">
        <v>0.55895300000000003</v>
      </c>
      <c r="AC211">
        <v>0.5</v>
      </c>
      <c r="AD211">
        <v>0.8</v>
      </c>
      <c r="AE211">
        <v>95.400131000000002</v>
      </c>
      <c r="AF211">
        <v>47.81</v>
      </c>
      <c r="AG211">
        <v>47.21</v>
      </c>
      <c r="AH211">
        <v>31.59</v>
      </c>
      <c r="AI211">
        <v>33.020000000000003</v>
      </c>
      <c r="AJ211">
        <v>95.44</v>
      </c>
      <c r="AK211">
        <v>156.69999999999999</v>
      </c>
      <c r="AL211">
        <v>156.1</v>
      </c>
      <c r="AM211">
        <v>0.4</v>
      </c>
      <c r="AN211">
        <v>427</v>
      </c>
      <c r="AO211">
        <v>3.92</v>
      </c>
      <c r="AP211">
        <v>23</v>
      </c>
      <c r="AQ211">
        <v>-17</v>
      </c>
      <c r="AR211">
        <v>32</v>
      </c>
      <c r="AS211">
        <v>46.42</v>
      </c>
      <c r="AT211">
        <v>68.94</v>
      </c>
      <c r="AU211">
        <v>28.32</v>
      </c>
      <c r="AV211">
        <v>70.040000000000006</v>
      </c>
      <c r="AW211">
        <v>15.18</v>
      </c>
      <c r="AX211">
        <v>274.89999999999998</v>
      </c>
      <c r="AY211">
        <v>71.349999999999994</v>
      </c>
      <c r="AZ211" s="3">
        <v>0.72488425925925926</v>
      </c>
      <c r="BA211" s="1">
        <v>45149</v>
      </c>
      <c r="BB211">
        <v>38.493256000000002</v>
      </c>
      <c r="BC211">
        <v>-1.3622019999999999</v>
      </c>
      <c r="BD211">
        <v>573.09997599999997</v>
      </c>
      <c r="BE211">
        <v>9</v>
      </c>
      <c r="BF211">
        <v>1.06</v>
      </c>
      <c r="BG211" s="3">
        <v>0.51552083333333332</v>
      </c>
      <c r="BH211" s="1">
        <v>45149</v>
      </c>
      <c r="BI211">
        <v>0.01</v>
      </c>
      <c r="BJ211">
        <v>1E-3</v>
      </c>
      <c r="BK211">
        <v>2E-3</v>
      </c>
      <c r="BL211">
        <v>-9999</v>
      </c>
      <c r="BM211">
        <v>2.2050000000000001</v>
      </c>
      <c r="BN211">
        <v>1.921</v>
      </c>
      <c r="BO211">
        <v>-9999</v>
      </c>
      <c r="BP211">
        <v>1</v>
      </c>
      <c r="BQ211">
        <v>150</v>
      </c>
      <c r="BR211">
        <v>5.0000000000000001E-3</v>
      </c>
      <c r="BS211">
        <v>2</v>
      </c>
      <c r="BT211">
        <v>0</v>
      </c>
      <c r="BU211" t="s">
        <v>200</v>
      </c>
      <c r="BV211">
        <v>7000</v>
      </c>
      <c r="BW211">
        <v>500</v>
      </c>
      <c r="BX211">
        <v>5</v>
      </c>
      <c r="BY211">
        <v>2</v>
      </c>
      <c r="BZ211">
        <v>300</v>
      </c>
      <c r="CA211">
        <v>300</v>
      </c>
      <c r="CB211">
        <v>300</v>
      </c>
      <c r="CC211">
        <v>213.31393399999999</v>
      </c>
      <c r="CD211">
        <v>25</v>
      </c>
      <c r="CE211">
        <v>-9.2656019999999994</v>
      </c>
      <c r="CF211">
        <v>213.238113</v>
      </c>
      <c r="CG211">
        <v>213.17121900000001</v>
      </c>
      <c r="CH211">
        <v>6.6894999999999996E-2</v>
      </c>
      <c r="CI211">
        <v>2.5124409999999999</v>
      </c>
      <c r="CJ211">
        <v>2.5216470000000002</v>
      </c>
      <c r="CK211">
        <v>1.666067</v>
      </c>
      <c r="CL211">
        <v>0.94260299999999997</v>
      </c>
      <c r="CM211">
        <v>0.21012900000000001</v>
      </c>
      <c r="CN211">
        <v>1.8190000000000001E-2</v>
      </c>
      <c r="CO211">
        <v>0.11569400000000001</v>
      </c>
      <c r="CP211">
        <v>0.48417700000000002</v>
      </c>
      <c r="CQ211">
        <v>99.848267000000007</v>
      </c>
      <c r="CR211">
        <v>3.6299999999999999E-4</v>
      </c>
      <c r="CS211">
        <v>2.4333689999999999</v>
      </c>
      <c r="CT211">
        <v>-3.6000000000000001E-5</v>
      </c>
      <c r="CU211">
        <v>1</v>
      </c>
      <c r="CV211">
        <v>2.4396819999999999</v>
      </c>
      <c r="CW211">
        <v>1.1E-5</v>
      </c>
      <c r="CX211">
        <v>1</v>
      </c>
      <c r="CY211">
        <v>0.60025499999999998</v>
      </c>
      <c r="CZ211">
        <v>0.60245199999999999</v>
      </c>
      <c r="DA211">
        <v>0.106742</v>
      </c>
      <c r="DB211">
        <v>0</v>
      </c>
      <c r="DC211" t="s">
        <v>726</v>
      </c>
      <c r="DD211" t="s">
        <v>515</v>
      </c>
      <c r="DE211" t="s">
        <v>516</v>
      </c>
      <c r="DF211" t="s">
        <v>517</v>
      </c>
      <c r="DG211" t="s">
        <v>518</v>
      </c>
      <c r="DH211" t="s">
        <v>205</v>
      </c>
      <c r="DI211" t="s">
        <v>519</v>
      </c>
    </row>
    <row r="212" spans="1:113">
      <c r="A212">
        <v>21</v>
      </c>
      <c r="B212" s="3">
        <v>0.51829861111111108</v>
      </c>
      <c r="C212" s="1">
        <v>45149</v>
      </c>
      <c r="D212" t="s">
        <v>196</v>
      </c>
      <c r="E212" t="s">
        <v>197</v>
      </c>
      <c r="G212">
        <v>21</v>
      </c>
      <c r="J212">
        <v>3.8941000000000003E-2</v>
      </c>
      <c r="K212">
        <v>2.9222000000000001</v>
      </c>
      <c r="L212">
        <v>3.8428999999999998E-2</v>
      </c>
      <c r="M212">
        <v>1.098978</v>
      </c>
      <c r="N212">
        <v>2.2176049999999998</v>
      </c>
      <c r="O212">
        <v>2.188736</v>
      </c>
      <c r="P212">
        <v>4.8456830000000002</v>
      </c>
      <c r="Q212">
        <v>2.6280779999999999</v>
      </c>
      <c r="R212">
        <v>22.935516</v>
      </c>
      <c r="S212">
        <v>23.238030999999999</v>
      </c>
      <c r="T212">
        <v>50.777355</v>
      </c>
      <c r="U212">
        <v>0.44178600000000001</v>
      </c>
      <c r="V212" t="s">
        <v>727</v>
      </c>
      <c r="W212">
        <v>0</v>
      </c>
      <c r="X212">
        <v>0</v>
      </c>
      <c r="Y212">
        <v>0</v>
      </c>
      <c r="Z212">
        <v>106.68647</v>
      </c>
      <c r="AA212">
        <v>271.79135100000002</v>
      </c>
      <c r="AB212">
        <v>0.60746900000000004</v>
      </c>
      <c r="AC212">
        <v>0.5</v>
      </c>
      <c r="AD212">
        <v>0.8</v>
      </c>
      <c r="AE212">
        <v>51.874378</v>
      </c>
      <c r="AF212">
        <v>47.3</v>
      </c>
      <c r="AG212">
        <v>46.68</v>
      </c>
      <c r="AH212">
        <v>31.68</v>
      </c>
      <c r="AI212">
        <v>32.26</v>
      </c>
      <c r="AJ212">
        <v>95.43</v>
      </c>
      <c r="AK212">
        <v>156.80000000000001</v>
      </c>
      <c r="AL212">
        <v>155.9</v>
      </c>
      <c r="AM212">
        <v>0.5</v>
      </c>
      <c r="AN212">
        <v>213</v>
      </c>
      <c r="AO212">
        <v>3.9180000000000001</v>
      </c>
      <c r="AP212">
        <v>21</v>
      </c>
      <c r="AQ212">
        <v>-9</v>
      </c>
      <c r="AR212">
        <v>36</v>
      </c>
      <c r="AS212">
        <v>53.71</v>
      </c>
      <c r="AT212">
        <v>59.18</v>
      </c>
      <c r="AU212">
        <v>22.77</v>
      </c>
      <c r="AV212">
        <v>59.84</v>
      </c>
      <c r="AW212">
        <v>15.18</v>
      </c>
      <c r="AX212">
        <v>275.05</v>
      </c>
      <c r="AY212">
        <v>71.55</v>
      </c>
      <c r="AZ212" s="3">
        <v>0.72511574074074081</v>
      </c>
      <c r="BA212" s="1">
        <v>45149</v>
      </c>
      <c r="BB212">
        <v>38.493225000000002</v>
      </c>
      <c r="BC212">
        <v>-1.3619779999999999</v>
      </c>
      <c r="BD212">
        <v>576.5</v>
      </c>
      <c r="BE212">
        <v>11</v>
      </c>
      <c r="BF212">
        <v>0.92</v>
      </c>
      <c r="BG212" s="3">
        <v>0.51552083333333332</v>
      </c>
      <c r="BH212" s="1">
        <v>45149</v>
      </c>
      <c r="BI212">
        <v>0.01</v>
      </c>
      <c r="BJ212">
        <v>2E-3</v>
      </c>
      <c r="BK212">
        <v>0</v>
      </c>
      <c r="BL212">
        <v>-9999</v>
      </c>
      <c r="BM212">
        <v>-16.029</v>
      </c>
      <c r="BN212">
        <v>4.069</v>
      </c>
      <c r="BO212">
        <v>-9999</v>
      </c>
      <c r="BP212">
        <v>1</v>
      </c>
      <c r="BQ212">
        <v>150</v>
      </c>
      <c r="BR212">
        <v>5.0000000000000001E-3</v>
      </c>
      <c r="BS212">
        <v>2</v>
      </c>
      <c r="BT212">
        <v>0</v>
      </c>
      <c r="BU212" t="s">
        <v>200</v>
      </c>
      <c r="BV212">
        <v>7000</v>
      </c>
      <c r="BW212">
        <v>500</v>
      </c>
      <c r="BX212">
        <v>5</v>
      </c>
      <c r="BY212">
        <v>2</v>
      </c>
      <c r="BZ212">
        <v>300</v>
      </c>
      <c r="CA212">
        <v>300</v>
      </c>
      <c r="CB212">
        <v>300</v>
      </c>
      <c r="CC212">
        <v>254.836319</v>
      </c>
      <c r="CD212">
        <v>25</v>
      </c>
      <c r="CE212">
        <v>-12.071087</v>
      </c>
      <c r="CF212">
        <v>253.11541700000001</v>
      </c>
      <c r="CG212">
        <v>254.57144199999999</v>
      </c>
      <c r="CH212">
        <v>-1.456024</v>
      </c>
      <c r="CI212">
        <v>2.5116459999999998</v>
      </c>
      <c r="CJ212">
        <v>2.5208719999999998</v>
      </c>
      <c r="CK212">
        <v>1.6669099999999999</v>
      </c>
      <c r="CL212">
        <v>0.94226200000000004</v>
      </c>
      <c r="CM212">
        <v>0.209368</v>
      </c>
      <c r="CN212">
        <v>7.6969999999999998E-3</v>
      </c>
      <c r="CO212">
        <v>0.11847299999999999</v>
      </c>
      <c r="CP212">
        <v>0.29558299999999998</v>
      </c>
      <c r="CQ212">
        <v>106.68647</v>
      </c>
      <c r="CR212">
        <v>3.7100000000000002E-4</v>
      </c>
      <c r="CS212">
        <v>2.4333689999999999</v>
      </c>
      <c r="CT212">
        <v>-3.6000000000000001E-5</v>
      </c>
      <c r="CU212">
        <v>1</v>
      </c>
      <c r="CV212">
        <v>2.4396819999999999</v>
      </c>
      <c r="CW212">
        <v>1.1E-5</v>
      </c>
      <c r="CX212">
        <v>1</v>
      </c>
      <c r="CY212">
        <v>0.60025499999999998</v>
      </c>
      <c r="CZ212">
        <v>0.60245199999999999</v>
      </c>
      <c r="DA212">
        <v>0.106742</v>
      </c>
      <c r="DB212">
        <v>0</v>
      </c>
      <c r="DC212" t="s">
        <v>727</v>
      </c>
      <c r="DD212" t="s">
        <v>515</v>
      </c>
      <c r="DE212" t="s">
        <v>516</v>
      </c>
      <c r="DF212" t="s">
        <v>517</v>
      </c>
      <c r="DG212" t="s">
        <v>518</v>
      </c>
      <c r="DH212" t="s">
        <v>205</v>
      </c>
      <c r="DI212" t="s">
        <v>519</v>
      </c>
    </row>
    <row r="213" spans="1:113">
      <c r="A213">
        <v>22</v>
      </c>
      <c r="B213" s="3">
        <v>0.51879629629629631</v>
      </c>
      <c r="C213" s="1">
        <v>45149</v>
      </c>
      <c r="D213" t="s">
        <v>196</v>
      </c>
      <c r="E213" t="s">
        <v>197</v>
      </c>
      <c r="G213">
        <v>22</v>
      </c>
      <c r="J213">
        <v>3.7408999999999998E-2</v>
      </c>
      <c r="K213">
        <v>2.9208210000000001</v>
      </c>
      <c r="L213">
        <v>3.6935999999999997E-2</v>
      </c>
      <c r="M213">
        <v>1.0320560000000001</v>
      </c>
      <c r="N213">
        <v>2.2236829999999999</v>
      </c>
      <c r="O213">
        <v>2.1965409999999999</v>
      </c>
      <c r="P213">
        <v>4.792421</v>
      </c>
      <c r="Q213">
        <v>2.5687389999999999</v>
      </c>
      <c r="R213">
        <v>23.014828000000001</v>
      </c>
      <c r="S213">
        <v>23.299213000000002</v>
      </c>
      <c r="T213">
        <v>50.213839999999998</v>
      </c>
      <c r="U213">
        <v>0.44178600000000001</v>
      </c>
      <c r="V213" t="s">
        <v>728</v>
      </c>
      <c r="W213">
        <v>0</v>
      </c>
      <c r="X213">
        <v>0</v>
      </c>
      <c r="Y213">
        <v>0</v>
      </c>
      <c r="Z213">
        <v>118.071198</v>
      </c>
      <c r="AA213">
        <v>453.04690599999998</v>
      </c>
      <c r="AB213">
        <v>0.73938400000000004</v>
      </c>
      <c r="AC213">
        <v>0.5</v>
      </c>
      <c r="AD213">
        <v>0.8</v>
      </c>
      <c r="AE213">
        <v>120.593468</v>
      </c>
      <c r="AF213">
        <v>46.97</v>
      </c>
      <c r="AG213">
        <v>46.39</v>
      </c>
      <c r="AH213">
        <v>31.85</v>
      </c>
      <c r="AI213">
        <v>32.06</v>
      </c>
      <c r="AJ213">
        <v>95.44</v>
      </c>
      <c r="AK213">
        <v>156.6</v>
      </c>
      <c r="AL213">
        <v>156</v>
      </c>
      <c r="AM213">
        <v>0.4</v>
      </c>
      <c r="AN213">
        <v>408</v>
      </c>
      <c r="AO213">
        <v>3.9180000000000001</v>
      </c>
      <c r="AP213">
        <v>1</v>
      </c>
      <c r="AQ213">
        <v>-4</v>
      </c>
      <c r="AR213">
        <v>126</v>
      </c>
      <c r="AS213">
        <v>72.790000000000006</v>
      </c>
      <c r="AT213">
        <v>29.58</v>
      </c>
      <c r="AU213">
        <v>4.12</v>
      </c>
      <c r="AV213">
        <v>-158.01</v>
      </c>
      <c r="AW213">
        <v>15.18</v>
      </c>
      <c r="AX213">
        <v>275.05</v>
      </c>
      <c r="AY213">
        <v>71.55</v>
      </c>
      <c r="AZ213" s="3">
        <v>0.72562499999999996</v>
      </c>
      <c r="BA213" s="1">
        <v>45149</v>
      </c>
      <c r="BB213">
        <v>38.493225000000002</v>
      </c>
      <c r="BC213">
        <v>-1.3619749999999999</v>
      </c>
      <c r="BD213">
        <v>576.29998799999998</v>
      </c>
      <c r="BE213">
        <v>11</v>
      </c>
      <c r="BF213">
        <v>0.92</v>
      </c>
      <c r="BG213" s="3">
        <v>0.51552083333333332</v>
      </c>
      <c r="BH213" s="1">
        <v>45149</v>
      </c>
      <c r="BI213">
        <v>0.01</v>
      </c>
      <c r="BJ213">
        <v>1E-3</v>
      </c>
      <c r="BK213">
        <v>0</v>
      </c>
      <c r="BL213">
        <v>-9999</v>
      </c>
      <c r="BM213">
        <v>0.41599999999999998</v>
      </c>
      <c r="BN213">
        <v>0.161</v>
      </c>
      <c r="BO213">
        <v>-9999</v>
      </c>
      <c r="BP213">
        <v>1</v>
      </c>
      <c r="BQ213">
        <v>150</v>
      </c>
      <c r="BR213">
        <v>5.0000000000000001E-3</v>
      </c>
      <c r="BS213">
        <v>2</v>
      </c>
      <c r="BT213">
        <v>0</v>
      </c>
      <c r="BU213" t="s">
        <v>200</v>
      </c>
      <c r="BV213">
        <v>7000</v>
      </c>
      <c r="BW213">
        <v>500</v>
      </c>
      <c r="BX213">
        <v>5</v>
      </c>
      <c r="BY213">
        <v>2</v>
      </c>
      <c r="BZ213">
        <v>300</v>
      </c>
      <c r="CA213">
        <v>300</v>
      </c>
      <c r="CB213">
        <v>300</v>
      </c>
      <c r="CC213">
        <v>453.04690599999998</v>
      </c>
      <c r="CD213">
        <v>25</v>
      </c>
      <c r="CE213">
        <v>3.9895339999999999</v>
      </c>
      <c r="CF213">
        <v>459.32900999999998</v>
      </c>
      <c r="CG213">
        <v>458.73812900000001</v>
      </c>
      <c r="CH213">
        <v>0.59088099999999999</v>
      </c>
      <c r="CI213">
        <v>2.5111870000000001</v>
      </c>
      <c r="CJ213">
        <v>2.520356</v>
      </c>
      <c r="CK213">
        <v>1.6654549999999999</v>
      </c>
      <c r="CL213">
        <v>0.942334</v>
      </c>
      <c r="CM213">
        <v>0.207959</v>
      </c>
      <c r="CN213">
        <v>3.189E-3</v>
      </c>
      <c r="CO213">
        <v>0.124366</v>
      </c>
      <c r="CP213">
        <v>0.467422</v>
      </c>
      <c r="CQ213">
        <v>118.071198</v>
      </c>
      <c r="CR213">
        <v>3.6999999999999999E-4</v>
      </c>
      <c r="CS213">
        <v>2.4333689999999999</v>
      </c>
      <c r="CT213">
        <v>-3.6000000000000001E-5</v>
      </c>
      <c r="CU213">
        <v>1</v>
      </c>
      <c r="CV213">
        <v>2.4396819999999999</v>
      </c>
      <c r="CW213">
        <v>1.1E-5</v>
      </c>
      <c r="CX213">
        <v>1</v>
      </c>
      <c r="CY213">
        <v>0.60025499999999998</v>
      </c>
      <c r="CZ213">
        <v>0.60245199999999999</v>
      </c>
      <c r="DA213">
        <v>0.106742</v>
      </c>
      <c r="DB213">
        <v>0</v>
      </c>
      <c r="DC213" t="s">
        <v>728</v>
      </c>
      <c r="DD213" t="s">
        <v>515</v>
      </c>
      <c r="DE213" t="s">
        <v>516</v>
      </c>
      <c r="DF213" t="s">
        <v>517</v>
      </c>
      <c r="DG213" t="s">
        <v>518</v>
      </c>
      <c r="DH213" t="s">
        <v>205</v>
      </c>
      <c r="DI213" t="s">
        <v>519</v>
      </c>
    </row>
    <row r="214" spans="1:113">
      <c r="A214">
        <v>23</v>
      </c>
      <c r="B214" s="3">
        <v>0.51888888888888884</v>
      </c>
      <c r="C214" s="1">
        <v>45149</v>
      </c>
      <c r="D214" t="s">
        <v>196</v>
      </c>
      <c r="E214" t="s">
        <v>197</v>
      </c>
      <c r="G214">
        <v>23</v>
      </c>
      <c r="J214">
        <v>5.2544E-2</v>
      </c>
      <c r="K214">
        <v>2.9216099999999998</v>
      </c>
      <c r="L214">
        <v>5.1615000000000001E-2</v>
      </c>
      <c r="M214">
        <v>1.40906</v>
      </c>
      <c r="N214">
        <v>2.2753190000000001</v>
      </c>
      <c r="O214">
        <v>2.2383060000000001</v>
      </c>
      <c r="P214">
        <v>4.7844189999999998</v>
      </c>
      <c r="Q214">
        <v>2.5091000000000001</v>
      </c>
      <c r="R214">
        <v>23.452304999999999</v>
      </c>
      <c r="S214">
        <v>23.840116999999999</v>
      </c>
      <c r="T214">
        <v>50.129725999999998</v>
      </c>
      <c r="U214">
        <v>0.44178600000000001</v>
      </c>
      <c r="V214" t="s">
        <v>729</v>
      </c>
      <c r="W214">
        <v>0</v>
      </c>
      <c r="X214">
        <v>0</v>
      </c>
      <c r="Y214">
        <v>0</v>
      </c>
      <c r="Z214">
        <v>97.437859000000003</v>
      </c>
      <c r="AA214">
        <v>406.5224</v>
      </c>
      <c r="AB214">
        <v>0.76031400000000005</v>
      </c>
      <c r="AC214">
        <v>0.5</v>
      </c>
      <c r="AD214">
        <v>0.8</v>
      </c>
      <c r="AE214">
        <v>129.037262</v>
      </c>
      <c r="AF214">
        <v>47.97</v>
      </c>
      <c r="AG214">
        <v>47.19</v>
      </c>
      <c r="AH214">
        <v>31.88</v>
      </c>
      <c r="AI214">
        <v>32.03</v>
      </c>
      <c r="AJ214">
        <v>95.44</v>
      </c>
      <c r="AK214">
        <v>156.69999999999999</v>
      </c>
      <c r="AL214">
        <v>155.80000000000001</v>
      </c>
      <c r="AM214">
        <v>0.5</v>
      </c>
      <c r="AN214">
        <v>424</v>
      </c>
      <c r="AO214">
        <v>3.9169999999999998</v>
      </c>
      <c r="AP214">
        <v>1</v>
      </c>
      <c r="AQ214">
        <v>-4</v>
      </c>
      <c r="AR214">
        <v>126</v>
      </c>
      <c r="AS214">
        <v>72.98</v>
      </c>
      <c r="AT214">
        <v>29.28</v>
      </c>
      <c r="AU214">
        <v>4.12</v>
      </c>
      <c r="AV214">
        <v>-158.01</v>
      </c>
      <c r="AW214">
        <v>15.18</v>
      </c>
      <c r="AX214">
        <v>275.2</v>
      </c>
      <c r="AY214">
        <v>71.739999999999995</v>
      </c>
      <c r="AZ214" s="3">
        <v>0.72570601851851846</v>
      </c>
      <c r="BA214" s="1">
        <v>45149</v>
      </c>
      <c r="BB214">
        <v>38.493214000000002</v>
      </c>
      <c r="BC214">
        <v>-1.36198</v>
      </c>
      <c r="BD214">
        <v>576.29998799999998</v>
      </c>
      <c r="BE214">
        <v>11</v>
      </c>
      <c r="BF214">
        <v>0.92</v>
      </c>
      <c r="BG214" s="3">
        <v>0.51552083333333332</v>
      </c>
      <c r="BH214" s="1">
        <v>45149</v>
      </c>
      <c r="BI214">
        <v>0.01</v>
      </c>
      <c r="BJ214">
        <v>-1E-3</v>
      </c>
      <c r="BK214">
        <v>1E-3</v>
      </c>
      <c r="BL214">
        <v>-9999</v>
      </c>
      <c r="BM214">
        <v>-0.127</v>
      </c>
      <c r="BN214">
        <v>3.6999999999999998E-2</v>
      </c>
      <c r="BO214">
        <v>-9999</v>
      </c>
      <c r="BP214">
        <v>1</v>
      </c>
      <c r="BQ214">
        <v>150</v>
      </c>
      <c r="BR214">
        <v>5.0000000000000001E-3</v>
      </c>
      <c r="BS214">
        <v>2</v>
      </c>
      <c r="BT214">
        <v>0</v>
      </c>
      <c r="BU214" t="s">
        <v>200</v>
      </c>
      <c r="BV214">
        <v>7000</v>
      </c>
      <c r="BW214">
        <v>500</v>
      </c>
      <c r="BX214">
        <v>5</v>
      </c>
      <c r="BY214">
        <v>2</v>
      </c>
      <c r="BZ214">
        <v>300</v>
      </c>
      <c r="CA214">
        <v>300</v>
      </c>
      <c r="CB214">
        <v>300</v>
      </c>
      <c r="CC214">
        <v>406.5224</v>
      </c>
      <c r="CD214">
        <v>25</v>
      </c>
      <c r="CE214">
        <v>1.1565989999999999</v>
      </c>
      <c r="CF214">
        <v>415.227417</v>
      </c>
      <c r="CG214">
        <v>408.17233299999998</v>
      </c>
      <c r="CH214">
        <v>7.0550839999999999</v>
      </c>
      <c r="CI214">
        <v>2.5123509999999998</v>
      </c>
      <c r="CJ214">
        <v>2.5218319999999999</v>
      </c>
      <c r="CK214">
        <v>1.6662870000000001</v>
      </c>
      <c r="CL214">
        <v>0.94200499999999998</v>
      </c>
      <c r="CM214">
        <v>0.20768900000000001</v>
      </c>
      <c r="CN214">
        <v>2.421E-3</v>
      </c>
      <c r="CO214">
        <v>0.12525700000000001</v>
      </c>
      <c r="CP214">
        <v>0.48205300000000001</v>
      </c>
      <c r="CQ214">
        <v>97.437859000000003</v>
      </c>
      <c r="CR214">
        <v>3.6999999999999999E-4</v>
      </c>
      <c r="CS214">
        <v>2.4333689999999999</v>
      </c>
      <c r="CT214">
        <v>-3.6000000000000001E-5</v>
      </c>
      <c r="CU214">
        <v>1</v>
      </c>
      <c r="CV214">
        <v>2.4396819999999999</v>
      </c>
      <c r="CW214">
        <v>1.1E-5</v>
      </c>
      <c r="CX214">
        <v>1</v>
      </c>
      <c r="CY214">
        <v>0.60025499999999998</v>
      </c>
      <c r="CZ214">
        <v>0.60245199999999999</v>
      </c>
      <c r="DA214">
        <v>0.106742</v>
      </c>
      <c r="DB214">
        <v>0</v>
      </c>
      <c r="DC214" t="s">
        <v>729</v>
      </c>
      <c r="DD214" t="s">
        <v>515</v>
      </c>
      <c r="DE214" t="s">
        <v>516</v>
      </c>
      <c r="DF214" t="s">
        <v>517</v>
      </c>
      <c r="DG214" t="s">
        <v>518</v>
      </c>
      <c r="DH214" t="s">
        <v>205</v>
      </c>
      <c r="DI214" t="s">
        <v>519</v>
      </c>
    </row>
    <row r="215" spans="1:113">
      <c r="A215">
        <v>24</v>
      </c>
      <c r="B215" s="3">
        <v>0.51896990740740734</v>
      </c>
      <c r="C215" s="1">
        <v>45149</v>
      </c>
      <c r="D215" t="s">
        <v>196</v>
      </c>
      <c r="E215" t="s">
        <v>197</v>
      </c>
      <c r="G215">
        <v>24</v>
      </c>
      <c r="J215">
        <v>4.3976000000000001E-2</v>
      </c>
      <c r="K215">
        <v>2.9222109999999999</v>
      </c>
      <c r="L215">
        <v>4.3324000000000001E-2</v>
      </c>
      <c r="M215">
        <v>1.280775</v>
      </c>
      <c r="N215">
        <v>2.3128289999999998</v>
      </c>
      <c r="O215">
        <v>2.2792159999999999</v>
      </c>
      <c r="P215">
        <v>5.0257610000000001</v>
      </c>
      <c r="Q215">
        <v>2.7129319999999999</v>
      </c>
      <c r="R215">
        <v>23.881456</v>
      </c>
      <c r="S215">
        <v>24.233650000000001</v>
      </c>
      <c r="T215">
        <v>52.659545999999999</v>
      </c>
      <c r="U215">
        <v>0.44178600000000001</v>
      </c>
      <c r="V215" t="s">
        <v>730</v>
      </c>
      <c r="W215">
        <v>0</v>
      </c>
      <c r="X215">
        <v>0</v>
      </c>
      <c r="Y215">
        <v>0</v>
      </c>
      <c r="Z215">
        <v>141.84986900000001</v>
      </c>
      <c r="AA215">
        <v>374.42199699999998</v>
      </c>
      <c r="AB215">
        <v>0.62114999999999998</v>
      </c>
      <c r="AC215">
        <v>0.5</v>
      </c>
      <c r="AD215">
        <v>0.8</v>
      </c>
      <c r="AE215">
        <v>102.23561100000001</v>
      </c>
      <c r="AF215">
        <v>48.66</v>
      </c>
      <c r="AG215">
        <v>47.95</v>
      </c>
      <c r="AH215">
        <v>31.92</v>
      </c>
      <c r="AI215">
        <v>32.909999999999997</v>
      </c>
      <c r="AJ215">
        <v>95.44</v>
      </c>
      <c r="AK215">
        <v>156.80000000000001</v>
      </c>
      <c r="AL215">
        <v>153.69999999999999</v>
      </c>
      <c r="AM215">
        <v>2</v>
      </c>
      <c r="AN215">
        <v>411</v>
      </c>
      <c r="AO215">
        <v>3.9159999999999999</v>
      </c>
      <c r="AP215">
        <v>-1</v>
      </c>
      <c r="AQ215">
        <v>0</v>
      </c>
      <c r="AR215">
        <v>139</v>
      </c>
      <c r="AS215">
        <v>72.459999999999994</v>
      </c>
      <c r="AT215">
        <v>30.13</v>
      </c>
      <c r="AU215">
        <v>1</v>
      </c>
      <c r="AV215">
        <v>-41</v>
      </c>
      <c r="AW215">
        <v>15.18</v>
      </c>
      <c r="AX215">
        <v>275.2</v>
      </c>
      <c r="AY215">
        <v>71.739999999999995</v>
      </c>
      <c r="AZ215" s="3">
        <v>0.7257986111111111</v>
      </c>
      <c r="BA215" s="1">
        <v>45149</v>
      </c>
      <c r="BB215">
        <v>38.493191000000003</v>
      </c>
      <c r="BC215">
        <v>-1.361988</v>
      </c>
      <c r="BD215">
        <v>576.20001200000002</v>
      </c>
      <c r="BE215">
        <v>12</v>
      </c>
      <c r="BF215">
        <v>0.82</v>
      </c>
      <c r="BG215" s="3">
        <v>0.51552083333333332</v>
      </c>
      <c r="BH215" s="1">
        <v>45149</v>
      </c>
      <c r="BI215">
        <v>0.01</v>
      </c>
      <c r="BJ215">
        <v>-2E-3</v>
      </c>
      <c r="BK215">
        <v>-4.0000000000000001E-3</v>
      </c>
      <c r="BL215">
        <v>-9999</v>
      </c>
      <c r="BM215">
        <v>-3.2229999999999999</v>
      </c>
      <c r="BN215">
        <v>-4.3840000000000003</v>
      </c>
      <c r="BO215">
        <v>-9999</v>
      </c>
      <c r="BP215">
        <v>1</v>
      </c>
      <c r="BQ215">
        <v>150</v>
      </c>
      <c r="BR215">
        <v>5.0000000000000001E-3</v>
      </c>
      <c r="BS215">
        <v>2</v>
      </c>
      <c r="BT215">
        <v>0</v>
      </c>
      <c r="BU215" t="s">
        <v>200</v>
      </c>
      <c r="BV215">
        <v>7000</v>
      </c>
      <c r="BW215">
        <v>500</v>
      </c>
      <c r="BX215">
        <v>5</v>
      </c>
      <c r="BY215">
        <v>2</v>
      </c>
      <c r="BZ215">
        <v>300</v>
      </c>
      <c r="CA215">
        <v>300</v>
      </c>
      <c r="CB215">
        <v>300</v>
      </c>
      <c r="CC215">
        <v>361.67871100000002</v>
      </c>
      <c r="CD215">
        <v>25</v>
      </c>
      <c r="CE215">
        <v>-8.5573680000000003</v>
      </c>
      <c r="CF215">
        <v>362.575287</v>
      </c>
      <c r="CG215">
        <v>362.214539</v>
      </c>
      <c r="CH215">
        <v>0.36074800000000001</v>
      </c>
      <c r="CI215">
        <v>2.513468</v>
      </c>
      <c r="CJ215">
        <v>2.5228480000000002</v>
      </c>
      <c r="CK215">
        <v>1.666922</v>
      </c>
      <c r="CL215">
        <v>0.93646499999999999</v>
      </c>
      <c r="CM215">
        <v>0.207394</v>
      </c>
      <c r="CN215">
        <v>1.2729000000000001E-2</v>
      </c>
      <c r="CO215">
        <v>0.12615899999999999</v>
      </c>
      <c r="CP215">
        <v>0.470719</v>
      </c>
      <c r="CQ215">
        <v>141.84986900000001</v>
      </c>
      <c r="CR215">
        <v>3.6000000000000002E-4</v>
      </c>
      <c r="CS215">
        <v>2.4333689999999999</v>
      </c>
      <c r="CT215">
        <v>-3.6000000000000001E-5</v>
      </c>
      <c r="CU215">
        <v>1</v>
      </c>
      <c r="CV215">
        <v>2.4396819999999999</v>
      </c>
      <c r="CW215">
        <v>1.1E-5</v>
      </c>
      <c r="CX215">
        <v>1</v>
      </c>
      <c r="CY215">
        <v>0.60025499999999998</v>
      </c>
      <c r="CZ215">
        <v>0.60245199999999999</v>
      </c>
      <c r="DA215">
        <v>0.106742</v>
      </c>
      <c r="DB215">
        <v>0</v>
      </c>
      <c r="DC215" t="s">
        <v>730</v>
      </c>
      <c r="DD215" t="s">
        <v>515</v>
      </c>
      <c r="DE215" t="s">
        <v>516</v>
      </c>
      <c r="DF215" t="s">
        <v>517</v>
      </c>
      <c r="DG215" t="s">
        <v>518</v>
      </c>
      <c r="DH215" t="s">
        <v>205</v>
      </c>
      <c r="DI215" t="s">
        <v>519</v>
      </c>
    </row>
    <row r="216" spans="1:113">
      <c r="A216">
        <v>25</v>
      </c>
      <c r="B216" s="3">
        <v>0.51909722222222221</v>
      </c>
      <c r="C216" s="1">
        <v>45149</v>
      </c>
      <c r="D216" t="s">
        <v>196</v>
      </c>
      <c r="E216" t="s">
        <v>197</v>
      </c>
      <c r="G216">
        <v>25</v>
      </c>
      <c r="J216">
        <v>2.2419000000000001E-2</v>
      </c>
      <c r="K216">
        <v>2.9202699999999999</v>
      </c>
      <c r="L216">
        <v>2.2249000000000001E-2</v>
      </c>
      <c r="M216">
        <v>0.62090999999999996</v>
      </c>
      <c r="N216">
        <v>2.2945549999999999</v>
      </c>
      <c r="O216">
        <v>2.278232</v>
      </c>
      <c r="P216">
        <v>4.8582739999999998</v>
      </c>
      <c r="Q216">
        <v>2.5637180000000002</v>
      </c>
      <c r="R216">
        <v>23.870764000000001</v>
      </c>
      <c r="S216">
        <v>24.041801</v>
      </c>
      <c r="T216">
        <v>50.903824</v>
      </c>
      <c r="U216">
        <v>0.44178600000000001</v>
      </c>
      <c r="V216" t="s">
        <v>731</v>
      </c>
      <c r="W216">
        <v>0</v>
      </c>
      <c r="X216">
        <v>0</v>
      </c>
      <c r="Y216">
        <v>0</v>
      </c>
      <c r="Z216">
        <v>112.37919599999999</v>
      </c>
      <c r="AA216">
        <v>313.33956899999998</v>
      </c>
      <c r="AB216">
        <v>0.64134999999999998</v>
      </c>
      <c r="AC216">
        <v>0.5</v>
      </c>
      <c r="AD216">
        <v>0.8</v>
      </c>
      <c r="AE216">
        <v>34.244430999999999</v>
      </c>
      <c r="AF216">
        <v>48.14</v>
      </c>
      <c r="AG216">
        <v>47.79</v>
      </c>
      <c r="AH216">
        <v>31.97</v>
      </c>
      <c r="AI216">
        <v>32.31</v>
      </c>
      <c r="AJ216">
        <v>95.44</v>
      </c>
      <c r="AK216">
        <v>156.5</v>
      </c>
      <c r="AL216">
        <v>155.80000000000001</v>
      </c>
      <c r="AM216">
        <v>0.5</v>
      </c>
      <c r="AN216">
        <v>133</v>
      </c>
      <c r="AO216">
        <v>3.9159999999999999</v>
      </c>
      <c r="AP216">
        <v>19</v>
      </c>
      <c r="AQ216">
        <v>-11</v>
      </c>
      <c r="AR216">
        <v>35</v>
      </c>
      <c r="AS216">
        <v>53.21</v>
      </c>
      <c r="AT216">
        <v>59.89</v>
      </c>
      <c r="AU216">
        <v>21.85</v>
      </c>
      <c r="AV216">
        <v>65.84</v>
      </c>
      <c r="AW216">
        <v>15.18</v>
      </c>
      <c r="AX216">
        <v>275.2</v>
      </c>
      <c r="AY216">
        <v>71.739999999999995</v>
      </c>
      <c r="AZ216" s="3">
        <v>0.72592592592592586</v>
      </c>
      <c r="BA216" s="1">
        <v>45149</v>
      </c>
      <c r="BB216">
        <v>38.493186999999999</v>
      </c>
      <c r="BC216">
        <v>-1.36198</v>
      </c>
      <c r="BD216">
        <v>575.90002400000003</v>
      </c>
      <c r="BE216">
        <v>12</v>
      </c>
      <c r="BF216">
        <v>0.83</v>
      </c>
      <c r="BG216" s="3">
        <v>0.51552083333333332</v>
      </c>
      <c r="BH216" s="1">
        <v>45149</v>
      </c>
      <c r="BI216">
        <v>0.01</v>
      </c>
      <c r="BJ216">
        <v>-3.0000000000000001E-3</v>
      </c>
      <c r="BK216">
        <v>-4.0000000000000001E-3</v>
      </c>
      <c r="BL216">
        <v>-9999</v>
      </c>
      <c r="BM216">
        <v>1.4239999999999999</v>
      </c>
      <c r="BN216">
        <v>3.988</v>
      </c>
      <c r="BO216">
        <v>-9999</v>
      </c>
      <c r="BP216">
        <v>1</v>
      </c>
      <c r="BQ216">
        <v>150</v>
      </c>
      <c r="BR216">
        <v>5.0000000000000001E-3</v>
      </c>
      <c r="BS216">
        <v>2</v>
      </c>
      <c r="BT216">
        <v>0</v>
      </c>
      <c r="BU216" t="s">
        <v>200</v>
      </c>
      <c r="BV216">
        <v>7000</v>
      </c>
      <c r="BW216">
        <v>500</v>
      </c>
      <c r="BX216">
        <v>5</v>
      </c>
      <c r="BY216">
        <v>2</v>
      </c>
      <c r="BZ216">
        <v>300</v>
      </c>
      <c r="CA216">
        <v>300</v>
      </c>
      <c r="CB216">
        <v>300</v>
      </c>
      <c r="CC216">
        <v>299.19470200000001</v>
      </c>
      <c r="CD216">
        <v>25</v>
      </c>
      <c r="CE216">
        <v>-10.359978999999999</v>
      </c>
      <c r="CF216">
        <v>297.92511000000002</v>
      </c>
      <c r="CG216">
        <v>298.56063799999998</v>
      </c>
      <c r="CH216">
        <v>-0.63552900000000001</v>
      </c>
      <c r="CI216">
        <v>2.5132300000000001</v>
      </c>
      <c r="CJ216">
        <v>2.5220720000000001</v>
      </c>
      <c r="CK216">
        <v>1.664876</v>
      </c>
      <c r="CL216">
        <v>0.94181700000000002</v>
      </c>
      <c r="CM216">
        <v>0.20699100000000001</v>
      </c>
      <c r="CN216">
        <v>4.6959999999999997E-3</v>
      </c>
      <c r="CO216">
        <v>0.12754299999999999</v>
      </c>
      <c r="CP216">
        <v>0.22481799999999999</v>
      </c>
      <c r="CQ216">
        <v>112.37919599999999</v>
      </c>
      <c r="CR216">
        <v>3.6499999999999998E-4</v>
      </c>
      <c r="CS216">
        <v>2.4333689999999999</v>
      </c>
      <c r="CT216">
        <v>-3.6000000000000001E-5</v>
      </c>
      <c r="CU216">
        <v>1</v>
      </c>
      <c r="CV216">
        <v>2.4396819999999999</v>
      </c>
      <c r="CW216">
        <v>1.1E-5</v>
      </c>
      <c r="CX216">
        <v>1</v>
      </c>
      <c r="CY216">
        <v>0.60025499999999998</v>
      </c>
      <c r="CZ216">
        <v>0.60245199999999999</v>
      </c>
      <c r="DA216">
        <v>0.106742</v>
      </c>
      <c r="DB216">
        <v>0</v>
      </c>
      <c r="DC216" t="s">
        <v>731</v>
      </c>
      <c r="DD216" t="s">
        <v>515</v>
      </c>
      <c r="DE216" t="s">
        <v>516</v>
      </c>
      <c r="DF216" t="s">
        <v>517</v>
      </c>
      <c r="DG216" t="s">
        <v>518</v>
      </c>
      <c r="DH216" t="s">
        <v>205</v>
      </c>
      <c r="DI216" t="s">
        <v>519</v>
      </c>
    </row>
    <row r="217" spans="1:113">
      <c r="A217">
        <v>26</v>
      </c>
      <c r="B217" s="3">
        <v>0.51918981481481474</v>
      </c>
      <c r="C217" s="1">
        <v>45149</v>
      </c>
      <c r="D217" t="s">
        <v>196</v>
      </c>
      <c r="E217" t="s">
        <v>197</v>
      </c>
      <c r="G217">
        <v>26</v>
      </c>
      <c r="J217">
        <v>2.6787999999999999E-2</v>
      </c>
      <c r="K217">
        <v>2.9214769999999999</v>
      </c>
      <c r="L217">
        <v>2.6544000000000002E-2</v>
      </c>
      <c r="M217">
        <v>0.75768899999999995</v>
      </c>
      <c r="N217">
        <v>2.2796910000000001</v>
      </c>
      <c r="O217">
        <v>2.2597870000000002</v>
      </c>
      <c r="P217">
        <v>4.9015209999999998</v>
      </c>
      <c r="Q217">
        <v>2.6218300000000001</v>
      </c>
      <c r="R217">
        <v>23.677071000000002</v>
      </c>
      <c r="S217">
        <v>23.885619999999999</v>
      </c>
      <c r="T217">
        <v>51.356017999999999</v>
      </c>
      <c r="U217">
        <v>0.44178600000000001</v>
      </c>
      <c r="V217" t="s">
        <v>732</v>
      </c>
      <c r="W217">
        <v>0</v>
      </c>
      <c r="X217">
        <v>0</v>
      </c>
      <c r="Y217">
        <v>0</v>
      </c>
      <c r="Z217">
        <v>109.323975</v>
      </c>
      <c r="AA217">
        <v>241.92274499999999</v>
      </c>
      <c r="AB217">
        <v>0.54810400000000004</v>
      </c>
      <c r="AC217">
        <v>0.5</v>
      </c>
      <c r="AD217">
        <v>0.8</v>
      </c>
      <c r="AE217">
        <v>24.844729999999998</v>
      </c>
      <c r="AF217">
        <v>47.74</v>
      </c>
      <c r="AG217">
        <v>47.32</v>
      </c>
      <c r="AH217">
        <v>32</v>
      </c>
      <c r="AI217">
        <v>32.46</v>
      </c>
      <c r="AJ217">
        <v>95.44</v>
      </c>
      <c r="AK217">
        <v>156.69999999999999</v>
      </c>
      <c r="AL217">
        <v>155.9</v>
      </c>
      <c r="AM217">
        <v>0.5</v>
      </c>
      <c r="AN217">
        <v>113</v>
      </c>
      <c r="AO217">
        <v>3.9159999999999999</v>
      </c>
      <c r="AP217">
        <v>14</v>
      </c>
      <c r="AQ217">
        <v>-2</v>
      </c>
      <c r="AR217">
        <v>36</v>
      </c>
      <c r="AS217">
        <v>63.27</v>
      </c>
      <c r="AT217">
        <v>44.98</v>
      </c>
      <c r="AU217">
        <v>14.14</v>
      </c>
      <c r="AV217">
        <v>44.21</v>
      </c>
      <c r="AW217">
        <v>15.18</v>
      </c>
      <c r="AX217">
        <v>275.2</v>
      </c>
      <c r="AY217">
        <v>71.739999999999995</v>
      </c>
      <c r="AZ217" s="3">
        <v>0.72600694444444447</v>
      </c>
      <c r="BA217" s="1">
        <v>45149</v>
      </c>
      <c r="BB217">
        <v>38.493183000000002</v>
      </c>
      <c r="BC217">
        <v>-1.3619779999999999</v>
      </c>
      <c r="BD217">
        <v>575.79998799999998</v>
      </c>
      <c r="BE217">
        <v>11</v>
      </c>
      <c r="BF217">
        <v>0.87</v>
      </c>
      <c r="BG217" s="3">
        <v>0.51552083333333332</v>
      </c>
      <c r="BH217" s="1">
        <v>45149</v>
      </c>
      <c r="BI217">
        <v>0.01</v>
      </c>
      <c r="BJ217">
        <v>0</v>
      </c>
      <c r="BK217">
        <v>-3.0000000000000001E-3</v>
      </c>
      <c r="BL217">
        <v>-9999</v>
      </c>
      <c r="BM217">
        <v>-3.3959999999999999</v>
      </c>
      <c r="BN217">
        <v>1.1060000000000001</v>
      </c>
      <c r="BO217">
        <v>-9999</v>
      </c>
      <c r="BP217">
        <v>1</v>
      </c>
      <c r="BQ217">
        <v>150</v>
      </c>
      <c r="BR217">
        <v>5.0000000000000001E-3</v>
      </c>
      <c r="BS217">
        <v>2</v>
      </c>
      <c r="BT217">
        <v>0</v>
      </c>
      <c r="BU217" t="s">
        <v>200</v>
      </c>
      <c r="BV217">
        <v>7000</v>
      </c>
      <c r="BW217">
        <v>500</v>
      </c>
      <c r="BX217">
        <v>5</v>
      </c>
      <c r="BY217">
        <v>2</v>
      </c>
      <c r="BZ217">
        <v>300</v>
      </c>
      <c r="CA217">
        <v>300</v>
      </c>
      <c r="CB217">
        <v>300</v>
      </c>
      <c r="CC217">
        <v>230.70931999999999</v>
      </c>
      <c r="CD217">
        <v>25</v>
      </c>
      <c r="CE217">
        <v>-8.0595909999999993</v>
      </c>
      <c r="CF217">
        <v>228.56497200000001</v>
      </c>
      <c r="CG217">
        <v>230.4254</v>
      </c>
      <c r="CH217">
        <v>-1.860428</v>
      </c>
      <c r="CI217">
        <v>2.5125299999999999</v>
      </c>
      <c r="CJ217">
        <v>2.5214810000000001</v>
      </c>
      <c r="CK217">
        <v>1.6661459999999999</v>
      </c>
      <c r="CL217">
        <v>0.942195</v>
      </c>
      <c r="CM217">
        <v>0.206737</v>
      </c>
      <c r="CN217">
        <v>6.2440000000000004E-3</v>
      </c>
      <c r="CO217">
        <v>0.12843199999999999</v>
      </c>
      <c r="CP217">
        <v>0.206982</v>
      </c>
      <c r="CQ217">
        <v>109.323975</v>
      </c>
      <c r="CR217">
        <v>3.6499999999999998E-4</v>
      </c>
      <c r="CS217">
        <v>2.4333689999999999</v>
      </c>
      <c r="CT217">
        <v>-3.6000000000000001E-5</v>
      </c>
      <c r="CU217">
        <v>1</v>
      </c>
      <c r="CV217">
        <v>2.4396819999999999</v>
      </c>
      <c r="CW217">
        <v>1.1E-5</v>
      </c>
      <c r="CX217">
        <v>1</v>
      </c>
      <c r="CY217">
        <v>0.60025499999999998</v>
      </c>
      <c r="CZ217">
        <v>0.60245199999999999</v>
      </c>
      <c r="DA217">
        <v>0.106742</v>
      </c>
      <c r="DB217">
        <v>0</v>
      </c>
      <c r="DC217" t="s">
        <v>732</v>
      </c>
      <c r="DD217" t="s">
        <v>515</v>
      </c>
      <c r="DE217" t="s">
        <v>516</v>
      </c>
      <c r="DF217" t="s">
        <v>517</v>
      </c>
      <c r="DG217" t="s">
        <v>518</v>
      </c>
      <c r="DH217" t="s">
        <v>205</v>
      </c>
      <c r="DI217" t="s">
        <v>519</v>
      </c>
    </row>
    <row r="218" spans="1:113">
      <c r="A218">
        <v>27</v>
      </c>
      <c r="B218" s="3">
        <v>0.51928240740740739</v>
      </c>
      <c r="C218" s="1">
        <v>45149</v>
      </c>
      <c r="D218" t="s">
        <v>196</v>
      </c>
      <c r="E218" t="s">
        <v>197</v>
      </c>
      <c r="G218">
        <v>27</v>
      </c>
      <c r="J218">
        <v>2.9079000000000001E-2</v>
      </c>
      <c r="K218">
        <v>2.9208419999999999</v>
      </c>
      <c r="L218">
        <v>2.8792000000000002E-2</v>
      </c>
      <c r="M218">
        <v>0.82093099999999997</v>
      </c>
      <c r="N218">
        <v>2.2766350000000002</v>
      </c>
      <c r="O218">
        <v>2.2550590000000001</v>
      </c>
      <c r="P218">
        <v>4.8955169999999999</v>
      </c>
      <c r="Q218">
        <v>2.6188820000000002</v>
      </c>
      <c r="R218">
        <v>23.628703999999999</v>
      </c>
      <c r="S218">
        <v>23.854780000000002</v>
      </c>
      <c r="T218">
        <v>51.295665999999997</v>
      </c>
      <c r="U218">
        <v>0.44178600000000001</v>
      </c>
      <c r="V218" t="s">
        <v>733</v>
      </c>
      <c r="W218">
        <v>0</v>
      </c>
      <c r="X218">
        <v>0</v>
      </c>
      <c r="Y218">
        <v>0</v>
      </c>
      <c r="Z218">
        <v>107.605217</v>
      </c>
      <c r="AA218">
        <v>264.50997899999999</v>
      </c>
      <c r="AB218">
        <v>0.59319</v>
      </c>
      <c r="AC218">
        <v>0.5</v>
      </c>
      <c r="AD218">
        <v>0.8</v>
      </c>
      <c r="AE218">
        <v>31.613205000000001</v>
      </c>
      <c r="AF218">
        <v>47.59</v>
      </c>
      <c r="AG218">
        <v>47.14</v>
      </c>
      <c r="AH218">
        <v>32.03</v>
      </c>
      <c r="AI218">
        <v>32.44</v>
      </c>
      <c r="AJ218">
        <v>95.44</v>
      </c>
      <c r="AK218">
        <v>156.6</v>
      </c>
      <c r="AL218">
        <v>152.9</v>
      </c>
      <c r="AM218">
        <v>2.2999999999999998</v>
      </c>
      <c r="AN218">
        <v>133</v>
      </c>
      <c r="AO218">
        <v>3.9159999999999999</v>
      </c>
      <c r="AP218">
        <v>14</v>
      </c>
      <c r="AQ218">
        <v>-2</v>
      </c>
      <c r="AR218">
        <v>39</v>
      </c>
      <c r="AS218">
        <v>62.67</v>
      </c>
      <c r="AT218">
        <v>45.91</v>
      </c>
      <c r="AU218">
        <v>14.14</v>
      </c>
      <c r="AV218">
        <v>47.21</v>
      </c>
      <c r="AW218">
        <v>15.18</v>
      </c>
      <c r="AX218">
        <v>275.2</v>
      </c>
      <c r="AY218">
        <v>71.739999999999995</v>
      </c>
      <c r="AZ218" s="3">
        <v>0.726099537037037</v>
      </c>
      <c r="BA218" s="1">
        <v>45149</v>
      </c>
      <c r="BB218">
        <v>38.493183000000002</v>
      </c>
      <c r="BC218">
        <v>-1.3619920000000001</v>
      </c>
      <c r="BD218">
        <v>575.79998799999998</v>
      </c>
      <c r="BE218">
        <v>11</v>
      </c>
      <c r="BF218">
        <v>0.93</v>
      </c>
      <c r="BG218" s="3">
        <v>0.51552083333333332</v>
      </c>
      <c r="BH218" s="1">
        <v>45149</v>
      </c>
      <c r="BI218">
        <v>0.01</v>
      </c>
      <c r="BJ218">
        <v>1E-3</v>
      </c>
      <c r="BK218">
        <v>2E-3</v>
      </c>
      <c r="BL218">
        <v>-9999</v>
      </c>
      <c r="BM218">
        <v>1.768</v>
      </c>
      <c r="BN218">
        <v>2.895</v>
      </c>
      <c r="BO218">
        <v>-9999</v>
      </c>
      <c r="BP218">
        <v>1</v>
      </c>
      <c r="BQ218">
        <v>150</v>
      </c>
      <c r="BR218">
        <v>5.0000000000000001E-3</v>
      </c>
      <c r="BS218">
        <v>2</v>
      </c>
      <c r="BT218">
        <v>0</v>
      </c>
      <c r="BU218" t="s">
        <v>200</v>
      </c>
      <c r="BV218">
        <v>7000</v>
      </c>
      <c r="BW218">
        <v>500</v>
      </c>
      <c r="BX218">
        <v>5</v>
      </c>
      <c r="BY218">
        <v>2</v>
      </c>
      <c r="BZ218">
        <v>300</v>
      </c>
      <c r="CA218">
        <v>300</v>
      </c>
      <c r="CB218">
        <v>300</v>
      </c>
      <c r="CC218">
        <v>248.982315</v>
      </c>
      <c r="CD218">
        <v>25</v>
      </c>
      <c r="CE218">
        <v>-11.031611</v>
      </c>
      <c r="CF218">
        <v>245.669601</v>
      </c>
      <c r="CG218">
        <v>248.772919</v>
      </c>
      <c r="CH218">
        <v>-3.1033170000000001</v>
      </c>
      <c r="CI218">
        <v>2.5122490000000002</v>
      </c>
      <c r="CJ218">
        <v>2.5212509999999999</v>
      </c>
      <c r="CK218">
        <v>1.6654770000000001</v>
      </c>
      <c r="CL218">
        <v>0.93454400000000004</v>
      </c>
      <c r="CM218">
        <v>0.20647199999999999</v>
      </c>
      <c r="CN218">
        <v>5.5750000000000001E-3</v>
      </c>
      <c r="CO218">
        <v>0.129389</v>
      </c>
      <c r="CP218">
        <v>0.22459599999999999</v>
      </c>
      <c r="CQ218">
        <v>107.605217</v>
      </c>
      <c r="CR218">
        <v>3.6699999999999998E-4</v>
      </c>
      <c r="CS218">
        <v>2.4333689999999999</v>
      </c>
      <c r="CT218">
        <v>-3.6000000000000001E-5</v>
      </c>
      <c r="CU218">
        <v>1</v>
      </c>
      <c r="CV218">
        <v>2.4396819999999999</v>
      </c>
      <c r="CW218">
        <v>1.1E-5</v>
      </c>
      <c r="CX218">
        <v>1</v>
      </c>
      <c r="CY218">
        <v>0.60025499999999998</v>
      </c>
      <c r="CZ218">
        <v>0.60245199999999999</v>
      </c>
      <c r="DA218">
        <v>0.106742</v>
      </c>
      <c r="DB218">
        <v>0</v>
      </c>
      <c r="DC218" t="s">
        <v>733</v>
      </c>
      <c r="DD218" t="s">
        <v>515</v>
      </c>
      <c r="DE218" t="s">
        <v>516</v>
      </c>
      <c r="DF218" t="s">
        <v>517</v>
      </c>
      <c r="DG218" t="s">
        <v>518</v>
      </c>
      <c r="DH218" t="s">
        <v>205</v>
      </c>
      <c r="DI218" t="s">
        <v>519</v>
      </c>
    </row>
    <row r="219" spans="1:113">
      <c r="A219">
        <v>28</v>
      </c>
      <c r="B219" s="3">
        <v>0.51937500000000003</v>
      </c>
      <c r="C219" s="1">
        <v>45149</v>
      </c>
      <c r="D219" t="s">
        <v>196</v>
      </c>
      <c r="E219" t="s">
        <v>197</v>
      </c>
      <c r="G219">
        <v>28</v>
      </c>
      <c r="J219">
        <v>3.4759999999999999E-3</v>
      </c>
      <c r="K219">
        <v>2.9209040000000002</v>
      </c>
      <c r="L219">
        <v>3.4719999999999998E-3</v>
      </c>
      <c r="M219">
        <v>0.114014</v>
      </c>
      <c r="N219">
        <v>2.287833</v>
      </c>
      <c r="O219">
        <v>2.284837</v>
      </c>
      <c r="P219">
        <v>5.2974949999999996</v>
      </c>
      <c r="Q219">
        <v>3.0096620000000001</v>
      </c>
      <c r="R219">
        <v>23.940472</v>
      </c>
      <c r="S219">
        <v>23.971865000000001</v>
      </c>
      <c r="T219">
        <v>55.507041999999998</v>
      </c>
      <c r="U219">
        <v>0.44178600000000001</v>
      </c>
      <c r="V219" t="s">
        <v>734</v>
      </c>
      <c r="W219">
        <v>0</v>
      </c>
      <c r="X219">
        <v>0</v>
      </c>
      <c r="Y219">
        <v>0</v>
      </c>
      <c r="Z219">
        <v>67.966103000000004</v>
      </c>
      <c r="AA219">
        <v>92.897559999999999</v>
      </c>
      <c r="AB219">
        <v>0.268376</v>
      </c>
      <c r="AC219">
        <v>0.5</v>
      </c>
      <c r="AD219">
        <v>0.8</v>
      </c>
      <c r="AE219">
        <v>53.634956000000003</v>
      </c>
      <c r="AF219">
        <v>47.72</v>
      </c>
      <c r="AG219">
        <v>47.66</v>
      </c>
      <c r="AH219">
        <v>32.07</v>
      </c>
      <c r="AI219">
        <v>33.85</v>
      </c>
      <c r="AJ219">
        <v>95.44</v>
      </c>
      <c r="AK219">
        <v>156.6</v>
      </c>
      <c r="AL219">
        <v>155.80000000000001</v>
      </c>
      <c r="AM219">
        <v>0.5</v>
      </c>
      <c r="AN219">
        <v>500</v>
      </c>
      <c r="AO219">
        <v>3.9159999999999999</v>
      </c>
      <c r="AP219">
        <v>19</v>
      </c>
      <c r="AQ219">
        <v>-12</v>
      </c>
      <c r="AR219">
        <v>44</v>
      </c>
      <c r="AS219">
        <v>50.72</v>
      </c>
      <c r="AT219">
        <v>63.31</v>
      </c>
      <c r="AU219">
        <v>22.35</v>
      </c>
      <c r="AV219">
        <v>77.14</v>
      </c>
      <c r="AW219">
        <v>15.18</v>
      </c>
      <c r="AX219">
        <v>275.2</v>
      </c>
      <c r="AY219">
        <v>71.739999999999995</v>
      </c>
      <c r="AZ219" s="3">
        <v>0.72620370370370368</v>
      </c>
      <c r="BA219" s="1">
        <v>45149</v>
      </c>
      <c r="BB219">
        <v>38.493232999999996</v>
      </c>
      <c r="BC219">
        <v>-1.36205</v>
      </c>
      <c r="BD219">
        <v>575.90002400000003</v>
      </c>
      <c r="BE219">
        <v>11</v>
      </c>
      <c r="BF219">
        <v>0.83</v>
      </c>
      <c r="BG219" s="3">
        <v>0.51552083333333332</v>
      </c>
      <c r="BH219" s="1">
        <v>45149</v>
      </c>
      <c r="BI219">
        <v>0.01</v>
      </c>
      <c r="BJ219">
        <v>-1E-3</v>
      </c>
      <c r="BK219">
        <v>-2E-3</v>
      </c>
      <c r="BL219">
        <v>-9999</v>
      </c>
      <c r="BM219">
        <v>-0.65400000000000003</v>
      </c>
      <c r="BN219">
        <v>-2.2839999999999998</v>
      </c>
      <c r="BO219">
        <v>-9999</v>
      </c>
      <c r="BP219">
        <v>1</v>
      </c>
      <c r="BQ219">
        <v>150</v>
      </c>
      <c r="BR219">
        <v>5.0000000000000001E-3</v>
      </c>
      <c r="BS219">
        <v>2</v>
      </c>
      <c r="BT219">
        <v>0</v>
      </c>
      <c r="BU219" t="s">
        <v>200</v>
      </c>
      <c r="BV219">
        <v>7000</v>
      </c>
      <c r="BW219">
        <v>500</v>
      </c>
      <c r="BX219">
        <v>5</v>
      </c>
      <c r="BY219">
        <v>2</v>
      </c>
      <c r="BZ219">
        <v>300</v>
      </c>
      <c r="CA219">
        <v>300</v>
      </c>
      <c r="CB219">
        <v>300</v>
      </c>
      <c r="CC219">
        <v>90.169433999999995</v>
      </c>
      <c r="CD219">
        <v>25</v>
      </c>
      <c r="CE219">
        <v>-1.938035</v>
      </c>
      <c r="CF219">
        <v>89.514251999999999</v>
      </c>
      <c r="CG219">
        <v>90.132874000000001</v>
      </c>
      <c r="CH219">
        <v>-0.61862200000000001</v>
      </c>
      <c r="CI219">
        <v>2.5130129999999999</v>
      </c>
      <c r="CJ219">
        <v>2.5214449999999999</v>
      </c>
      <c r="CK219">
        <v>1.665543</v>
      </c>
      <c r="CL219">
        <v>0.94204200000000005</v>
      </c>
      <c r="CM219">
        <v>0.206175</v>
      </c>
      <c r="CN219">
        <v>2.2585999999999998E-2</v>
      </c>
      <c r="CO219">
        <v>0.130412</v>
      </c>
      <c r="CP219">
        <v>0.54869199999999996</v>
      </c>
      <c r="CQ219">
        <v>67.966103000000004</v>
      </c>
      <c r="CR219">
        <v>3.7399999999999998E-4</v>
      </c>
      <c r="CS219">
        <v>2.4333689999999999</v>
      </c>
      <c r="CT219">
        <v>-3.6000000000000001E-5</v>
      </c>
      <c r="CU219">
        <v>1</v>
      </c>
      <c r="CV219">
        <v>2.4396819999999999</v>
      </c>
      <c r="CW219">
        <v>1.1E-5</v>
      </c>
      <c r="CX219">
        <v>1</v>
      </c>
      <c r="CY219">
        <v>0.60025499999999998</v>
      </c>
      <c r="CZ219">
        <v>0.60245199999999999</v>
      </c>
      <c r="DA219">
        <v>0.106742</v>
      </c>
      <c r="DB219">
        <v>0</v>
      </c>
      <c r="DC219" t="s">
        <v>734</v>
      </c>
      <c r="DD219" t="s">
        <v>515</v>
      </c>
      <c r="DE219" t="s">
        <v>516</v>
      </c>
      <c r="DF219" t="s">
        <v>517</v>
      </c>
      <c r="DG219" t="s">
        <v>518</v>
      </c>
      <c r="DH219" t="s">
        <v>205</v>
      </c>
      <c r="DI219" t="s">
        <v>519</v>
      </c>
    </row>
    <row r="220" spans="1:113">
      <c r="A220">
        <v>29</v>
      </c>
      <c r="B220" s="3">
        <v>0.51949074074074075</v>
      </c>
      <c r="C220" s="1">
        <v>45149</v>
      </c>
      <c r="D220" t="s">
        <v>196</v>
      </c>
      <c r="E220" t="s">
        <v>197</v>
      </c>
      <c r="G220">
        <v>29</v>
      </c>
      <c r="J220">
        <v>9.9260000000000008E-3</v>
      </c>
      <c r="K220">
        <v>2.9216730000000002</v>
      </c>
      <c r="L220">
        <v>9.8919999999999998E-3</v>
      </c>
      <c r="M220">
        <v>0.34229399999999999</v>
      </c>
      <c r="N220">
        <v>2.3164069999999999</v>
      </c>
      <c r="O220">
        <v>2.30742</v>
      </c>
      <c r="P220">
        <v>5.4839849999999997</v>
      </c>
      <c r="Q220">
        <v>3.1675779999999998</v>
      </c>
      <c r="R220">
        <v>24.17672</v>
      </c>
      <c r="S220">
        <v>24.270883999999999</v>
      </c>
      <c r="T220">
        <v>57.460177999999999</v>
      </c>
      <c r="U220">
        <v>0.44178600000000001</v>
      </c>
      <c r="V220" t="s">
        <v>735</v>
      </c>
      <c r="W220">
        <v>0</v>
      </c>
      <c r="X220">
        <v>0</v>
      </c>
      <c r="Y220">
        <v>0</v>
      </c>
      <c r="Z220">
        <v>66.810248999999999</v>
      </c>
      <c r="AA220">
        <v>86.562950000000001</v>
      </c>
      <c r="AB220">
        <v>0.228189</v>
      </c>
      <c r="AC220">
        <v>0.5</v>
      </c>
      <c r="AD220">
        <v>0.8</v>
      </c>
      <c r="AE220">
        <v>58.020386000000002</v>
      </c>
      <c r="AF220">
        <v>48.19</v>
      </c>
      <c r="AG220">
        <v>48</v>
      </c>
      <c r="AH220">
        <v>32.119999999999997</v>
      </c>
      <c r="AI220">
        <v>34.47</v>
      </c>
      <c r="AJ220">
        <v>95.44</v>
      </c>
      <c r="AK220">
        <v>156.69999999999999</v>
      </c>
      <c r="AL220">
        <v>155.80000000000001</v>
      </c>
      <c r="AM220">
        <v>0.6</v>
      </c>
      <c r="AN220">
        <v>636</v>
      </c>
      <c r="AO220">
        <v>3.9159999999999999</v>
      </c>
      <c r="AP220">
        <v>21</v>
      </c>
      <c r="AQ220">
        <v>-14</v>
      </c>
      <c r="AR220">
        <v>43</v>
      </c>
      <c r="AS220">
        <v>48.11</v>
      </c>
      <c r="AT220">
        <v>66.77</v>
      </c>
      <c r="AU220">
        <v>25.06</v>
      </c>
      <c r="AV220">
        <v>77.83</v>
      </c>
      <c r="AW220">
        <v>15.18</v>
      </c>
      <c r="AX220">
        <v>275.2</v>
      </c>
      <c r="AY220">
        <v>71.739999999999995</v>
      </c>
      <c r="AZ220" s="3">
        <v>0.72631944444444441</v>
      </c>
      <c r="BA220" s="1">
        <v>45149</v>
      </c>
      <c r="BB220">
        <v>38.493209999999998</v>
      </c>
      <c r="BC220">
        <v>-1.3620399999999999</v>
      </c>
      <c r="BD220">
        <v>575.79998799999998</v>
      </c>
      <c r="BE220">
        <v>11</v>
      </c>
      <c r="BF220">
        <v>0.83</v>
      </c>
      <c r="BG220" s="3">
        <v>0.51552083333333332</v>
      </c>
      <c r="BH220" s="1">
        <v>45149</v>
      </c>
      <c r="BI220">
        <v>0.01</v>
      </c>
      <c r="BJ220">
        <v>1E-3</v>
      </c>
      <c r="BK220">
        <v>-2E-3</v>
      </c>
      <c r="BL220">
        <v>-9999</v>
      </c>
      <c r="BM220">
        <v>0.27600000000000002</v>
      </c>
      <c r="BN220">
        <v>0.41699999999999998</v>
      </c>
      <c r="BO220">
        <v>-9999</v>
      </c>
      <c r="BP220">
        <v>1</v>
      </c>
      <c r="BQ220">
        <v>150</v>
      </c>
      <c r="BR220">
        <v>5.0000000000000001E-3</v>
      </c>
      <c r="BS220">
        <v>2</v>
      </c>
      <c r="BT220">
        <v>0</v>
      </c>
      <c r="BU220" t="s">
        <v>200</v>
      </c>
      <c r="BV220">
        <v>7000</v>
      </c>
      <c r="BW220">
        <v>500</v>
      </c>
      <c r="BX220">
        <v>5</v>
      </c>
      <c r="BY220">
        <v>2</v>
      </c>
      <c r="BZ220">
        <v>300</v>
      </c>
      <c r="CA220">
        <v>300</v>
      </c>
      <c r="CB220">
        <v>300</v>
      </c>
      <c r="CC220">
        <v>84.612967999999995</v>
      </c>
      <c r="CD220">
        <v>25</v>
      </c>
      <c r="CE220">
        <v>-1.365683</v>
      </c>
      <c r="CF220">
        <v>84.384795999999994</v>
      </c>
      <c r="CG220">
        <v>84.614745999999997</v>
      </c>
      <c r="CH220">
        <v>-0.22994999999999999</v>
      </c>
      <c r="CI220">
        <v>2.5135079999999999</v>
      </c>
      <c r="CJ220">
        <v>2.5221300000000002</v>
      </c>
      <c r="CK220">
        <v>1.666353</v>
      </c>
      <c r="CL220">
        <v>0.94186899999999996</v>
      </c>
      <c r="CM220">
        <v>0.20579500000000001</v>
      </c>
      <c r="CN220">
        <v>2.9814E-2</v>
      </c>
      <c r="CO220">
        <v>0.13164400000000001</v>
      </c>
      <c r="CP220">
        <v>0.66902499999999998</v>
      </c>
      <c r="CQ220">
        <v>66.810248999999999</v>
      </c>
      <c r="CR220">
        <v>3.6499999999999998E-4</v>
      </c>
      <c r="CS220">
        <v>2.4333689999999999</v>
      </c>
      <c r="CT220">
        <v>-3.6000000000000001E-5</v>
      </c>
      <c r="CU220">
        <v>1</v>
      </c>
      <c r="CV220">
        <v>2.4396819999999999</v>
      </c>
      <c r="CW220">
        <v>1.1E-5</v>
      </c>
      <c r="CX220">
        <v>1</v>
      </c>
      <c r="CY220">
        <v>0.60025499999999998</v>
      </c>
      <c r="CZ220">
        <v>0.60245199999999999</v>
      </c>
      <c r="DA220">
        <v>0.106742</v>
      </c>
      <c r="DB220">
        <v>0</v>
      </c>
      <c r="DC220" t="s">
        <v>735</v>
      </c>
      <c r="DD220" t="s">
        <v>515</v>
      </c>
      <c r="DE220" t="s">
        <v>516</v>
      </c>
      <c r="DF220" t="s">
        <v>517</v>
      </c>
      <c r="DG220" t="s">
        <v>518</v>
      </c>
      <c r="DH220" t="s">
        <v>205</v>
      </c>
      <c r="DI220" t="s">
        <v>519</v>
      </c>
    </row>
    <row r="221" spans="1:113">
      <c r="A221">
        <v>30</v>
      </c>
      <c r="B221" s="3">
        <v>0.51961805555555551</v>
      </c>
      <c r="C221" s="1">
        <v>45149</v>
      </c>
      <c r="D221" t="s">
        <v>196</v>
      </c>
      <c r="E221" t="s">
        <v>197</v>
      </c>
      <c r="G221">
        <v>30</v>
      </c>
      <c r="J221">
        <v>6.9059999999999998E-3</v>
      </c>
      <c r="K221">
        <v>2.9199619999999999</v>
      </c>
      <c r="L221">
        <v>6.8890000000000002E-3</v>
      </c>
      <c r="M221">
        <v>0.23267699999999999</v>
      </c>
      <c r="N221">
        <v>2.3011339999999998</v>
      </c>
      <c r="O221">
        <v>2.2950149999999998</v>
      </c>
      <c r="P221">
        <v>5.3945939999999997</v>
      </c>
      <c r="Q221">
        <v>3.093461</v>
      </c>
      <c r="R221">
        <v>24.046053000000001</v>
      </c>
      <c r="S221">
        <v>24.110157000000001</v>
      </c>
      <c r="T221">
        <v>56.521931000000002</v>
      </c>
      <c r="U221">
        <v>0.44178600000000001</v>
      </c>
      <c r="V221" t="s">
        <v>736</v>
      </c>
      <c r="W221">
        <v>0</v>
      </c>
      <c r="X221">
        <v>0</v>
      </c>
      <c r="Y221">
        <v>0</v>
      </c>
      <c r="Z221">
        <v>69.655181999999996</v>
      </c>
      <c r="AA221">
        <v>100.317207</v>
      </c>
      <c r="AB221">
        <v>0.30565100000000001</v>
      </c>
      <c r="AC221">
        <v>0.5</v>
      </c>
      <c r="AD221">
        <v>0.8</v>
      </c>
      <c r="AE221">
        <v>42.086081999999998</v>
      </c>
      <c r="AF221">
        <v>47.72</v>
      </c>
      <c r="AG221">
        <v>47.6</v>
      </c>
      <c r="AH221">
        <v>32.17</v>
      </c>
      <c r="AI221">
        <v>34.17</v>
      </c>
      <c r="AJ221">
        <v>95.44</v>
      </c>
      <c r="AK221">
        <v>156.5</v>
      </c>
      <c r="AL221">
        <v>154.80000000000001</v>
      </c>
      <c r="AM221">
        <v>1.1000000000000001</v>
      </c>
      <c r="AN221">
        <v>344</v>
      </c>
      <c r="AO221">
        <v>3.9159999999999999</v>
      </c>
      <c r="AP221">
        <v>19</v>
      </c>
      <c r="AQ221">
        <v>-8</v>
      </c>
      <c r="AR221">
        <v>50</v>
      </c>
      <c r="AS221">
        <v>53.14</v>
      </c>
      <c r="AT221">
        <v>59.99</v>
      </c>
      <c r="AU221">
        <v>20.56</v>
      </c>
      <c r="AV221">
        <v>73.349999999999994</v>
      </c>
      <c r="AW221">
        <v>15.18</v>
      </c>
      <c r="AX221">
        <v>275.35000000000002</v>
      </c>
      <c r="AY221">
        <v>71.94</v>
      </c>
      <c r="AZ221" s="3">
        <v>0.72642361111111109</v>
      </c>
      <c r="BA221" s="1">
        <v>45149</v>
      </c>
      <c r="BB221">
        <v>38.493332000000002</v>
      </c>
      <c r="BC221">
        <v>-1.361958</v>
      </c>
      <c r="BD221">
        <v>574.79998799999998</v>
      </c>
      <c r="BE221">
        <v>12</v>
      </c>
      <c r="BF221">
        <v>0.83</v>
      </c>
      <c r="BG221" s="3">
        <v>0.51552083333333332</v>
      </c>
      <c r="BH221" s="1">
        <v>45149</v>
      </c>
      <c r="BI221">
        <v>0.01</v>
      </c>
      <c r="BJ221">
        <v>-1E-3</v>
      </c>
      <c r="BK221">
        <v>-2E-3</v>
      </c>
      <c r="BL221">
        <v>-9999</v>
      </c>
      <c r="BM221">
        <v>0.29599999999999999</v>
      </c>
      <c r="BN221">
        <v>0.877</v>
      </c>
      <c r="BO221">
        <v>-9999</v>
      </c>
      <c r="BP221">
        <v>1</v>
      </c>
      <c r="BQ221">
        <v>150</v>
      </c>
      <c r="BR221">
        <v>5.0000000000000001E-3</v>
      </c>
      <c r="BS221">
        <v>2</v>
      </c>
      <c r="BT221">
        <v>0</v>
      </c>
      <c r="BU221" t="s">
        <v>200</v>
      </c>
      <c r="BV221">
        <v>7000</v>
      </c>
      <c r="BW221">
        <v>500</v>
      </c>
      <c r="BX221">
        <v>5</v>
      </c>
      <c r="BY221">
        <v>2</v>
      </c>
      <c r="BZ221">
        <v>300</v>
      </c>
      <c r="CA221">
        <v>300</v>
      </c>
      <c r="CB221">
        <v>300</v>
      </c>
      <c r="CC221">
        <v>97.736832000000007</v>
      </c>
      <c r="CD221">
        <v>25</v>
      </c>
      <c r="CE221">
        <v>-1.7614339999999999</v>
      </c>
      <c r="CF221">
        <v>98.046181000000004</v>
      </c>
      <c r="CG221">
        <v>97.804451</v>
      </c>
      <c r="CH221">
        <v>0.24173</v>
      </c>
      <c r="CI221">
        <v>2.512896</v>
      </c>
      <c r="CJ221">
        <v>2.5214279999999998</v>
      </c>
      <c r="CK221">
        <v>1.6645509999999999</v>
      </c>
      <c r="CL221">
        <v>0.93929600000000002</v>
      </c>
      <c r="CM221">
        <v>0.205344</v>
      </c>
      <c r="CN221">
        <v>2.5402000000000001E-2</v>
      </c>
      <c r="CO221">
        <v>0.13300799999999999</v>
      </c>
      <c r="CP221">
        <v>0.41123799999999999</v>
      </c>
      <c r="CQ221">
        <v>69.655181999999996</v>
      </c>
      <c r="CR221">
        <v>3.6400000000000001E-4</v>
      </c>
      <c r="CS221">
        <v>2.4333689999999999</v>
      </c>
      <c r="CT221">
        <v>-3.6000000000000001E-5</v>
      </c>
      <c r="CU221">
        <v>1</v>
      </c>
      <c r="CV221">
        <v>2.4396819999999999</v>
      </c>
      <c r="CW221">
        <v>1.1E-5</v>
      </c>
      <c r="CX221">
        <v>1</v>
      </c>
      <c r="CY221">
        <v>0.60025499999999998</v>
      </c>
      <c r="CZ221">
        <v>0.60245199999999999</v>
      </c>
      <c r="DA221">
        <v>0.106742</v>
      </c>
      <c r="DB221">
        <v>0</v>
      </c>
      <c r="DC221" t="s">
        <v>736</v>
      </c>
      <c r="DD221" t="s">
        <v>515</v>
      </c>
      <c r="DE221" t="s">
        <v>516</v>
      </c>
      <c r="DF221" t="s">
        <v>517</v>
      </c>
      <c r="DG221" t="s">
        <v>518</v>
      </c>
      <c r="DH221" t="s">
        <v>205</v>
      </c>
      <c r="DI221" t="s">
        <v>519</v>
      </c>
    </row>
    <row r="222" spans="1:113">
      <c r="A222">
        <v>31</v>
      </c>
      <c r="B222" s="3">
        <v>0.51996527777777779</v>
      </c>
      <c r="C222" s="1">
        <v>45149</v>
      </c>
      <c r="D222" t="s">
        <v>196</v>
      </c>
      <c r="E222" t="s">
        <v>197</v>
      </c>
      <c r="G222">
        <v>31</v>
      </c>
      <c r="J222">
        <v>4.7878999999999998E-2</v>
      </c>
      <c r="K222">
        <v>2.9217680000000001</v>
      </c>
      <c r="L222">
        <v>4.7107000000000003E-2</v>
      </c>
      <c r="M222">
        <v>1.4011290000000001</v>
      </c>
      <c r="N222">
        <v>2.2601249999999999</v>
      </c>
      <c r="O222">
        <v>2.2233170000000002</v>
      </c>
      <c r="P222">
        <v>4.991168</v>
      </c>
      <c r="Q222">
        <v>2.7310430000000001</v>
      </c>
      <c r="R222">
        <v>23.294222000000001</v>
      </c>
      <c r="S222">
        <v>23.679864999999999</v>
      </c>
      <c r="T222">
        <v>52.293658999999998</v>
      </c>
      <c r="U222">
        <v>0.44178600000000001</v>
      </c>
      <c r="V222" t="s">
        <v>737</v>
      </c>
      <c r="W222">
        <v>0</v>
      </c>
      <c r="X222">
        <v>0</v>
      </c>
      <c r="Y222">
        <v>0</v>
      </c>
      <c r="Z222">
        <v>95.695137000000003</v>
      </c>
      <c r="AA222">
        <v>357.75503500000002</v>
      </c>
      <c r="AB222">
        <v>0.73251200000000005</v>
      </c>
      <c r="AC222">
        <v>0.5</v>
      </c>
      <c r="AD222">
        <v>0.8</v>
      </c>
      <c r="AE222">
        <v>32.379550999999999</v>
      </c>
      <c r="AF222">
        <v>46.53</v>
      </c>
      <c r="AG222">
        <v>45.77</v>
      </c>
      <c r="AH222">
        <v>32.299999999999997</v>
      </c>
      <c r="AI222">
        <v>32.78</v>
      </c>
      <c r="AJ222">
        <v>95.44</v>
      </c>
      <c r="AK222">
        <v>156.69999999999999</v>
      </c>
      <c r="AL222">
        <v>156</v>
      </c>
      <c r="AM222">
        <v>0.5</v>
      </c>
      <c r="AN222">
        <v>111</v>
      </c>
      <c r="AO222">
        <v>3.9159999999999999</v>
      </c>
      <c r="AP222">
        <v>9</v>
      </c>
      <c r="AQ222">
        <v>-3</v>
      </c>
      <c r="AR222">
        <v>109</v>
      </c>
      <c r="AS222">
        <v>64</v>
      </c>
      <c r="AT222">
        <v>43.84</v>
      </c>
      <c r="AU222">
        <v>9.48</v>
      </c>
      <c r="AV222">
        <v>127.52</v>
      </c>
      <c r="AW222">
        <v>15.18</v>
      </c>
      <c r="AX222">
        <v>275.35000000000002</v>
      </c>
      <c r="AY222">
        <v>71.94</v>
      </c>
      <c r="AZ222" s="3">
        <v>0.7267824074074074</v>
      </c>
      <c r="BA222" s="1">
        <v>45149</v>
      </c>
      <c r="BB222">
        <v>38.493335999999999</v>
      </c>
      <c r="BC222">
        <v>-1.3619570000000001</v>
      </c>
      <c r="BD222">
        <v>574.70001200000002</v>
      </c>
      <c r="BE222">
        <v>12</v>
      </c>
      <c r="BF222">
        <v>0.83</v>
      </c>
      <c r="BG222" s="3">
        <v>0.51552083333333332</v>
      </c>
      <c r="BH222" s="1">
        <v>45149</v>
      </c>
      <c r="BI222">
        <v>0.01</v>
      </c>
      <c r="BJ222">
        <v>0</v>
      </c>
      <c r="BK222">
        <v>0</v>
      </c>
      <c r="BL222">
        <v>-9999</v>
      </c>
      <c r="BM222">
        <v>0.19700000000000001</v>
      </c>
      <c r="BN222">
        <v>-0.46899999999999997</v>
      </c>
      <c r="BO222">
        <v>-9999</v>
      </c>
      <c r="BP222">
        <v>1</v>
      </c>
      <c r="BQ222">
        <v>150</v>
      </c>
      <c r="BR222">
        <v>5.0000000000000001E-3</v>
      </c>
      <c r="BS222">
        <v>2</v>
      </c>
      <c r="BT222">
        <v>0</v>
      </c>
      <c r="BU222" t="s">
        <v>200</v>
      </c>
      <c r="BV222">
        <v>7000</v>
      </c>
      <c r="BW222">
        <v>500</v>
      </c>
      <c r="BX222">
        <v>5</v>
      </c>
      <c r="BY222">
        <v>2</v>
      </c>
      <c r="BZ222">
        <v>300</v>
      </c>
      <c r="CA222">
        <v>300</v>
      </c>
      <c r="CB222">
        <v>300</v>
      </c>
      <c r="CC222">
        <v>347.97442599999999</v>
      </c>
      <c r="CD222">
        <v>25</v>
      </c>
      <c r="CE222">
        <v>-6.7693979999999998</v>
      </c>
      <c r="CF222">
        <v>349.99002100000001</v>
      </c>
      <c r="CG222">
        <v>348.098206</v>
      </c>
      <c r="CH222">
        <v>1.891815</v>
      </c>
      <c r="CI222">
        <v>2.5101800000000001</v>
      </c>
      <c r="CJ222">
        <v>2.519641</v>
      </c>
      <c r="CK222">
        <v>1.6664540000000001</v>
      </c>
      <c r="CL222">
        <v>0.94241600000000003</v>
      </c>
      <c r="CM222">
        <v>0.20430000000000001</v>
      </c>
      <c r="CN222">
        <v>6.496E-3</v>
      </c>
      <c r="CO222">
        <v>0.13692299999999999</v>
      </c>
      <c r="CP222">
        <v>0.20449400000000001</v>
      </c>
      <c r="CQ222">
        <v>95.695137000000003</v>
      </c>
      <c r="CR222">
        <v>3.7100000000000002E-4</v>
      </c>
      <c r="CS222">
        <v>2.4333689999999999</v>
      </c>
      <c r="CT222">
        <v>-3.6000000000000001E-5</v>
      </c>
      <c r="CU222">
        <v>1</v>
      </c>
      <c r="CV222">
        <v>2.4396819999999999</v>
      </c>
      <c r="CW222">
        <v>1.1E-5</v>
      </c>
      <c r="CX222">
        <v>1</v>
      </c>
      <c r="CY222">
        <v>0.60025499999999998</v>
      </c>
      <c r="CZ222">
        <v>0.60245199999999999</v>
      </c>
      <c r="DA222">
        <v>0.106742</v>
      </c>
      <c r="DB222">
        <v>0</v>
      </c>
      <c r="DC222" t="s">
        <v>737</v>
      </c>
      <c r="DD222" t="s">
        <v>515</v>
      </c>
      <c r="DE222" t="s">
        <v>516</v>
      </c>
      <c r="DF222" t="s">
        <v>517</v>
      </c>
      <c r="DG222" t="s">
        <v>518</v>
      </c>
      <c r="DH222" t="s">
        <v>205</v>
      </c>
      <c r="DI222" t="s">
        <v>519</v>
      </c>
    </row>
    <row r="223" spans="1:113">
      <c r="A223">
        <v>32</v>
      </c>
      <c r="B223" s="3">
        <v>0.52004629629629628</v>
      </c>
      <c r="C223" s="1">
        <v>45149</v>
      </c>
      <c r="D223" t="s">
        <v>196</v>
      </c>
      <c r="E223" t="s">
        <v>197</v>
      </c>
      <c r="G223">
        <v>32</v>
      </c>
      <c r="J223">
        <v>3.0074E-2</v>
      </c>
      <c r="K223">
        <v>2.9207169999999998</v>
      </c>
      <c r="L223">
        <v>2.9766999999999998E-2</v>
      </c>
      <c r="M223">
        <v>0.93028500000000003</v>
      </c>
      <c r="N223">
        <v>2.2508249999999999</v>
      </c>
      <c r="O223">
        <v>2.2263630000000001</v>
      </c>
      <c r="P223">
        <v>5.1185710000000002</v>
      </c>
      <c r="Q223">
        <v>2.8677459999999999</v>
      </c>
      <c r="R223">
        <v>23.325647</v>
      </c>
      <c r="S223">
        <v>23.581938000000001</v>
      </c>
      <c r="T223">
        <v>53.627364999999998</v>
      </c>
      <c r="U223">
        <v>0.44178600000000001</v>
      </c>
      <c r="V223" t="s">
        <v>738</v>
      </c>
      <c r="W223">
        <v>0</v>
      </c>
      <c r="X223">
        <v>0</v>
      </c>
      <c r="Y223">
        <v>0</v>
      </c>
      <c r="Z223">
        <v>96.125725000000003</v>
      </c>
      <c r="AA223">
        <v>319.102417</v>
      </c>
      <c r="AB223">
        <v>0.69876199999999999</v>
      </c>
      <c r="AC223">
        <v>0.5</v>
      </c>
      <c r="AD223">
        <v>0.8</v>
      </c>
      <c r="AE223">
        <v>33.020741000000001</v>
      </c>
      <c r="AF223">
        <v>46.25</v>
      </c>
      <c r="AG223">
        <v>45.75</v>
      </c>
      <c r="AH223">
        <v>32.33</v>
      </c>
      <c r="AI223">
        <v>33.229999999999997</v>
      </c>
      <c r="AJ223">
        <v>95.45</v>
      </c>
      <c r="AK223">
        <v>156.6</v>
      </c>
      <c r="AL223">
        <v>155.9</v>
      </c>
      <c r="AM223">
        <v>0.4</v>
      </c>
      <c r="AN223">
        <v>118</v>
      </c>
      <c r="AO223">
        <v>3.915</v>
      </c>
      <c r="AP223">
        <v>6</v>
      </c>
      <c r="AQ223">
        <v>1</v>
      </c>
      <c r="AR223">
        <v>106</v>
      </c>
      <c r="AS223">
        <v>65.86</v>
      </c>
      <c r="AT223">
        <v>40.9</v>
      </c>
      <c r="AU223">
        <v>6.08</v>
      </c>
      <c r="AV223">
        <v>96.52</v>
      </c>
      <c r="AW223">
        <v>15.18</v>
      </c>
      <c r="AX223">
        <v>275.35000000000002</v>
      </c>
      <c r="AY223">
        <v>71.94</v>
      </c>
      <c r="AZ223" s="3">
        <v>0.72687500000000005</v>
      </c>
      <c r="BA223" s="1">
        <v>45149</v>
      </c>
      <c r="BB223">
        <v>38.493335999999999</v>
      </c>
      <c r="BC223">
        <v>-1.361955</v>
      </c>
      <c r="BD223">
        <v>574.59997599999997</v>
      </c>
      <c r="BE223">
        <v>11</v>
      </c>
      <c r="BF223">
        <v>0.94</v>
      </c>
      <c r="BG223" s="3">
        <v>0.51552083333333332</v>
      </c>
      <c r="BH223" s="1">
        <v>45149</v>
      </c>
      <c r="BI223">
        <v>0.01</v>
      </c>
      <c r="BJ223">
        <v>0</v>
      </c>
      <c r="BK223">
        <v>1E-3</v>
      </c>
      <c r="BL223">
        <v>-9999</v>
      </c>
      <c r="BM223">
        <v>0.22700000000000001</v>
      </c>
      <c r="BN223">
        <v>0.81899999999999995</v>
      </c>
      <c r="BO223">
        <v>-9999</v>
      </c>
      <c r="BP223">
        <v>1</v>
      </c>
      <c r="BQ223">
        <v>150</v>
      </c>
      <c r="BR223">
        <v>5.0000000000000001E-3</v>
      </c>
      <c r="BS223">
        <v>2</v>
      </c>
      <c r="BT223">
        <v>0</v>
      </c>
      <c r="BU223" t="s">
        <v>200</v>
      </c>
      <c r="BV223">
        <v>7000</v>
      </c>
      <c r="BW223">
        <v>500</v>
      </c>
      <c r="BX223">
        <v>5</v>
      </c>
      <c r="BY223">
        <v>2</v>
      </c>
      <c r="BZ223">
        <v>300</v>
      </c>
      <c r="CA223">
        <v>300</v>
      </c>
      <c r="CB223">
        <v>300</v>
      </c>
      <c r="CC223">
        <v>319.102417</v>
      </c>
      <c r="CD223">
        <v>25</v>
      </c>
      <c r="CE223">
        <v>2.234505</v>
      </c>
      <c r="CF223">
        <v>323.90963699999998</v>
      </c>
      <c r="CG223">
        <v>322.29003899999998</v>
      </c>
      <c r="CH223">
        <v>1.6195980000000001</v>
      </c>
      <c r="CI223">
        <v>2.5101450000000001</v>
      </c>
      <c r="CJ223">
        <v>2.519228</v>
      </c>
      <c r="CK223">
        <v>1.665346</v>
      </c>
      <c r="CL223">
        <v>0.94218299999999999</v>
      </c>
      <c r="CM223">
        <v>0.204044</v>
      </c>
      <c r="CN223">
        <v>1.1660999999999999E-2</v>
      </c>
      <c r="CO223">
        <v>0.13778000000000001</v>
      </c>
      <c r="CP223">
        <v>0.21124399999999999</v>
      </c>
      <c r="CQ223">
        <v>96.125725000000003</v>
      </c>
      <c r="CR223">
        <v>3.7199999999999999E-4</v>
      </c>
      <c r="CS223">
        <v>2.4333689999999999</v>
      </c>
      <c r="CT223">
        <v>-3.6000000000000001E-5</v>
      </c>
      <c r="CU223">
        <v>1</v>
      </c>
      <c r="CV223">
        <v>2.4396819999999999</v>
      </c>
      <c r="CW223">
        <v>1.1E-5</v>
      </c>
      <c r="CX223">
        <v>1</v>
      </c>
      <c r="CY223">
        <v>0.60025499999999998</v>
      </c>
      <c r="CZ223">
        <v>0.60245199999999999</v>
      </c>
      <c r="DA223">
        <v>0.106742</v>
      </c>
      <c r="DB223">
        <v>0</v>
      </c>
      <c r="DC223" t="s">
        <v>738</v>
      </c>
      <c r="DD223" t="s">
        <v>515</v>
      </c>
      <c r="DE223" t="s">
        <v>516</v>
      </c>
      <c r="DF223" t="s">
        <v>517</v>
      </c>
      <c r="DG223" t="s">
        <v>518</v>
      </c>
      <c r="DH223" t="s">
        <v>205</v>
      </c>
      <c r="DI223" t="s">
        <v>519</v>
      </c>
    </row>
    <row r="224" spans="1:113">
      <c r="A224">
        <v>33</v>
      </c>
      <c r="B224" s="3">
        <v>0.52013888888888882</v>
      </c>
      <c r="C224" s="1">
        <v>45149</v>
      </c>
      <c r="D224" t="s">
        <v>196</v>
      </c>
      <c r="E224" t="s">
        <v>197</v>
      </c>
      <c r="G224">
        <v>33</v>
      </c>
      <c r="J224">
        <v>6.2503000000000003E-2</v>
      </c>
      <c r="K224">
        <v>2.9208020000000001</v>
      </c>
      <c r="L224">
        <v>6.1192999999999997E-2</v>
      </c>
      <c r="M224">
        <v>1.86374</v>
      </c>
      <c r="N224">
        <v>2.2690130000000002</v>
      </c>
      <c r="O224">
        <v>2.220021</v>
      </c>
      <c r="P224">
        <v>5.0642060000000004</v>
      </c>
      <c r="Q224">
        <v>2.7951920000000001</v>
      </c>
      <c r="R224">
        <v>23.260238999999999</v>
      </c>
      <c r="S224">
        <v>23.773554000000001</v>
      </c>
      <c r="T224">
        <v>53.060138999999999</v>
      </c>
      <c r="U224">
        <v>0.44178600000000001</v>
      </c>
      <c r="V224" t="s">
        <v>739</v>
      </c>
      <c r="W224">
        <v>0</v>
      </c>
      <c r="X224">
        <v>0</v>
      </c>
      <c r="Y224">
        <v>0</v>
      </c>
      <c r="Z224">
        <v>84.167006999999998</v>
      </c>
      <c r="AA224">
        <v>174.709396</v>
      </c>
      <c r="AB224">
        <v>0.51824599999999998</v>
      </c>
      <c r="AC224">
        <v>0.5</v>
      </c>
      <c r="AD224">
        <v>0.8</v>
      </c>
      <c r="AE224">
        <v>25.042641</v>
      </c>
      <c r="AF224">
        <v>46.54</v>
      </c>
      <c r="AG224">
        <v>45.54</v>
      </c>
      <c r="AH224">
        <v>32.369999999999997</v>
      </c>
      <c r="AI224">
        <v>33.04</v>
      </c>
      <c r="AJ224">
        <v>95.44</v>
      </c>
      <c r="AK224">
        <v>156.6</v>
      </c>
      <c r="AL224">
        <v>155.80000000000001</v>
      </c>
      <c r="AM224">
        <v>0.5</v>
      </c>
      <c r="AN224">
        <v>121</v>
      </c>
      <c r="AO224">
        <v>3.9140000000000001</v>
      </c>
      <c r="AP224">
        <v>8</v>
      </c>
      <c r="AQ224">
        <v>0</v>
      </c>
      <c r="AR224">
        <v>113</v>
      </c>
      <c r="AS224">
        <v>64.33</v>
      </c>
      <c r="AT224">
        <v>43.31</v>
      </c>
      <c r="AU224">
        <v>8</v>
      </c>
      <c r="AV224">
        <v>113</v>
      </c>
      <c r="AW224">
        <v>15.18</v>
      </c>
      <c r="AX224">
        <v>275.35000000000002</v>
      </c>
      <c r="AY224">
        <v>71.94</v>
      </c>
      <c r="AZ224" s="3">
        <v>0.72695601851851854</v>
      </c>
      <c r="BA224" s="1">
        <v>45149</v>
      </c>
      <c r="BB224">
        <v>38.493343000000003</v>
      </c>
      <c r="BC224">
        <v>-1.3619399999999999</v>
      </c>
      <c r="BD224">
        <v>574.70001200000002</v>
      </c>
      <c r="BE224">
        <v>12</v>
      </c>
      <c r="BF224">
        <v>0.83</v>
      </c>
      <c r="BG224" s="3">
        <v>0.51552083333333332</v>
      </c>
      <c r="BH224" s="1">
        <v>45149</v>
      </c>
      <c r="BI224">
        <v>0.01</v>
      </c>
      <c r="BJ224">
        <v>-1E-3</v>
      </c>
      <c r="BK224">
        <v>1E-3</v>
      </c>
      <c r="BL224">
        <v>-9999</v>
      </c>
      <c r="BM224">
        <v>0.186</v>
      </c>
      <c r="BN224">
        <v>0.45100000000000001</v>
      </c>
      <c r="BO224">
        <v>-9999</v>
      </c>
      <c r="BP224">
        <v>1</v>
      </c>
      <c r="BQ224">
        <v>150</v>
      </c>
      <c r="BR224">
        <v>5.0000000000000001E-3</v>
      </c>
      <c r="BS224">
        <v>2</v>
      </c>
      <c r="BT224">
        <v>0</v>
      </c>
      <c r="BU224" t="s">
        <v>200</v>
      </c>
      <c r="BV224">
        <v>7000</v>
      </c>
      <c r="BW224">
        <v>500</v>
      </c>
      <c r="BX224">
        <v>5</v>
      </c>
      <c r="BY224">
        <v>2</v>
      </c>
      <c r="BZ224">
        <v>300</v>
      </c>
      <c r="CA224">
        <v>300</v>
      </c>
      <c r="CB224">
        <v>300</v>
      </c>
      <c r="CC224">
        <v>170.68469200000001</v>
      </c>
      <c r="CD224">
        <v>25</v>
      </c>
      <c r="CE224">
        <v>-2.5602559999999999</v>
      </c>
      <c r="CF224">
        <v>171.72467</v>
      </c>
      <c r="CG224">
        <v>171.05708300000001</v>
      </c>
      <c r="CH224">
        <v>0.66758700000000004</v>
      </c>
      <c r="CI224">
        <v>2.5098259999999999</v>
      </c>
      <c r="CJ224">
        <v>2.5196540000000001</v>
      </c>
      <c r="CK224">
        <v>1.665435</v>
      </c>
      <c r="CL224">
        <v>0.94188799999999995</v>
      </c>
      <c r="CM224">
        <v>0.203791</v>
      </c>
      <c r="CN224">
        <v>8.9099999999999995E-3</v>
      </c>
      <c r="CO224">
        <v>0.13864299999999999</v>
      </c>
      <c r="CP224">
        <v>0.21360100000000001</v>
      </c>
      <c r="CQ224">
        <v>84.167006999999998</v>
      </c>
      <c r="CR224">
        <v>3.7100000000000002E-4</v>
      </c>
      <c r="CS224">
        <v>2.4333689999999999</v>
      </c>
      <c r="CT224">
        <v>-3.6000000000000001E-5</v>
      </c>
      <c r="CU224">
        <v>1</v>
      </c>
      <c r="CV224">
        <v>2.4396819999999999</v>
      </c>
      <c r="CW224">
        <v>1.1E-5</v>
      </c>
      <c r="CX224">
        <v>1</v>
      </c>
      <c r="CY224">
        <v>0.60025499999999998</v>
      </c>
      <c r="CZ224">
        <v>0.60245199999999999</v>
      </c>
      <c r="DA224">
        <v>0.106742</v>
      </c>
      <c r="DB224">
        <v>0</v>
      </c>
      <c r="DC224" t="s">
        <v>739</v>
      </c>
      <c r="DD224" t="s">
        <v>515</v>
      </c>
      <c r="DE224" t="s">
        <v>516</v>
      </c>
      <c r="DF224" t="s">
        <v>517</v>
      </c>
      <c r="DG224" t="s">
        <v>518</v>
      </c>
      <c r="DH224" t="s">
        <v>205</v>
      </c>
      <c r="DI224" t="s">
        <v>519</v>
      </c>
    </row>
    <row r="225" spans="1:113">
      <c r="A225">
        <v>34</v>
      </c>
      <c r="B225" s="3">
        <v>0.52027777777777773</v>
      </c>
      <c r="C225" s="1">
        <v>45149</v>
      </c>
      <c r="D225" t="s">
        <v>196</v>
      </c>
      <c r="E225" t="s">
        <v>197</v>
      </c>
      <c r="G225">
        <v>34</v>
      </c>
      <c r="J225">
        <v>4.3756000000000003E-2</v>
      </c>
      <c r="K225">
        <v>2.9205730000000001</v>
      </c>
      <c r="L225">
        <v>4.3110000000000002E-2</v>
      </c>
      <c r="M225">
        <v>1.397149</v>
      </c>
      <c r="N225">
        <v>2.254391</v>
      </c>
      <c r="O225">
        <v>2.217651</v>
      </c>
      <c r="P225">
        <v>5.2264179999999998</v>
      </c>
      <c r="Q225">
        <v>2.9720270000000002</v>
      </c>
      <c r="R225">
        <v>23.235164999999999</v>
      </c>
      <c r="S225">
        <v>23.620100000000001</v>
      </c>
      <c r="T225">
        <v>54.759143999999999</v>
      </c>
      <c r="U225">
        <v>0.44178600000000001</v>
      </c>
      <c r="V225" t="s">
        <v>740</v>
      </c>
      <c r="W225">
        <v>0</v>
      </c>
      <c r="X225">
        <v>0</v>
      </c>
      <c r="Y225">
        <v>0</v>
      </c>
      <c r="Z225">
        <v>133.438828</v>
      </c>
      <c r="AA225">
        <v>248.178482</v>
      </c>
      <c r="AB225">
        <v>0.46232699999999999</v>
      </c>
      <c r="AC225">
        <v>0.5</v>
      </c>
      <c r="AD225">
        <v>0.8</v>
      </c>
      <c r="AE225">
        <v>125.713852</v>
      </c>
      <c r="AF225">
        <v>46.11</v>
      </c>
      <c r="AG225">
        <v>45.36</v>
      </c>
      <c r="AH225">
        <v>32.42</v>
      </c>
      <c r="AI225">
        <v>33.61</v>
      </c>
      <c r="AJ225">
        <v>95.44</v>
      </c>
      <c r="AK225">
        <v>156.6</v>
      </c>
      <c r="AL225">
        <v>155.80000000000001</v>
      </c>
      <c r="AM225">
        <v>0.5</v>
      </c>
      <c r="AN225">
        <v>680</v>
      </c>
      <c r="AO225">
        <v>3.9140000000000001</v>
      </c>
      <c r="AP225">
        <v>17</v>
      </c>
      <c r="AQ225">
        <v>-1</v>
      </c>
      <c r="AR225">
        <v>30</v>
      </c>
      <c r="AS225">
        <v>64.92</v>
      </c>
      <c r="AT225">
        <v>42.39</v>
      </c>
      <c r="AU225">
        <v>17.03</v>
      </c>
      <c r="AV225">
        <v>33.42</v>
      </c>
      <c r="AW225">
        <v>15.18</v>
      </c>
      <c r="AX225">
        <v>275.5</v>
      </c>
      <c r="AY225">
        <v>72.13</v>
      </c>
      <c r="AZ225" s="3">
        <v>0.72709490740740745</v>
      </c>
      <c r="BA225" s="1">
        <v>45149</v>
      </c>
      <c r="BB225">
        <v>38.493343000000003</v>
      </c>
      <c r="BC225">
        <v>-1.3619319999999999</v>
      </c>
      <c r="BD225">
        <v>574.79998799999998</v>
      </c>
      <c r="BE225">
        <v>11</v>
      </c>
      <c r="BF225">
        <v>0.94</v>
      </c>
      <c r="BG225" s="3">
        <v>0.51552083333333332</v>
      </c>
      <c r="BH225" s="1">
        <v>45149</v>
      </c>
      <c r="BI225">
        <v>0.01</v>
      </c>
      <c r="BJ225">
        <v>0</v>
      </c>
      <c r="BK225">
        <v>1E-3</v>
      </c>
      <c r="BL225">
        <v>-9999</v>
      </c>
      <c r="BM225">
        <v>-1.5229999999999999</v>
      </c>
      <c r="BN225">
        <v>3.423</v>
      </c>
      <c r="BO225">
        <v>-9999</v>
      </c>
      <c r="BP225">
        <v>1</v>
      </c>
      <c r="BQ225">
        <v>150</v>
      </c>
      <c r="BR225">
        <v>5.0000000000000001E-3</v>
      </c>
      <c r="BS225">
        <v>2</v>
      </c>
      <c r="BT225">
        <v>0</v>
      </c>
      <c r="BU225" t="s">
        <v>200</v>
      </c>
      <c r="BV225">
        <v>7000</v>
      </c>
      <c r="BW225">
        <v>500</v>
      </c>
      <c r="BX225">
        <v>5</v>
      </c>
      <c r="BY225">
        <v>2</v>
      </c>
      <c r="BZ225">
        <v>300</v>
      </c>
      <c r="CA225">
        <v>300</v>
      </c>
      <c r="CB225">
        <v>300</v>
      </c>
      <c r="CC225">
        <v>228.89721700000001</v>
      </c>
      <c r="CD225">
        <v>25</v>
      </c>
      <c r="CE225">
        <v>-15.786111999999999</v>
      </c>
      <c r="CF225">
        <v>220.60060100000001</v>
      </c>
      <c r="CG225">
        <v>225.65893600000001</v>
      </c>
      <c r="CH225">
        <v>-5.0583340000000003</v>
      </c>
      <c r="CI225">
        <v>2.5095480000000001</v>
      </c>
      <c r="CJ225">
        <v>2.519002</v>
      </c>
      <c r="CK225">
        <v>1.6651940000000001</v>
      </c>
      <c r="CL225">
        <v>0.94193800000000005</v>
      </c>
      <c r="CM225">
        <v>0.203378</v>
      </c>
      <c r="CN225">
        <v>1.5266E-2</v>
      </c>
      <c r="CO225">
        <v>0.14011399999999999</v>
      </c>
      <c r="CP225">
        <v>0.70805700000000005</v>
      </c>
      <c r="CQ225">
        <v>133.438828</v>
      </c>
      <c r="CR225">
        <v>3.68E-4</v>
      </c>
      <c r="CS225">
        <v>2.4333689999999999</v>
      </c>
      <c r="CT225">
        <v>-3.6000000000000001E-5</v>
      </c>
      <c r="CU225">
        <v>1</v>
      </c>
      <c r="CV225">
        <v>2.4396819999999999</v>
      </c>
      <c r="CW225">
        <v>1.1E-5</v>
      </c>
      <c r="CX225">
        <v>1</v>
      </c>
      <c r="CY225">
        <v>0.60025499999999998</v>
      </c>
      <c r="CZ225">
        <v>0.60245199999999999</v>
      </c>
      <c r="DA225">
        <v>0.106742</v>
      </c>
      <c r="DB225">
        <v>0</v>
      </c>
      <c r="DC225" t="s">
        <v>740</v>
      </c>
      <c r="DD225" t="s">
        <v>515</v>
      </c>
      <c r="DE225" t="s">
        <v>516</v>
      </c>
      <c r="DF225" t="s">
        <v>517</v>
      </c>
      <c r="DG225" t="s">
        <v>518</v>
      </c>
      <c r="DH225" t="s">
        <v>205</v>
      </c>
      <c r="DI225" t="s">
        <v>519</v>
      </c>
    </row>
    <row r="226" spans="1:113">
      <c r="A226">
        <v>35</v>
      </c>
      <c r="B226" s="3">
        <v>0.52037037037037037</v>
      </c>
      <c r="C226" s="1">
        <v>45149</v>
      </c>
      <c r="D226" t="s">
        <v>196</v>
      </c>
      <c r="E226" t="s">
        <v>197</v>
      </c>
      <c r="G226">
        <v>35</v>
      </c>
      <c r="J226">
        <v>4.4790000000000003E-2</v>
      </c>
      <c r="K226">
        <v>2.9207139999999998</v>
      </c>
      <c r="L226">
        <v>4.4114E-2</v>
      </c>
      <c r="M226">
        <v>1.410755</v>
      </c>
      <c r="N226">
        <v>2.2692869999999998</v>
      </c>
      <c r="O226">
        <v>2.232199</v>
      </c>
      <c r="P226">
        <v>5.202159</v>
      </c>
      <c r="Q226">
        <v>2.9328720000000001</v>
      </c>
      <c r="R226">
        <v>23.387284999999999</v>
      </c>
      <c r="S226">
        <v>23.775863999999999</v>
      </c>
      <c r="T226">
        <v>54.504264999999997</v>
      </c>
      <c r="U226">
        <v>0.44178600000000001</v>
      </c>
      <c r="V226" t="s">
        <v>741</v>
      </c>
      <c r="W226">
        <v>0</v>
      </c>
      <c r="X226">
        <v>0</v>
      </c>
      <c r="Y226">
        <v>0</v>
      </c>
      <c r="Z226">
        <v>120.347504</v>
      </c>
      <c r="AA226">
        <v>317.39807100000002</v>
      </c>
      <c r="AB226">
        <v>0.62083100000000002</v>
      </c>
      <c r="AC226">
        <v>0.5</v>
      </c>
      <c r="AD226">
        <v>0.8</v>
      </c>
      <c r="AE226">
        <v>181.23554999999999</v>
      </c>
      <c r="AF226">
        <v>46.32</v>
      </c>
      <c r="AG226">
        <v>45.56</v>
      </c>
      <c r="AH226">
        <v>32.46</v>
      </c>
      <c r="AI226">
        <v>33.520000000000003</v>
      </c>
      <c r="AJ226">
        <v>95.44</v>
      </c>
      <c r="AK226">
        <v>156.6</v>
      </c>
      <c r="AL226">
        <v>155.9</v>
      </c>
      <c r="AM226">
        <v>0.5</v>
      </c>
      <c r="AN226">
        <v>730</v>
      </c>
      <c r="AO226">
        <v>3.9140000000000001</v>
      </c>
      <c r="AP226">
        <v>14</v>
      </c>
      <c r="AQ226">
        <v>-3</v>
      </c>
      <c r="AR226">
        <v>34</v>
      </c>
      <c r="AS226">
        <v>63.2</v>
      </c>
      <c r="AT226">
        <v>45.08</v>
      </c>
      <c r="AU226">
        <v>14.31</v>
      </c>
      <c r="AV226">
        <v>46.22</v>
      </c>
      <c r="AW226">
        <v>15.18</v>
      </c>
      <c r="AX226">
        <v>275.5</v>
      </c>
      <c r="AY226">
        <v>72.13</v>
      </c>
      <c r="AZ226" s="3">
        <v>0.72718749999999999</v>
      </c>
      <c r="BA226" s="1">
        <v>45149</v>
      </c>
      <c r="BB226">
        <v>38.493350999999997</v>
      </c>
      <c r="BC226">
        <v>-1.3619270000000001</v>
      </c>
      <c r="BD226">
        <v>574.90002400000003</v>
      </c>
      <c r="BE226">
        <v>12</v>
      </c>
      <c r="BF226">
        <v>0.83</v>
      </c>
      <c r="BG226" s="3">
        <v>0.51552083333333332</v>
      </c>
      <c r="BH226" s="1">
        <v>45149</v>
      </c>
      <c r="BI226">
        <v>0.01</v>
      </c>
      <c r="BJ226">
        <v>1E-3</v>
      </c>
      <c r="BK226">
        <v>0</v>
      </c>
      <c r="BL226">
        <v>-9999</v>
      </c>
      <c r="BM226">
        <v>-0.90400000000000003</v>
      </c>
      <c r="BN226">
        <v>-4.867</v>
      </c>
      <c r="BO226">
        <v>-9999</v>
      </c>
      <c r="BP226">
        <v>1</v>
      </c>
      <c r="BQ226">
        <v>150</v>
      </c>
      <c r="BR226">
        <v>5.0000000000000001E-3</v>
      </c>
      <c r="BS226">
        <v>2</v>
      </c>
      <c r="BT226">
        <v>0</v>
      </c>
      <c r="BU226" t="s">
        <v>200</v>
      </c>
      <c r="BV226">
        <v>7000</v>
      </c>
      <c r="BW226">
        <v>500</v>
      </c>
      <c r="BX226">
        <v>5</v>
      </c>
      <c r="BY226">
        <v>2</v>
      </c>
      <c r="BZ226">
        <v>300</v>
      </c>
      <c r="CA226">
        <v>300</v>
      </c>
      <c r="CB226">
        <v>300</v>
      </c>
      <c r="CC226">
        <v>317.21090700000002</v>
      </c>
      <c r="CD226">
        <v>25</v>
      </c>
      <c r="CE226">
        <v>0.20130700000000001</v>
      </c>
      <c r="CF226">
        <v>322.12792999999999</v>
      </c>
      <c r="CG226">
        <v>317.68524200000002</v>
      </c>
      <c r="CH226">
        <v>4.4426880000000004</v>
      </c>
      <c r="CI226">
        <v>2.5098379999999998</v>
      </c>
      <c r="CJ226">
        <v>2.5193029999999998</v>
      </c>
      <c r="CK226">
        <v>1.6653420000000001</v>
      </c>
      <c r="CL226">
        <v>0.94210700000000003</v>
      </c>
      <c r="CM226">
        <v>0.20308100000000001</v>
      </c>
      <c r="CN226">
        <v>1.3768000000000001E-2</v>
      </c>
      <c r="CO226">
        <v>0.14105100000000001</v>
      </c>
      <c r="CP226">
        <v>0.752305</v>
      </c>
      <c r="CQ226">
        <v>120.347504</v>
      </c>
      <c r="CR226">
        <v>3.68E-4</v>
      </c>
      <c r="CS226">
        <v>2.4333689999999999</v>
      </c>
      <c r="CT226">
        <v>-3.6000000000000001E-5</v>
      </c>
      <c r="CU226">
        <v>1</v>
      </c>
      <c r="CV226">
        <v>2.4396819999999999</v>
      </c>
      <c r="CW226">
        <v>1.1E-5</v>
      </c>
      <c r="CX226">
        <v>1</v>
      </c>
      <c r="CY226">
        <v>0.60025499999999998</v>
      </c>
      <c r="CZ226">
        <v>0.60245199999999999</v>
      </c>
      <c r="DA226">
        <v>0.106742</v>
      </c>
      <c r="DB226">
        <v>0</v>
      </c>
      <c r="DC226" t="s">
        <v>741</v>
      </c>
      <c r="DD226" t="s">
        <v>515</v>
      </c>
      <c r="DE226" t="s">
        <v>516</v>
      </c>
      <c r="DF226" t="s">
        <v>517</v>
      </c>
      <c r="DG226" t="s">
        <v>518</v>
      </c>
      <c r="DH226" t="s">
        <v>205</v>
      </c>
      <c r="DI226" t="s">
        <v>519</v>
      </c>
    </row>
    <row r="227" spans="1:113">
      <c r="A227">
        <v>36</v>
      </c>
      <c r="B227" s="3">
        <v>0.52046296296296302</v>
      </c>
      <c r="C227" s="1">
        <v>45149</v>
      </c>
      <c r="D227" t="s">
        <v>196</v>
      </c>
      <c r="E227" t="s">
        <v>197</v>
      </c>
      <c r="G227">
        <v>36</v>
      </c>
      <c r="J227">
        <v>6.1112E-2</v>
      </c>
      <c r="K227">
        <v>2.9210090000000002</v>
      </c>
      <c r="L227">
        <v>5.9859999999999997E-2</v>
      </c>
      <c r="M227">
        <v>1.856514</v>
      </c>
      <c r="N227">
        <v>2.2677550000000002</v>
      </c>
      <c r="O227">
        <v>2.2189559999999999</v>
      </c>
      <c r="P227">
        <v>5.113632</v>
      </c>
      <c r="Q227">
        <v>2.8458770000000002</v>
      </c>
      <c r="R227">
        <v>23.247191999999998</v>
      </c>
      <c r="S227">
        <v>23.758441999999999</v>
      </c>
      <c r="T227">
        <v>53.573658000000002</v>
      </c>
      <c r="U227">
        <v>0.44178600000000001</v>
      </c>
      <c r="V227" t="s">
        <v>742</v>
      </c>
      <c r="W227">
        <v>0</v>
      </c>
      <c r="X227">
        <v>0</v>
      </c>
      <c r="Y227">
        <v>0</v>
      </c>
      <c r="Z227">
        <v>85.168716000000003</v>
      </c>
      <c r="AA227">
        <v>219.910156</v>
      </c>
      <c r="AB227">
        <v>0.61271100000000001</v>
      </c>
      <c r="AC227">
        <v>0.5</v>
      </c>
      <c r="AD227">
        <v>0.8</v>
      </c>
      <c r="AE227">
        <v>208.56350699999999</v>
      </c>
      <c r="AF227">
        <v>46.19</v>
      </c>
      <c r="AG227">
        <v>45.19</v>
      </c>
      <c r="AH227">
        <v>32.49</v>
      </c>
      <c r="AI227">
        <v>33.22</v>
      </c>
      <c r="AJ227">
        <v>95.45</v>
      </c>
      <c r="AK227">
        <v>156.6</v>
      </c>
      <c r="AL227">
        <v>156</v>
      </c>
      <c r="AM227">
        <v>0.4</v>
      </c>
      <c r="AN227">
        <v>851</v>
      </c>
      <c r="AO227">
        <v>3.9140000000000001</v>
      </c>
      <c r="AP227">
        <v>16</v>
      </c>
      <c r="AQ227">
        <v>-9</v>
      </c>
      <c r="AR227">
        <v>44</v>
      </c>
      <c r="AS227">
        <v>55.31</v>
      </c>
      <c r="AT227">
        <v>56.92</v>
      </c>
      <c r="AU227">
        <v>18.3</v>
      </c>
      <c r="AV227">
        <v>73.88</v>
      </c>
      <c r="AW227">
        <v>15.18</v>
      </c>
      <c r="AX227">
        <v>275.5</v>
      </c>
      <c r="AY227">
        <v>72.13</v>
      </c>
      <c r="AZ227" s="3">
        <v>0.72726851851851848</v>
      </c>
      <c r="BA227" s="1">
        <v>45149</v>
      </c>
      <c r="BB227">
        <v>38.493358999999998</v>
      </c>
      <c r="BC227">
        <v>-1.3619030000000001</v>
      </c>
      <c r="BD227">
        <v>574.59997599999997</v>
      </c>
      <c r="BE227">
        <v>12</v>
      </c>
      <c r="BF227">
        <v>0.83</v>
      </c>
      <c r="BG227" s="3">
        <v>0.51552083333333332</v>
      </c>
      <c r="BH227" s="1">
        <v>45149</v>
      </c>
      <c r="BI227">
        <v>0.01</v>
      </c>
      <c r="BJ227">
        <v>1E-3</v>
      </c>
      <c r="BK227">
        <v>1E-3</v>
      </c>
      <c r="BL227">
        <v>-9999</v>
      </c>
      <c r="BM227">
        <v>-0.39400000000000002</v>
      </c>
      <c r="BN227">
        <v>-1.9139999999999999</v>
      </c>
      <c r="BO227">
        <v>-9999</v>
      </c>
      <c r="BP227">
        <v>1</v>
      </c>
      <c r="BQ227">
        <v>150</v>
      </c>
      <c r="BR227">
        <v>5.0000000000000001E-3</v>
      </c>
      <c r="BS227">
        <v>2</v>
      </c>
      <c r="BT227">
        <v>0</v>
      </c>
      <c r="BU227" t="s">
        <v>200</v>
      </c>
      <c r="BV227">
        <v>7000</v>
      </c>
      <c r="BW227">
        <v>500</v>
      </c>
      <c r="BX227">
        <v>5</v>
      </c>
      <c r="BY227">
        <v>2</v>
      </c>
      <c r="BZ227">
        <v>300</v>
      </c>
      <c r="CA227">
        <v>300</v>
      </c>
      <c r="CB227">
        <v>300</v>
      </c>
      <c r="CC227">
        <v>206.806534</v>
      </c>
      <c r="CD227">
        <v>25</v>
      </c>
      <c r="CE227">
        <v>-8.9910929999999993</v>
      </c>
      <c r="CF227">
        <v>206.964966</v>
      </c>
      <c r="CG227">
        <v>207.08398399999999</v>
      </c>
      <c r="CH227">
        <v>-0.119019</v>
      </c>
      <c r="CI227">
        <v>2.5092919999999999</v>
      </c>
      <c r="CJ227">
        <v>2.5191089999999998</v>
      </c>
      <c r="CK227">
        <v>1.6656530000000001</v>
      </c>
      <c r="CL227">
        <v>0.94252599999999997</v>
      </c>
      <c r="CM227">
        <v>0.202787</v>
      </c>
      <c r="CN227">
        <v>9.502E-3</v>
      </c>
      <c r="CO227">
        <v>0.14205200000000001</v>
      </c>
      <c r="CP227">
        <v>0.85949200000000003</v>
      </c>
      <c r="CQ227">
        <v>85.168716000000003</v>
      </c>
      <c r="CR227">
        <v>3.7800000000000003E-4</v>
      </c>
      <c r="CS227">
        <v>2.4333689999999999</v>
      </c>
      <c r="CT227">
        <v>-3.6000000000000001E-5</v>
      </c>
      <c r="CU227">
        <v>1</v>
      </c>
      <c r="CV227">
        <v>2.4396819999999999</v>
      </c>
      <c r="CW227">
        <v>1.1E-5</v>
      </c>
      <c r="CX227">
        <v>1</v>
      </c>
      <c r="CY227">
        <v>0.60025499999999998</v>
      </c>
      <c r="CZ227">
        <v>0.60245199999999999</v>
      </c>
      <c r="DA227">
        <v>0.106742</v>
      </c>
      <c r="DB227">
        <v>0</v>
      </c>
      <c r="DC227" t="s">
        <v>742</v>
      </c>
      <c r="DD227" t="s">
        <v>515</v>
      </c>
      <c r="DE227" t="s">
        <v>516</v>
      </c>
      <c r="DF227" t="s">
        <v>517</v>
      </c>
      <c r="DG227" t="s">
        <v>518</v>
      </c>
      <c r="DH227" t="s">
        <v>205</v>
      </c>
      <c r="DI227" t="s">
        <v>519</v>
      </c>
    </row>
    <row r="228" spans="1:113">
      <c r="A228">
        <v>37</v>
      </c>
      <c r="B228" s="3">
        <v>0.52060185185185182</v>
      </c>
      <c r="C228" s="1">
        <v>45149</v>
      </c>
      <c r="D228" t="s">
        <v>196</v>
      </c>
      <c r="E228" t="s">
        <v>197</v>
      </c>
      <c r="G228">
        <v>37</v>
      </c>
      <c r="J228">
        <v>4.5698000000000003E-2</v>
      </c>
      <c r="K228">
        <v>2.920992</v>
      </c>
      <c r="L228">
        <v>4.4993999999999999E-2</v>
      </c>
      <c r="M228">
        <v>1.74125</v>
      </c>
      <c r="N228">
        <v>2.2761580000000001</v>
      </c>
      <c r="O228">
        <v>2.2303920000000002</v>
      </c>
      <c r="P228">
        <v>5.8134959999999998</v>
      </c>
      <c r="Q228">
        <v>3.537337</v>
      </c>
      <c r="R228">
        <v>23.366945000000001</v>
      </c>
      <c r="S228">
        <v>23.846416000000001</v>
      </c>
      <c r="T228">
        <v>60.905704</v>
      </c>
      <c r="U228">
        <v>0.44178600000000001</v>
      </c>
      <c r="V228" t="s">
        <v>743</v>
      </c>
      <c r="W228">
        <v>0</v>
      </c>
      <c r="X228">
        <v>0</v>
      </c>
      <c r="Y228">
        <v>0</v>
      </c>
      <c r="Z228">
        <v>79.670906000000002</v>
      </c>
      <c r="AA228">
        <v>123.930763</v>
      </c>
      <c r="AB228">
        <v>0.35713400000000001</v>
      </c>
      <c r="AC228">
        <v>0.5</v>
      </c>
      <c r="AD228">
        <v>0.8</v>
      </c>
      <c r="AE228">
        <v>129.15696700000001</v>
      </c>
      <c r="AF228">
        <v>46.21</v>
      </c>
      <c r="AG228">
        <v>45.28</v>
      </c>
      <c r="AH228">
        <v>32.549999999999997</v>
      </c>
      <c r="AI228">
        <v>35.520000000000003</v>
      </c>
      <c r="AJ228">
        <v>95.45</v>
      </c>
      <c r="AK228">
        <v>156.6</v>
      </c>
      <c r="AL228">
        <v>155.69999999999999</v>
      </c>
      <c r="AM228">
        <v>0.6</v>
      </c>
      <c r="AN228">
        <v>904</v>
      </c>
      <c r="AO228">
        <v>3.9140000000000001</v>
      </c>
      <c r="AP228">
        <v>20</v>
      </c>
      <c r="AQ228">
        <v>-13</v>
      </c>
      <c r="AR228">
        <v>35</v>
      </c>
      <c r="AS228">
        <v>51.43</v>
      </c>
      <c r="AT228">
        <v>62.35</v>
      </c>
      <c r="AU228">
        <v>23.71</v>
      </c>
      <c r="AV228">
        <v>69.02</v>
      </c>
      <c r="AW228">
        <v>15.18</v>
      </c>
      <c r="AX228">
        <v>275.5</v>
      </c>
      <c r="AY228">
        <v>72.13</v>
      </c>
      <c r="AZ228" s="3">
        <v>0.72741898148148154</v>
      </c>
      <c r="BA228" s="1">
        <v>45149</v>
      </c>
      <c r="BB228">
        <v>38.493378</v>
      </c>
      <c r="BC228">
        <v>-1.361912</v>
      </c>
      <c r="BD228">
        <v>574.70001200000002</v>
      </c>
      <c r="BE228">
        <v>11</v>
      </c>
      <c r="BF228">
        <v>0.83</v>
      </c>
      <c r="BG228" s="3">
        <v>0.51552083333333332</v>
      </c>
      <c r="BH228" s="1">
        <v>45149</v>
      </c>
      <c r="BI228">
        <v>0.01</v>
      </c>
      <c r="BJ228">
        <v>0</v>
      </c>
      <c r="BK228">
        <v>1E-3</v>
      </c>
      <c r="BL228">
        <v>-9999</v>
      </c>
      <c r="BM228">
        <v>0.45100000000000001</v>
      </c>
      <c r="BN228">
        <v>1.2150000000000001</v>
      </c>
      <c r="BO228">
        <v>-9999</v>
      </c>
      <c r="BP228">
        <v>1</v>
      </c>
      <c r="BQ228">
        <v>150</v>
      </c>
      <c r="BR228">
        <v>5.0000000000000001E-3</v>
      </c>
      <c r="BS228">
        <v>2</v>
      </c>
      <c r="BT228">
        <v>0</v>
      </c>
      <c r="BU228" t="s">
        <v>200</v>
      </c>
      <c r="BV228">
        <v>7000</v>
      </c>
      <c r="BW228">
        <v>500</v>
      </c>
      <c r="BX228">
        <v>5</v>
      </c>
      <c r="BY228">
        <v>2</v>
      </c>
      <c r="BZ228">
        <v>300</v>
      </c>
      <c r="CA228">
        <v>300</v>
      </c>
      <c r="CB228">
        <v>300</v>
      </c>
      <c r="CC228">
        <v>116.214394</v>
      </c>
      <c r="CD228">
        <v>25</v>
      </c>
      <c r="CE228">
        <v>-5.3547599999999997</v>
      </c>
      <c r="CF228">
        <v>115.70513200000001</v>
      </c>
      <c r="CG228">
        <v>116.291977</v>
      </c>
      <c r="CH228">
        <v>-0.58684499999999995</v>
      </c>
      <c r="CI228">
        <v>2.5094129999999999</v>
      </c>
      <c r="CJ228">
        <v>2.519136</v>
      </c>
      <c r="CK228">
        <v>1.6656359999999999</v>
      </c>
      <c r="CL228">
        <v>0.941751</v>
      </c>
      <c r="CM228">
        <v>0.20233999999999999</v>
      </c>
      <c r="CN228">
        <v>3.7842000000000001E-2</v>
      </c>
      <c r="CO228">
        <v>0.143511</v>
      </c>
      <c r="CP228">
        <v>0.90649400000000002</v>
      </c>
      <c r="CQ228">
        <v>79.670906000000002</v>
      </c>
      <c r="CR228">
        <v>3.7100000000000002E-4</v>
      </c>
      <c r="CS228">
        <v>2.4333689999999999</v>
      </c>
      <c r="CT228">
        <v>-3.6000000000000001E-5</v>
      </c>
      <c r="CU228">
        <v>1</v>
      </c>
      <c r="CV228">
        <v>2.4396819999999999</v>
      </c>
      <c r="CW228">
        <v>1.1E-5</v>
      </c>
      <c r="CX228">
        <v>1</v>
      </c>
      <c r="CY228">
        <v>0.60025499999999998</v>
      </c>
      <c r="CZ228">
        <v>0.60245199999999999</v>
      </c>
      <c r="DA228">
        <v>0.106742</v>
      </c>
      <c r="DB228">
        <v>0</v>
      </c>
      <c r="DC228" t="s">
        <v>743</v>
      </c>
      <c r="DD228" t="s">
        <v>515</v>
      </c>
      <c r="DE228" t="s">
        <v>516</v>
      </c>
      <c r="DF228" t="s">
        <v>517</v>
      </c>
      <c r="DG228" t="s">
        <v>518</v>
      </c>
      <c r="DH228" t="s">
        <v>205</v>
      </c>
      <c r="DI228" t="s">
        <v>519</v>
      </c>
    </row>
    <row r="229" spans="1:113">
      <c r="A229">
        <v>38</v>
      </c>
      <c r="B229" s="3">
        <v>0.52068287037037042</v>
      </c>
      <c r="C229" s="1">
        <v>45149</v>
      </c>
      <c r="D229" t="s">
        <v>196</v>
      </c>
      <c r="E229" t="s">
        <v>197</v>
      </c>
      <c r="G229">
        <v>38</v>
      </c>
      <c r="J229">
        <v>4.0673000000000001E-2</v>
      </c>
      <c r="K229">
        <v>2.9219780000000002</v>
      </c>
      <c r="L229">
        <v>4.0114999999999998E-2</v>
      </c>
      <c r="M229">
        <v>1.6100950000000001</v>
      </c>
      <c r="N229">
        <v>2.2740469999999999</v>
      </c>
      <c r="O229">
        <v>2.2317589999999998</v>
      </c>
      <c r="P229">
        <v>5.9404779999999997</v>
      </c>
      <c r="Q229">
        <v>3.6664300000000001</v>
      </c>
      <c r="R229">
        <v>23.380407000000002</v>
      </c>
      <c r="S229">
        <v>23.823429000000001</v>
      </c>
      <c r="T229">
        <v>62.233772000000002</v>
      </c>
      <c r="U229">
        <v>0.44178600000000001</v>
      </c>
      <c r="V229" t="s">
        <v>744</v>
      </c>
      <c r="W229">
        <v>0</v>
      </c>
      <c r="X229">
        <v>0</v>
      </c>
      <c r="Y229">
        <v>0</v>
      </c>
      <c r="Z229">
        <v>88.712813999999995</v>
      </c>
      <c r="AA229">
        <v>122.49803900000001</v>
      </c>
      <c r="AB229">
        <v>0.27580199999999999</v>
      </c>
      <c r="AC229">
        <v>0.5</v>
      </c>
      <c r="AD229">
        <v>0.8</v>
      </c>
      <c r="AE229">
        <v>99.193954000000005</v>
      </c>
      <c r="AF229">
        <v>46.07</v>
      </c>
      <c r="AG229">
        <v>45.21</v>
      </c>
      <c r="AH229">
        <v>32.590000000000003</v>
      </c>
      <c r="AI229">
        <v>35.909999999999997</v>
      </c>
      <c r="AJ229">
        <v>95.45</v>
      </c>
      <c r="AK229">
        <v>156.69999999999999</v>
      </c>
      <c r="AL229">
        <v>155.9</v>
      </c>
      <c r="AM229">
        <v>0.5</v>
      </c>
      <c r="AN229">
        <v>899</v>
      </c>
      <c r="AO229">
        <v>3.8879999999999999</v>
      </c>
      <c r="AP229">
        <v>21</v>
      </c>
      <c r="AQ229">
        <v>-13</v>
      </c>
      <c r="AR229">
        <v>31</v>
      </c>
      <c r="AS229">
        <v>52.02</v>
      </c>
      <c r="AT229">
        <v>61.54</v>
      </c>
      <c r="AU229">
        <v>24.54</v>
      </c>
      <c r="AV229">
        <v>63.79</v>
      </c>
      <c r="AW229">
        <v>15.18</v>
      </c>
      <c r="AX229">
        <v>275.5</v>
      </c>
      <c r="AY229">
        <v>72.13</v>
      </c>
      <c r="AZ229" s="3">
        <v>0.72751157407407396</v>
      </c>
      <c r="BA229" s="1">
        <v>45149</v>
      </c>
      <c r="BB229">
        <v>38.493374000000003</v>
      </c>
      <c r="BC229">
        <v>-1.3619049999999999</v>
      </c>
      <c r="BD229">
        <v>574.29998799999998</v>
      </c>
      <c r="BE229">
        <v>11</v>
      </c>
      <c r="BF229">
        <v>0.88</v>
      </c>
      <c r="BG229" s="3">
        <v>0.51552083333333332</v>
      </c>
      <c r="BH229" s="1">
        <v>45149</v>
      </c>
      <c r="BI229">
        <v>0.01</v>
      </c>
      <c r="BJ229">
        <v>0</v>
      </c>
      <c r="BK229">
        <v>0</v>
      </c>
      <c r="BL229">
        <v>-9999</v>
      </c>
      <c r="BM229">
        <v>0.39600000000000002</v>
      </c>
      <c r="BN229">
        <v>0.158</v>
      </c>
      <c r="BO229">
        <v>-9999</v>
      </c>
      <c r="BP229">
        <v>1</v>
      </c>
      <c r="BQ229">
        <v>150</v>
      </c>
      <c r="BR229">
        <v>5.0000000000000001E-3</v>
      </c>
      <c r="BS229">
        <v>2</v>
      </c>
      <c r="BT229">
        <v>0</v>
      </c>
      <c r="BU229" t="s">
        <v>200</v>
      </c>
      <c r="BV229">
        <v>7000</v>
      </c>
      <c r="BW229">
        <v>500</v>
      </c>
      <c r="BX229">
        <v>5</v>
      </c>
      <c r="BY229">
        <v>2</v>
      </c>
      <c r="BZ229">
        <v>300</v>
      </c>
      <c r="CA229">
        <v>300</v>
      </c>
      <c r="CB229">
        <v>300</v>
      </c>
      <c r="CC229">
        <v>119.771362</v>
      </c>
      <c r="CD229">
        <v>25</v>
      </c>
      <c r="CE229">
        <v>-1.8986890000000001</v>
      </c>
      <c r="CF229">
        <v>121.21367600000001</v>
      </c>
      <c r="CG229">
        <v>119.78948200000001</v>
      </c>
      <c r="CH229">
        <v>1.424194</v>
      </c>
      <c r="CI229">
        <v>2.5092949999999998</v>
      </c>
      <c r="CJ229">
        <v>2.518913</v>
      </c>
      <c r="CK229">
        <v>1.6666749999999999</v>
      </c>
      <c r="CL229">
        <v>0.94222399999999995</v>
      </c>
      <c r="CM229">
        <v>0.20202400000000001</v>
      </c>
      <c r="CN229">
        <v>4.2367000000000002E-2</v>
      </c>
      <c r="CO229">
        <v>0.144372</v>
      </c>
      <c r="CP229">
        <v>0.902088</v>
      </c>
      <c r="CQ229">
        <v>88.712813999999995</v>
      </c>
      <c r="CR229">
        <v>3.68E-4</v>
      </c>
      <c r="CS229">
        <v>2.4333689999999999</v>
      </c>
      <c r="CT229">
        <v>-3.6000000000000001E-5</v>
      </c>
      <c r="CU229">
        <v>1</v>
      </c>
      <c r="CV229">
        <v>2.4396819999999999</v>
      </c>
      <c r="CW229">
        <v>1.1E-5</v>
      </c>
      <c r="CX229">
        <v>1</v>
      </c>
      <c r="CY229">
        <v>0.60025499999999998</v>
      </c>
      <c r="CZ229">
        <v>0.60245199999999999</v>
      </c>
      <c r="DA229">
        <v>0.106742</v>
      </c>
      <c r="DB229">
        <v>0</v>
      </c>
      <c r="DC229" t="s">
        <v>744</v>
      </c>
      <c r="DD229" t="s">
        <v>515</v>
      </c>
      <c r="DE229" t="s">
        <v>516</v>
      </c>
      <c r="DF229" t="s">
        <v>517</v>
      </c>
      <c r="DG229" t="s">
        <v>518</v>
      </c>
      <c r="DH229" t="s">
        <v>205</v>
      </c>
      <c r="DI229" t="s">
        <v>519</v>
      </c>
    </row>
    <row r="230" spans="1:113">
      <c r="A230">
        <v>39</v>
      </c>
      <c r="B230" s="3">
        <v>0.52082175925925933</v>
      </c>
      <c r="C230" s="1">
        <v>45149</v>
      </c>
      <c r="D230" t="s">
        <v>196</v>
      </c>
      <c r="E230" t="s">
        <v>197</v>
      </c>
      <c r="G230">
        <v>39</v>
      </c>
      <c r="J230">
        <v>6.2890000000000001E-2</v>
      </c>
      <c r="K230">
        <v>2.9213689999999999</v>
      </c>
      <c r="L230">
        <v>6.1565000000000002E-2</v>
      </c>
      <c r="M230">
        <v>2.0947040000000001</v>
      </c>
      <c r="N230">
        <v>2.2679710000000002</v>
      </c>
      <c r="O230">
        <v>2.2129270000000001</v>
      </c>
      <c r="P230">
        <v>5.3854470000000001</v>
      </c>
      <c r="Q230">
        <v>3.1174750000000002</v>
      </c>
      <c r="R230">
        <v>23.183781</v>
      </c>
      <c r="S230">
        <v>23.760456000000001</v>
      </c>
      <c r="T230">
        <v>56.420765000000003</v>
      </c>
      <c r="U230">
        <v>0.44178600000000001</v>
      </c>
      <c r="V230" t="s">
        <v>745</v>
      </c>
      <c r="W230">
        <v>0</v>
      </c>
      <c r="X230">
        <v>0</v>
      </c>
      <c r="Y230">
        <v>0</v>
      </c>
      <c r="Z230">
        <v>204.101089</v>
      </c>
      <c r="AA230">
        <v>318.59814499999999</v>
      </c>
      <c r="AB230">
        <v>0.35937799999999998</v>
      </c>
      <c r="AC230">
        <v>0.5</v>
      </c>
      <c r="AD230">
        <v>0.8</v>
      </c>
      <c r="AE230">
        <v>95.232947999999993</v>
      </c>
      <c r="AF230">
        <v>45.78</v>
      </c>
      <c r="AG230">
        <v>44.66</v>
      </c>
      <c r="AH230">
        <v>32.65</v>
      </c>
      <c r="AI230">
        <v>34.14</v>
      </c>
      <c r="AJ230">
        <v>95.45</v>
      </c>
      <c r="AK230">
        <v>156.69999999999999</v>
      </c>
      <c r="AL230">
        <v>155.80000000000001</v>
      </c>
      <c r="AM230">
        <v>0.5</v>
      </c>
      <c r="AN230">
        <v>662</v>
      </c>
      <c r="AO230">
        <v>3.9129999999999998</v>
      </c>
      <c r="AP230">
        <v>22</v>
      </c>
      <c r="AQ230">
        <v>3</v>
      </c>
      <c r="AR230">
        <v>36</v>
      </c>
      <c r="AS230">
        <v>65.040000000000006</v>
      </c>
      <c r="AT230">
        <v>42.19</v>
      </c>
      <c r="AU230">
        <v>22.19</v>
      </c>
      <c r="AV230">
        <v>28.04</v>
      </c>
      <c r="AW230">
        <v>15.18</v>
      </c>
      <c r="AX230">
        <v>275.5</v>
      </c>
      <c r="AY230">
        <v>72.13</v>
      </c>
      <c r="AZ230" s="3">
        <v>0.72765046296296287</v>
      </c>
      <c r="BA230" s="1">
        <v>45149</v>
      </c>
      <c r="BB230">
        <v>38.493378</v>
      </c>
      <c r="BC230">
        <v>-1.3618980000000001</v>
      </c>
      <c r="BD230">
        <v>574.29998799999998</v>
      </c>
      <c r="BE230">
        <v>12</v>
      </c>
      <c r="BF230">
        <v>0.83</v>
      </c>
      <c r="BG230" s="3">
        <v>0.51552083333333332</v>
      </c>
      <c r="BH230" s="1">
        <v>45149</v>
      </c>
      <c r="BI230">
        <v>0.01</v>
      </c>
      <c r="BJ230">
        <v>0</v>
      </c>
      <c r="BK230">
        <v>1E-3</v>
      </c>
      <c r="BL230">
        <v>1E-3</v>
      </c>
      <c r="BM230">
        <v>-1.7</v>
      </c>
      <c r="BN230">
        <v>-2.613</v>
      </c>
      <c r="BO230">
        <v>-10.694000000000001</v>
      </c>
      <c r="BP230">
        <v>1</v>
      </c>
      <c r="BQ230">
        <v>150</v>
      </c>
      <c r="BR230">
        <v>5.0000000000000001E-3</v>
      </c>
      <c r="BS230">
        <v>2</v>
      </c>
      <c r="BT230">
        <v>0</v>
      </c>
      <c r="BU230" t="s">
        <v>200</v>
      </c>
      <c r="BV230">
        <v>7000</v>
      </c>
      <c r="BW230">
        <v>500</v>
      </c>
      <c r="BX230">
        <v>5</v>
      </c>
      <c r="BY230">
        <v>2</v>
      </c>
      <c r="BZ230">
        <v>300</v>
      </c>
      <c r="CA230">
        <v>300</v>
      </c>
      <c r="CB230">
        <v>300</v>
      </c>
      <c r="CC230">
        <v>318.59814499999999</v>
      </c>
      <c r="CD230">
        <v>25</v>
      </c>
      <c r="CE230">
        <v>0.52339800000000003</v>
      </c>
      <c r="CF230">
        <v>321.46383700000001</v>
      </c>
      <c r="CG230">
        <v>319.34478799999999</v>
      </c>
      <c r="CH230">
        <v>2.119049</v>
      </c>
      <c r="CI230">
        <v>2.5084770000000001</v>
      </c>
      <c r="CJ230">
        <v>2.518472</v>
      </c>
      <c r="CK230">
        <v>1.6660330000000001</v>
      </c>
      <c r="CL230">
        <v>0.94204500000000002</v>
      </c>
      <c r="CM230">
        <v>0.201512</v>
      </c>
      <c r="CN230">
        <v>1.9075000000000002E-2</v>
      </c>
      <c r="CO230">
        <v>0.145843</v>
      </c>
      <c r="CP230">
        <v>0.69275200000000003</v>
      </c>
      <c r="CQ230">
        <v>204.101089</v>
      </c>
      <c r="CR230">
        <v>3.6999999999999999E-4</v>
      </c>
      <c r="CS230">
        <v>2.4333689999999999</v>
      </c>
      <c r="CT230">
        <v>-3.6000000000000001E-5</v>
      </c>
      <c r="CU230">
        <v>1</v>
      </c>
      <c r="CV230">
        <v>2.4396819999999999</v>
      </c>
      <c r="CW230">
        <v>1.1E-5</v>
      </c>
      <c r="CX230">
        <v>1</v>
      </c>
      <c r="CY230">
        <v>0.60025499999999998</v>
      </c>
      <c r="CZ230">
        <v>0.60245199999999999</v>
      </c>
      <c r="DA230">
        <v>0.106742</v>
      </c>
      <c r="DB230">
        <v>0</v>
      </c>
      <c r="DC230" t="s">
        <v>745</v>
      </c>
      <c r="DD230" t="s">
        <v>515</v>
      </c>
      <c r="DE230" t="s">
        <v>516</v>
      </c>
      <c r="DF230" t="s">
        <v>517</v>
      </c>
      <c r="DG230" t="s">
        <v>518</v>
      </c>
      <c r="DH230" t="s">
        <v>205</v>
      </c>
      <c r="DI230" t="s">
        <v>519</v>
      </c>
    </row>
    <row r="231" spans="1:113">
      <c r="A231">
        <v>40</v>
      </c>
      <c r="B231" s="3">
        <v>0.52094907407407409</v>
      </c>
      <c r="C231" s="1">
        <v>45149</v>
      </c>
      <c r="D231" t="s">
        <v>196</v>
      </c>
      <c r="E231" t="s">
        <v>197</v>
      </c>
      <c r="G231">
        <v>40</v>
      </c>
      <c r="J231">
        <v>2.5863000000000001E-2</v>
      </c>
      <c r="K231">
        <v>2.9222769999999998</v>
      </c>
      <c r="L231">
        <v>2.5635999999999999E-2</v>
      </c>
      <c r="M231">
        <v>0.92870600000000003</v>
      </c>
      <c r="N231">
        <v>2.2434479999999999</v>
      </c>
      <c r="O231">
        <v>2.2190530000000002</v>
      </c>
      <c r="P231">
        <v>5.5600820000000004</v>
      </c>
      <c r="Q231">
        <v>3.3166340000000001</v>
      </c>
      <c r="R231">
        <v>23.247297</v>
      </c>
      <c r="S231">
        <v>23.502856999999999</v>
      </c>
      <c r="T231">
        <v>58.248660999999998</v>
      </c>
      <c r="U231">
        <v>0.44178600000000001</v>
      </c>
      <c r="V231" t="s">
        <v>746</v>
      </c>
      <c r="W231">
        <v>0</v>
      </c>
      <c r="X231">
        <v>0</v>
      </c>
      <c r="Y231">
        <v>0</v>
      </c>
      <c r="Z231">
        <v>72.420356999999996</v>
      </c>
      <c r="AA231">
        <v>130.29920999999999</v>
      </c>
      <c r="AB231">
        <v>0.44419999999999998</v>
      </c>
      <c r="AC231">
        <v>0.5</v>
      </c>
      <c r="AD231">
        <v>0.8</v>
      </c>
      <c r="AE231">
        <v>24.366322</v>
      </c>
      <c r="AF231">
        <v>45.16</v>
      </c>
      <c r="AG231">
        <v>44.67</v>
      </c>
      <c r="AH231">
        <v>32.700000000000003</v>
      </c>
      <c r="AI231">
        <v>34.72</v>
      </c>
      <c r="AJ231">
        <v>95.45</v>
      </c>
      <c r="AK231">
        <v>156.80000000000001</v>
      </c>
      <c r="AL231">
        <v>155.80000000000001</v>
      </c>
      <c r="AM231">
        <v>0.6</v>
      </c>
      <c r="AN231">
        <v>137</v>
      </c>
      <c r="AO231">
        <v>3.9129999999999998</v>
      </c>
      <c r="AP231">
        <v>31</v>
      </c>
      <c r="AQ231">
        <v>-1</v>
      </c>
      <c r="AR231">
        <v>81</v>
      </c>
      <c r="AS231">
        <v>42.13</v>
      </c>
      <c r="AT231">
        <v>74.16</v>
      </c>
      <c r="AU231">
        <v>31.01</v>
      </c>
      <c r="AV231">
        <v>82.94</v>
      </c>
      <c r="AW231">
        <v>15.18</v>
      </c>
      <c r="AX231">
        <v>275.5</v>
      </c>
      <c r="AY231">
        <v>72.13</v>
      </c>
      <c r="AZ231" s="3">
        <v>0.72776620370370371</v>
      </c>
      <c r="BA231" s="1">
        <v>45149</v>
      </c>
      <c r="BB231">
        <v>38.493385000000004</v>
      </c>
      <c r="BC231">
        <v>-1.3618950000000001</v>
      </c>
      <c r="BD231">
        <v>573.90002400000003</v>
      </c>
      <c r="BE231">
        <v>12</v>
      </c>
      <c r="BF231">
        <v>0.83</v>
      </c>
      <c r="BG231" s="3">
        <v>0.51552083333333332</v>
      </c>
      <c r="BH231" s="1">
        <v>45149</v>
      </c>
      <c r="BI231">
        <v>0.01</v>
      </c>
      <c r="BJ231">
        <v>0</v>
      </c>
      <c r="BK231">
        <v>0</v>
      </c>
      <c r="BL231">
        <v>-9999</v>
      </c>
      <c r="BM231">
        <v>0.90400000000000003</v>
      </c>
      <c r="BN231">
        <v>1.5</v>
      </c>
      <c r="BO231">
        <v>-9999</v>
      </c>
      <c r="BP231">
        <v>1</v>
      </c>
      <c r="BQ231">
        <v>150</v>
      </c>
      <c r="BR231">
        <v>5.0000000000000001E-3</v>
      </c>
      <c r="BS231">
        <v>2</v>
      </c>
      <c r="BT231">
        <v>0</v>
      </c>
      <c r="BU231" t="s">
        <v>200</v>
      </c>
      <c r="BV231">
        <v>7000</v>
      </c>
      <c r="BW231">
        <v>500</v>
      </c>
      <c r="BX231">
        <v>5</v>
      </c>
      <c r="BY231">
        <v>2</v>
      </c>
      <c r="BZ231">
        <v>300</v>
      </c>
      <c r="CA231">
        <v>300</v>
      </c>
      <c r="CB231">
        <v>300</v>
      </c>
      <c r="CC231">
        <v>125.680092</v>
      </c>
      <c r="CD231">
        <v>25</v>
      </c>
      <c r="CE231">
        <v>-3.1449609999999999</v>
      </c>
      <c r="CF231">
        <v>126.066681</v>
      </c>
      <c r="CG231">
        <v>125.81279000000001</v>
      </c>
      <c r="CH231">
        <v>0.25389099999999998</v>
      </c>
      <c r="CI231">
        <v>2.5084789999999999</v>
      </c>
      <c r="CJ231">
        <v>2.5175559999999999</v>
      </c>
      <c r="CK231">
        <v>1.6669909999999999</v>
      </c>
      <c r="CL231">
        <v>0.94203700000000001</v>
      </c>
      <c r="CM231">
        <v>0.20114799999999999</v>
      </c>
      <c r="CN231">
        <v>2.5732000000000001E-2</v>
      </c>
      <c r="CO231">
        <v>0.14711099999999999</v>
      </c>
      <c r="CP231">
        <v>0.228047</v>
      </c>
      <c r="CQ231">
        <v>72.420356999999996</v>
      </c>
      <c r="CR231">
        <v>3.7500000000000001E-4</v>
      </c>
      <c r="CS231">
        <v>2.4333689999999999</v>
      </c>
      <c r="CT231">
        <v>-3.6000000000000001E-5</v>
      </c>
      <c r="CU231">
        <v>1</v>
      </c>
      <c r="CV231">
        <v>2.4396819999999999</v>
      </c>
      <c r="CW231">
        <v>1.1E-5</v>
      </c>
      <c r="CX231">
        <v>1</v>
      </c>
      <c r="CY231">
        <v>0.60025499999999998</v>
      </c>
      <c r="CZ231">
        <v>0.60245199999999999</v>
      </c>
      <c r="DA231">
        <v>0.106742</v>
      </c>
      <c r="DB231">
        <v>0</v>
      </c>
      <c r="DC231" t="s">
        <v>746</v>
      </c>
      <c r="DD231" t="s">
        <v>515</v>
      </c>
      <c r="DE231" t="s">
        <v>516</v>
      </c>
      <c r="DF231" t="s">
        <v>517</v>
      </c>
      <c r="DG231" t="s">
        <v>518</v>
      </c>
      <c r="DH231" t="s">
        <v>205</v>
      </c>
      <c r="DI231" t="s">
        <v>519</v>
      </c>
    </row>
    <row r="232" spans="1:113">
      <c r="A232">
        <v>41</v>
      </c>
      <c r="B232" s="3">
        <v>0.52107638888888885</v>
      </c>
      <c r="C232" s="1">
        <v>45149</v>
      </c>
      <c r="D232" t="s">
        <v>196</v>
      </c>
      <c r="E232" t="s">
        <v>197</v>
      </c>
      <c r="G232">
        <v>41</v>
      </c>
      <c r="J232">
        <v>4.8313000000000002E-2</v>
      </c>
      <c r="K232">
        <v>2.920458</v>
      </c>
      <c r="L232">
        <v>4.7525999999999999E-2</v>
      </c>
      <c r="M232">
        <v>1.5056210000000001</v>
      </c>
      <c r="N232">
        <v>2.2646199999999999</v>
      </c>
      <c r="O232">
        <v>2.225025</v>
      </c>
      <c r="P232">
        <v>5.1707109999999998</v>
      </c>
      <c r="Q232">
        <v>2.906091</v>
      </c>
      <c r="R232">
        <v>23.310596</v>
      </c>
      <c r="S232">
        <v>23.72541</v>
      </c>
      <c r="T232">
        <v>54.171222999999998</v>
      </c>
      <c r="U232">
        <v>0.44178600000000001</v>
      </c>
      <c r="V232" t="s">
        <v>747</v>
      </c>
      <c r="W232">
        <v>0</v>
      </c>
      <c r="X232">
        <v>0</v>
      </c>
      <c r="Y232">
        <v>0</v>
      </c>
      <c r="Z232">
        <v>89.627983</v>
      </c>
      <c r="AA232">
        <v>227.83303799999999</v>
      </c>
      <c r="AB232">
        <v>0.60660700000000001</v>
      </c>
      <c r="AC232">
        <v>0.5</v>
      </c>
      <c r="AD232">
        <v>0.8</v>
      </c>
      <c r="AE232">
        <v>31.582356999999998</v>
      </c>
      <c r="AF232">
        <v>45.47</v>
      </c>
      <c r="AG232">
        <v>44.67</v>
      </c>
      <c r="AH232">
        <v>32.75</v>
      </c>
      <c r="AI232">
        <v>33.409999999999997</v>
      </c>
      <c r="AJ232">
        <v>95.45</v>
      </c>
      <c r="AK232">
        <v>156.5</v>
      </c>
      <c r="AL232">
        <v>155.9</v>
      </c>
      <c r="AM232">
        <v>0.4</v>
      </c>
      <c r="AN232">
        <v>130</v>
      </c>
      <c r="AO232">
        <v>3.9129999999999998</v>
      </c>
      <c r="AP232">
        <v>25</v>
      </c>
      <c r="AQ232">
        <v>-24</v>
      </c>
      <c r="AR232">
        <v>66</v>
      </c>
      <c r="AS232">
        <v>40.29</v>
      </c>
      <c r="AT232">
        <v>76.28</v>
      </c>
      <c r="AU232">
        <v>34.11</v>
      </c>
      <c r="AV232">
        <v>112.49</v>
      </c>
      <c r="AW232">
        <v>15.18</v>
      </c>
      <c r="AX232">
        <v>275.64999999999998</v>
      </c>
      <c r="AY232">
        <v>72.33</v>
      </c>
      <c r="AZ232" s="3">
        <v>0.72789351851851858</v>
      </c>
      <c r="BA232" s="1">
        <v>45149</v>
      </c>
      <c r="BB232">
        <v>38.493385000000004</v>
      </c>
      <c r="BC232">
        <v>-1.3618920000000001</v>
      </c>
      <c r="BD232">
        <v>574</v>
      </c>
      <c r="BE232">
        <v>12</v>
      </c>
      <c r="BF232">
        <v>0.83</v>
      </c>
      <c r="BG232" s="3">
        <v>0.51552083333333332</v>
      </c>
      <c r="BH232" s="1">
        <v>45149</v>
      </c>
      <c r="BI232">
        <v>0.01</v>
      </c>
      <c r="BJ232">
        <v>1E-3</v>
      </c>
      <c r="BK232">
        <v>0</v>
      </c>
      <c r="BL232">
        <v>-9999</v>
      </c>
      <c r="BM232">
        <v>0.38500000000000001</v>
      </c>
      <c r="BN232">
        <v>0.88400000000000001</v>
      </c>
      <c r="BO232">
        <v>-9999</v>
      </c>
      <c r="BP232">
        <v>1</v>
      </c>
      <c r="BQ232">
        <v>150</v>
      </c>
      <c r="BR232">
        <v>5.0000000000000001E-3</v>
      </c>
      <c r="BS232">
        <v>2</v>
      </c>
      <c r="BT232">
        <v>0</v>
      </c>
      <c r="BU232" t="s">
        <v>200</v>
      </c>
      <c r="BV232">
        <v>7000</v>
      </c>
      <c r="BW232">
        <v>500</v>
      </c>
      <c r="BX232">
        <v>5</v>
      </c>
      <c r="BY232">
        <v>2</v>
      </c>
      <c r="BZ232">
        <v>300</v>
      </c>
      <c r="CA232">
        <v>300</v>
      </c>
      <c r="CB232">
        <v>300</v>
      </c>
      <c r="CC232">
        <v>217.602249</v>
      </c>
      <c r="CD232">
        <v>25</v>
      </c>
      <c r="CE232">
        <v>-6.9011620000000002</v>
      </c>
      <c r="CF232">
        <v>219.13147000000001</v>
      </c>
      <c r="CG232">
        <v>217.988235</v>
      </c>
      <c r="CH232">
        <v>1.1432340000000001</v>
      </c>
      <c r="CI232">
        <v>2.5084749999999998</v>
      </c>
      <c r="CJ232">
        <v>2.518005</v>
      </c>
      <c r="CK232">
        <v>1.665073</v>
      </c>
      <c r="CL232">
        <v>0.94218000000000002</v>
      </c>
      <c r="CM232">
        <v>0.20078299999999999</v>
      </c>
      <c r="CN232">
        <v>8.8310000000000003E-3</v>
      </c>
      <c r="CO232">
        <v>0.14842</v>
      </c>
      <c r="CP232">
        <v>0.22187699999999999</v>
      </c>
      <c r="CQ232">
        <v>89.627983</v>
      </c>
      <c r="CR232">
        <v>3.79E-4</v>
      </c>
      <c r="CS232">
        <v>2.4333689999999999</v>
      </c>
      <c r="CT232">
        <v>-3.6000000000000001E-5</v>
      </c>
      <c r="CU232">
        <v>1</v>
      </c>
      <c r="CV232">
        <v>2.4396819999999999</v>
      </c>
      <c r="CW232">
        <v>1.1E-5</v>
      </c>
      <c r="CX232">
        <v>1</v>
      </c>
      <c r="CY232">
        <v>0.60025499999999998</v>
      </c>
      <c r="CZ232">
        <v>0.60245199999999999</v>
      </c>
      <c r="DA232">
        <v>0.106742</v>
      </c>
      <c r="DB232">
        <v>0</v>
      </c>
      <c r="DC232" t="s">
        <v>747</v>
      </c>
      <c r="DD232" t="s">
        <v>515</v>
      </c>
      <c r="DE232" t="s">
        <v>516</v>
      </c>
      <c r="DF232" t="s">
        <v>517</v>
      </c>
      <c r="DG232" t="s">
        <v>518</v>
      </c>
      <c r="DH232" t="s">
        <v>205</v>
      </c>
      <c r="DI232" t="s">
        <v>519</v>
      </c>
    </row>
    <row r="233" spans="1:113">
      <c r="A233">
        <v>42</v>
      </c>
      <c r="B233" s="3">
        <v>0.5211689814814815</v>
      </c>
      <c r="C233" s="1">
        <v>45149</v>
      </c>
      <c r="D233" t="s">
        <v>196</v>
      </c>
      <c r="E233" t="s">
        <v>197</v>
      </c>
      <c r="G233">
        <v>42</v>
      </c>
      <c r="J233">
        <v>7.6752000000000001E-2</v>
      </c>
      <c r="K233">
        <v>2.9202689999999998</v>
      </c>
      <c r="L233">
        <v>7.4787000000000006E-2</v>
      </c>
      <c r="M233">
        <v>2.2024050000000002</v>
      </c>
      <c r="N233">
        <v>2.2753800000000002</v>
      </c>
      <c r="O233">
        <v>2.2174589999999998</v>
      </c>
      <c r="P233">
        <v>4.9795280000000002</v>
      </c>
      <c r="Q233">
        <v>2.704148</v>
      </c>
      <c r="R233">
        <v>23.231209</v>
      </c>
      <c r="S233">
        <v>23.838014999999999</v>
      </c>
      <c r="T233">
        <v>52.168014999999997</v>
      </c>
      <c r="U233">
        <v>0.44178600000000001</v>
      </c>
      <c r="V233" t="s">
        <v>748</v>
      </c>
      <c r="W233">
        <v>0</v>
      </c>
      <c r="X233">
        <v>0</v>
      </c>
      <c r="Y233">
        <v>0</v>
      </c>
      <c r="Z233">
        <v>92.802643000000003</v>
      </c>
      <c r="AA233">
        <v>299.42160000000001</v>
      </c>
      <c r="AB233">
        <v>0.69006000000000001</v>
      </c>
      <c r="AC233">
        <v>0.5</v>
      </c>
      <c r="AD233">
        <v>0.8</v>
      </c>
      <c r="AE233">
        <v>35.759444999999999</v>
      </c>
      <c r="AF233">
        <v>45.6</v>
      </c>
      <c r="AG233">
        <v>44.44</v>
      </c>
      <c r="AH233">
        <v>32.78</v>
      </c>
      <c r="AI233">
        <v>32.74</v>
      </c>
      <c r="AJ233">
        <v>95.45</v>
      </c>
      <c r="AK233">
        <v>156.5</v>
      </c>
      <c r="AL233">
        <v>155.69999999999999</v>
      </c>
      <c r="AM233">
        <v>0.5</v>
      </c>
      <c r="AN233">
        <v>130</v>
      </c>
      <c r="AO233">
        <v>3.9119999999999999</v>
      </c>
      <c r="AP233">
        <v>29</v>
      </c>
      <c r="AQ233">
        <v>-12</v>
      </c>
      <c r="AR233">
        <v>76</v>
      </c>
      <c r="AS233">
        <v>41.25</v>
      </c>
      <c r="AT233">
        <v>75.19</v>
      </c>
      <c r="AU233">
        <v>31.18</v>
      </c>
      <c r="AV233">
        <v>99.67</v>
      </c>
      <c r="AW233">
        <v>15.18</v>
      </c>
      <c r="AX233">
        <v>275.64999999999998</v>
      </c>
      <c r="AY233">
        <v>72.33</v>
      </c>
      <c r="AZ233" s="3">
        <v>0.72796296296296292</v>
      </c>
      <c r="BA233" s="1">
        <v>45149</v>
      </c>
      <c r="BB233">
        <v>38.49342</v>
      </c>
      <c r="BC233">
        <v>-1.3619330000000001</v>
      </c>
      <c r="BD233">
        <v>573.59997599999997</v>
      </c>
      <c r="BE233">
        <v>11</v>
      </c>
      <c r="BF233">
        <v>0.92</v>
      </c>
      <c r="BG233" s="3">
        <v>0.51552083333333332</v>
      </c>
      <c r="BH233" s="1">
        <v>45149</v>
      </c>
      <c r="BI233">
        <v>0.01</v>
      </c>
      <c r="BJ233">
        <v>0</v>
      </c>
      <c r="BK233">
        <v>1E-3</v>
      </c>
      <c r="BL233">
        <v>-9999</v>
      </c>
      <c r="BM233">
        <v>0.25600000000000001</v>
      </c>
      <c r="BN233">
        <v>0.64900000000000002</v>
      </c>
      <c r="BO233">
        <v>-9999</v>
      </c>
      <c r="BP233">
        <v>1</v>
      </c>
      <c r="BQ233">
        <v>150</v>
      </c>
      <c r="BR233">
        <v>5.0000000000000001E-3</v>
      </c>
      <c r="BS233">
        <v>2</v>
      </c>
      <c r="BT233">
        <v>0</v>
      </c>
      <c r="BU233" t="s">
        <v>200</v>
      </c>
      <c r="BV233">
        <v>7000</v>
      </c>
      <c r="BW233">
        <v>500</v>
      </c>
      <c r="BX233">
        <v>5</v>
      </c>
      <c r="BY233">
        <v>2</v>
      </c>
      <c r="BZ233">
        <v>300</v>
      </c>
      <c r="CA233">
        <v>300</v>
      </c>
      <c r="CB233">
        <v>300</v>
      </c>
      <c r="CC233">
        <v>289.292328</v>
      </c>
      <c r="CD233">
        <v>25</v>
      </c>
      <c r="CE233">
        <v>-6.7602479999999998</v>
      </c>
      <c r="CF233">
        <v>291.83792099999999</v>
      </c>
      <c r="CG233">
        <v>289.77783199999999</v>
      </c>
      <c r="CH233">
        <v>2.0600890000000001</v>
      </c>
      <c r="CI233">
        <v>2.5081250000000002</v>
      </c>
      <c r="CJ233">
        <v>2.5181990000000001</v>
      </c>
      <c r="CK233">
        <v>1.664874</v>
      </c>
      <c r="CL233">
        <v>0.94176800000000005</v>
      </c>
      <c r="CM233">
        <v>0.20053099999999999</v>
      </c>
      <c r="CN233">
        <v>1.2300000000000001E-4</v>
      </c>
      <c r="CO233">
        <v>0.14946599999999999</v>
      </c>
      <c r="CP233">
        <v>0.22133900000000001</v>
      </c>
      <c r="CQ233">
        <v>92.802643000000003</v>
      </c>
      <c r="CR233">
        <v>3.7399999999999998E-4</v>
      </c>
      <c r="CS233">
        <v>2.4333689999999999</v>
      </c>
      <c r="CT233">
        <v>-3.6000000000000001E-5</v>
      </c>
      <c r="CU233">
        <v>1</v>
      </c>
      <c r="CV233">
        <v>2.4396819999999999</v>
      </c>
      <c r="CW233">
        <v>1.1E-5</v>
      </c>
      <c r="CX233">
        <v>1</v>
      </c>
      <c r="CY233">
        <v>0.60025499999999998</v>
      </c>
      <c r="CZ233">
        <v>0.60245199999999999</v>
      </c>
      <c r="DA233">
        <v>0.106742</v>
      </c>
      <c r="DB233">
        <v>0</v>
      </c>
      <c r="DC233" t="s">
        <v>748</v>
      </c>
      <c r="DD233" t="s">
        <v>515</v>
      </c>
      <c r="DE233" t="s">
        <v>516</v>
      </c>
      <c r="DF233" t="s">
        <v>517</v>
      </c>
      <c r="DG233" t="s">
        <v>518</v>
      </c>
      <c r="DH233" t="s">
        <v>205</v>
      </c>
      <c r="DI233" t="s">
        <v>519</v>
      </c>
    </row>
    <row r="234" spans="1:113">
      <c r="A234">
        <v>43</v>
      </c>
      <c r="B234" s="3">
        <v>0.52131944444444445</v>
      </c>
      <c r="C234" s="1">
        <v>45149</v>
      </c>
      <c r="D234" t="s">
        <v>196</v>
      </c>
      <c r="E234" t="s">
        <v>197</v>
      </c>
      <c r="G234">
        <v>43</v>
      </c>
      <c r="J234">
        <v>1.9179999999999999E-2</v>
      </c>
      <c r="K234">
        <v>2.9212470000000001</v>
      </c>
      <c r="L234">
        <v>1.9054999999999999E-2</v>
      </c>
      <c r="M234">
        <v>0.58329699999999995</v>
      </c>
      <c r="N234">
        <v>2.2483689999999998</v>
      </c>
      <c r="O234">
        <v>2.2330350000000001</v>
      </c>
      <c r="P234">
        <v>5.0585810000000002</v>
      </c>
      <c r="Q234">
        <v>2.8102119999999999</v>
      </c>
      <c r="R234">
        <v>23.393654000000002</v>
      </c>
      <c r="S234">
        <v>23.554285</v>
      </c>
      <c r="T234">
        <v>52.994540999999998</v>
      </c>
      <c r="U234">
        <v>0.44178600000000001</v>
      </c>
      <c r="V234" t="s">
        <v>749</v>
      </c>
      <c r="W234">
        <v>0</v>
      </c>
      <c r="X234">
        <v>0</v>
      </c>
      <c r="Y234">
        <v>0</v>
      </c>
      <c r="Z234">
        <v>103.974937</v>
      </c>
      <c r="AA234">
        <v>373.44003300000003</v>
      </c>
      <c r="AB234">
        <v>0.72157499999999997</v>
      </c>
      <c r="AC234">
        <v>0.5</v>
      </c>
      <c r="AD234">
        <v>0.8</v>
      </c>
      <c r="AE234">
        <v>25.165721999999999</v>
      </c>
      <c r="AF234">
        <v>44.94</v>
      </c>
      <c r="AG234">
        <v>44.63</v>
      </c>
      <c r="AH234">
        <v>32.83</v>
      </c>
      <c r="AI234">
        <v>33.020000000000003</v>
      </c>
      <c r="AJ234">
        <v>95.45</v>
      </c>
      <c r="AK234">
        <v>156.6</v>
      </c>
      <c r="AL234">
        <v>155.80000000000001</v>
      </c>
      <c r="AM234">
        <v>0.5</v>
      </c>
      <c r="AN234">
        <v>87</v>
      </c>
      <c r="AO234">
        <v>3.9119999999999999</v>
      </c>
      <c r="AP234">
        <v>27</v>
      </c>
      <c r="AQ234">
        <v>-26</v>
      </c>
      <c r="AR234">
        <v>278</v>
      </c>
      <c r="AS234">
        <v>97.36</v>
      </c>
      <c r="AT234">
        <v>-9999</v>
      </c>
      <c r="AU234">
        <v>36.79</v>
      </c>
      <c r="AV234">
        <v>-34.950000000000003</v>
      </c>
      <c r="AW234">
        <v>15.18</v>
      </c>
      <c r="AX234">
        <v>275.64999999999998</v>
      </c>
      <c r="AY234">
        <v>72.33</v>
      </c>
      <c r="AZ234" s="3">
        <v>0.72813657407407406</v>
      </c>
      <c r="BA234" s="1">
        <v>45149</v>
      </c>
      <c r="BB234">
        <v>38.493423</v>
      </c>
      <c r="BC234">
        <v>-1.3619349999999999</v>
      </c>
      <c r="BD234">
        <v>573.5</v>
      </c>
      <c r="BE234">
        <v>11</v>
      </c>
      <c r="BF234">
        <v>0.84</v>
      </c>
      <c r="BG234" s="3">
        <v>0.51552083333333332</v>
      </c>
      <c r="BH234" s="1">
        <v>45149</v>
      </c>
      <c r="BI234">
        <v>0.01</v>
      </c>
      <c r="BJ234">
        <v>0</v>
      </c>
      <c r="BK234">
        <v>0</v>
      </c>
      <c r="BL234">
        <v>-9999</v>
      </c>
      <c r="BM234">
        <v>0.13</v>
      </c>
      <c r="BN234">
        <v>0.16800000000000001</v>
      </c>
      <c r="BO234">
        <v>-9999</v>
      </c>
      <c r="BP234">
        <v>1</v>
      </c>
      <c r="BQ234">
        <v>150</v>
      </c>
      <c r="BR234">
        <v>5.0000000000000001E-3</v>
      </c>
      <c r="BS234">
        <v>2</v>
      </c>
      <c r="BT234">
        <v>0</v>
      </c>
      <c r="BU234" t="s">
        <v>200</v>
      </c>
      <c r="BV234">
        <v>7000</v>
      </c>
      <c r="BW234">
        <v>500</v>
      </c>
      <c r="BX234">
        <v>5</v>
      </c>
      <c r="BY234">
        <v>2</v>
      </c>
      <c r="BZ234">
        <v>300</v>
      </c>
      <c r="CA234">
        <v>300</v>
      </c>
      <c r="CB234">
        <v>300</v>
      </c>
      <c r="CC234">
        <v>373.44003300000003</v>
      </c>
      <c r="CD234">
        <v>25</v>
      </c>
      <c r="CE234">
        <v>4.1578999999999997</v>
      </c>
      <c r="CF234">
        <v>380.58364899999998</v>
      </c>
      <c r="CG234">
        <v>379.37146000000001</v>
      </c>
      <c r="CH234">
        <v>1.212189</v>
      </c>
      <c r="CI234">
        <v>2.5083980000000001</v>
      </c>
      <c r="CJ234">
        <v>2.5172059999999998</v>
      </c>
      <c r="CK234">
        <v>1.6659040000000001</v>
      </c>
      <c r="CL234">
        <v>0.94189599999999996</v>
      </c>
      <c r="CM234">
        <v>0.200151</v>
      </c>
      <c r="CN234">
        <v>2.9870000000000001E-3</v>
      </c>
      <c r="CO234">
        <v>0.151004</v>
      </c>
      <c r="CP234">
        <v>0.183867</v>
      </c>
      <c r="CQ234">
        <v>103.974937</v>
      </c>
      <c r="CR234">
        <v>3.7800000000000003E-4</v>
      </c>
      <c r="CS234">
        <v>2.4333689999999999</v>
      </c>
      <c r="CT234">
        <v>-3.6000000000000001E-5</v>
      </c>
      <c r="CU234">
        <v>1</v>
      </c>
      <c r="CV234">
        <v>2.4396819999999999</v>
      </c>
      <c r="CW234">
        <v>1.1E-5</v>
      </c>
      <c r="CX234">
        <v>1</v>
      </c>
      <c r="CY234">
        <v>0.60025499999999998</v>
      </c>
      <c r="CZ234">
        <v>0.60245199999999999</v>
      </c>
      <c r="DA234">
        <v>0.106742</v>
      </c>
      <c r="DB234">
        <v>0</v>
      </c>
      <c r="DC234" t="s">
        <v>749</v>
      </c>
      <c r="DD234" t="s">
        <v>515</v>
      </c>
      <c r="DE234" t="s">
        <v>516</v>
      </c>
      <c r="DF234" t="s">
        <v>517</v>
      </c>
      <c r="DG234" t="s">
        <v>518</v>
      </c>
      <c r="DH234" t="s">
        <v>205</v>
      </c>
      <c r="DI234" t="s">
        <v>519</v>
      </c>
    </row>
    <row r="235" spans="1:113">
      <c r="A235">
        <v>44</v>
      </c>
      <c r="B235" s="3">
        <v>0.52140046296296294</v>
      </c>
      <c r="C235" s="1">
        <v>45149</v>
      </c>
      <c r="D235" t="s">
        <v>196</v>
      </c>
      <c r="E235" t="s">
        <v>197</v>
      </c>
      <c r="G235">
        <v>44</v>
      </c>
      <c r="J235">
        <v>1.6822E-2</v>
      </c>
      <c r="K235">
        <v>2.922202</v>
      </c>
      <c r="L235">
        <v>1.6725E-2</v>
      </c>
      <c r="M235">
        <v>0.51134900000000005</v>
      </c>
      <c r="N235">
        <v>2.2514120000000002</v>
      </c>
      <c r="O235">
        <v>2.237981</v>
      </c>
      <c r="P235">
        <v>5.0579520000000002</v>
      </c>
      <c r="Q235">
        <v>2.80654</v>
      </c>
      <c r="R235">
        <v>23.446328999999999</v>
      </c>
      <c r="S235">
        <v>23.587036000000001</v>
      </c>
      <c r="T235">
        <v>52.989894999999997</v>
      </c>
      <c r="U235">
        <v>0.44178600000000001</v>
      </c>
      <c r="V235" t="s">
        <v>750</v>
      </c>
      <c r="W235">
        <v>0</v>
      </c>
      <c r="X235">
        <v>0</v>
      </c>
      <c r="Y235">
        <v>0</v>
      </c>
      <c r="Z235">
        <v>117.25473</v>
      </c>
      <c r="AA235">
        <v>325.753693</v>
      </c>
      <c r="AB235">
        <v>0.64005100000000004</v>
      </c>
      <c r="AC235">
        <v>0.5</v>
      </c>
      <c r="AD235">
        <v>0.8</v>
      </c>
      <c r="AE235">
        <v>24.303737999999999</v>
      </c>
      <c r="AF235">
        <v>44.94</v>
      </c>
      <c r="AG235">
        <v>44.67</v>
      </c>
      <c r="AH235">
        <v>32.85</v>
      </c>
      <c r="AI235">
        <v>33.020000000000003</v>
      </c>
      <c r="AJ235">
        <v>95.45</v>
      </c>
      <c r="AK235">
        <v>156.80000000000001</v>
      </c>
      <c r="AL235">
        <v>156</v>
      </c>
      <c r="AM235">
        <v>0.5</v>
      </c>
      <c r="AN235">
        <v>95</v>
      </c>
      <c r="AO235">
        <v>3.911</v>
      </c>
      <c r="AP235">
        <v>33</v>
      </c>
      <c r="AQ235">
        <v>-25</v>
      </c>
      <c r="AR235">
        <v>274</v>
      </c>
      <c r="AS235">
        <v>104.53</v>
      </c>
      <c r="AT235">
        <v>-9999</v>
      </c>
      <c r="AU235">
        <v>40.53</v>
      </c>
      <c r="AV235">
        <v>-45.43</v>
      </c>
      <c r="AW235">
        <v>15.18</v>
      </c>
      <c r="AX235">
        <v>275.64999999999998</v>
      </c>
      <c r="AY235">
        <v>72.33</v>
      </c>
      <c r="AZ235" s="3">
        <v>0.72821759259259267</v>
      </c>
      <c r="BA235" s="1">
        <v>45149</v>
      </c>
      <c r="BB235">
        <v>38.493423</v>
      </c>
      <c r="BC235">
        <v>-1.3619380000000001</v>
      </c>
      <c r="BD235">
        <v>573.59997599999997</v>
      </c>
      <c r="BE235">
        <v>12</v>
      </c>
      <c r="BF235">
        <v>0.83</v>
      </c>
      <c r="BG235" s="3">
        <v>0.51552083333333332</v>
      </c>
      <c r="BH235" s="1">
        <v>45149</v>
      </c>
      <c r="BI235">
        <v>0.01</v>
      </c>
      <c r="BJ235">
        <v>-1E-3</v>
      </c>
      <c r="BK235">
        <v>0</v>
      </c>
      <c r="BL235">
        <v>-9999</v>
      </c>
      <c r="BM235">
        <v>0.72599999999999998</v>
      </c>
      <c r="BN235">
        <v>2.9609999999999999</v>
      </c>
      <c r="BO235">
        <v>-9999</v>
      </c>
      <c r="BP235">
        <v>1</v>
      </c>
      <c r="BQ235">
        <v>150</v>
      </c>
      <c r="BR235">
        <v>5.0000000000000001E-3</v>
      </c>
      <c r="BS235">
        <v>2</v>
      </c>
      <c r="BT235">
        <v>0</v>
      </c>
      <c r="BU235" t="s">
        <v>200</v>
      </c>
      <c r="BV235">
        <v>7000</v>
      </c>
      <c r="BW235">
        <v>500</v>
      </c>
      <c r="BX235">
        <v>5</v>
      </c>
      <c r="BY235">
        <v>2</v>
      </c>
      <c r="BZ235">
        <v>300</v>
      </c>
      <c r="CA235">
        <v>300</v>
      </c>
      <c r="CB235">
        <v>300</v>
      </c>
      <c r="CC235">
        <v>324.57876599999997</v>
      </c>
      <c r="CD235">
        <v>25</v>
      </c>
      <c r="CE235">
        <v>-0.67346300000000003</v>
      </c>
      <c r="CF235">
        <v>325.48535199999998</v>
      </c>
      <c r="CG235">
        <v>324.79296900000003</v>
      </c>
      <c r="CH235">
        <v>0.69238299999999997</v>
      </c>
      <c r="CI235">
        <v>2.5084520000000001</v>
      </c>
      <c r="CJ235">
        <v>2.5172050000000001</v>
      </c>
      <c r="CK235">
        <v>1.666911</v>
      </c>
      <c r="CL235">
        <v>0.94235400000000002</v>
      </c>
      <c r="CM235">
        <v>0.19996800000000001</v>
      </c>
      <c r="CN235">
        <v>2.6700000000000001E-3</v>
      </c>
      <c r="CO235">
        <v>0.151698</v>
      </c>
      <c r="CP235">
        <v>0.19071299999999999</v>
      </c>
      <c r="CQ235">
        <v>117.25473</v>
      </c>
      <c r="CR235">
        <v>3.68E-4</v>
      </c>
      <c r="CS235">
        <v>2.4333689999999999</v>
      </c>
      <c r="CT235">
        <v>-3.6000000000000001E-5</v>
      </c>
      <c r="CU235">
        <v>1</v>
      </c>
      <c r="CV235">
        <v>2.4396819999999999</v>
      </c>
      <c r="CW235">
        <v>1.1E-5</v>
      </c>
      <c r="CX235">
        <v>1</v>
      </c>
      <c r="CY235">
        <v>0.60025499999999998</v>
      </c>
      <c r="CZ235">
        <v>0.60245199999999999</v>
      </c>
      <c r="DA235">
        <v>0.106742</v>
      </c>
      <c r="DB235">
        <v>0</v>
      </c>
      <c r="DC235" t="s">
        <v>750</v>
      </c>
      <c r="DD235" t="s">
        <v>515</v>
      </c>
      <c r="DE235" t="s">
        <v>516</v>
      </c>
      <c r="DF235" t="s">
        <v>517</v>
      </c>
      <c r="DG235" t="s">
        <v>518</v>
      </c>
      <c r="DH235" t="s">
        <v>205</v>
      </c>
      <c r="DI235" t="s">
        <v>519</v>
      </c>
    </row>
    <row r="236" spans="1:113">
      <c r="A236">
        <v>45</v>
      </c>
      <c r="B236" s="3">
        <v>0.52150462962962962</v>
      </c>
      <c r="C236" s="1">
        <v>45149</v>
      </c>
      <c r="D236" t="s">
        <v>196</v>
      </c>
      <c r="E236" t="s">
        <v>197</v>
      </c>
      <c r="G236">
        <v>45</v>
      </c>
      <c r="J236">
        <v>1.5502E-2</v>
      </c>
      <c r="K236">
        <v>2.9225859999999999</v>
      </c>
      <c r="L236">
        <v>1.542E-2</v>
      </c>
      <c r="M236">
        <v>0.47310799999999997</v>
      </c>
      <c r="N236">
        <v>2.2463190000000002</v>
      </c>
      <c r="O236">
        <v>2.2338960000000001</v>
      </c>
      <c r="P236">
        <v>5.0626280000000001</v>
      </c>
      <c r="Q236">
        <v>2.816309</v>
      </c>
      <c r="R236">
        <v>23.404015999999999</v>
      </c>
      <c r="S236">
        <v>23.53417</v>
      </c>
      <c r="T236">
        <v>53.039993000000003</v>
      </c>
      <c r="U236">
        <v>0.44178600000000001</v>
      </c>
      <c r="V236" t="s">
        <v>751</v>
      </c>
      <c r="W236">
        <v>0</v>
      </c>
      <c r="X236">
        <v>0</v>
      </c>
      <c r="Y236">
        <v>0</v>
      </c>
      <c r="Z236">
        <v>111.212608</v>
      </c>
      <c r="AA236">
        <v>397.375</v>
      </c>
      <c r="AB236">
        <v>0.72013199999999999</v>
      </c>
      <c r="AC236">
        <v>0.5</v>
      </c>
      <c r="AD236">
        <v>0.8</v>
      </c>
      <c r="AE236">
        <v>27.064330999999999</v>
      </c>
      <c r="AF236">
        <v>44.76</v>
      </c>
      <c r="AG236">
        <v>44.51</v>
      </c>
      <c r="AH236">
        <v>32.880000000000003</v>
      </c>
      <c r="AI236">
        <v>33.04</v>
      </c>
      <c r="AJ236">
        <v>95.45</v>
      </c>
      <c r="AK236">
        <v>156.80000000000001</v>
      </c>
      <c r="AL236">
        <v>155.9</v>
      </c>
      <c r="AM236">
        <v>0.6</v>
      </c>
      <c r="AN236">
        <v>94</v>
      </c>
      <c r="AO236">
        <v>3.9119999999999999</v>
      </c>
      <c r="AP236">
        <v>34</v>
      </c>
      <c r="AQ236">
        <v>-11</v>
      </c>
      <c r="AR236">
        <v>286</v>
      </c>
      <c r="AS236">
        <v>103.58</v>
      </c>
      <c r="AT236">
        <v>-9999</v>
      </c>
      <c r="AU236">
        <v>35.53</v>
      </c>
      <c r="AV236">
        <v>-54.83</v>
      </c>
      <c r="AW236">
        <v>15.18</v>
      </c>
      <c r="AX236">
        <v>275.64999999999998</v>
      </c>
      <c r="AY236">
        <v>72.33</v>
      </c>
      <c r="AZ236" s="3">
        <v>0.72832175925925924</v>
      </c>
      <c r="BA236" s="1">
        <v>45149</v>
      </c>
      <c r="BB236">
        <v>38.493431000000001</v>
      </c>
      <c r="BC236">
        <v>-1.361955</v>
      </c>
      <c r="BD236">
        <v>573.90002400000003</v>
      </c>
      <c r="BE236">
        <v>12</v>
      </c>
      <c r="BF236">
        <v>0.83</v>
      </c>
      <c r="BG236" s="3">
        <v>0.51552083333333332</v>
      </c>
      <c r="BH236" s="1">
        <v>45149</v>
      </c>
      <c r="BI236">
        <v>0.01</v>
      </c>
      <c r="BJ236">
        <v>-1E-3</v>
      </c>
      <c r="BK236">
        <v>1E-3</v>
      </c>
      <c r="BL236">
        <v>-9999</v>
      </c>
      <c r="BM236">
        <v>-0.188</v>
      </c>
      <c r="BN236">
        <v>-1.077</v>
      </c>
      <c r="BO236">
        <v>-9999</v>
      </c>
      <c r="BP236">
        <v>1</v>
      </c>
      <c r="BQ236">
        <v>150</v>
      </c>
      <c r="BR236">
        <v>5.0000000000000001E-3</v>
      </c>
      <c r="BS236">
        <v>2</v>
      </c>
      <c r="BT236">
        <v>0</v>
      </c>
      <c r="BU236" t="s">
        <v>200</v>
      </c>
      <c r="BV236">
        <v>7000</v>
      </c>
      <c r="BW236">
        <v>500</v>
      </c>
      <c r="BX236">
        <v>5</v>
      </c>
      <c r="BY236">
        <v>2</v>
      </c>
      <c r="BZ236">
        <v>300</v>
      </c>
      <c r="CA236">
        <v>300</v>
      </c>
      <c r="CB236">
        <v>300</v>
      </c>
      <c r="CC236">
        <v>397.375</v>
      </c>
      <c r="CD236">
        <v>25</v>
      </c>
      <c r="CE236">
        <v>2.818295</v>
      </c>
      <c r="CF236">
        <v>401.38543700000002</v>
      </c>
      <c r="CG236">
        <v>401.39541600000001</v>
      </c>
      <c r="CH236">
        <v>-9.979E-3</v>
      </c>
      <c r="CI236">
        <v>2.5082110000000002</v>
      </c>
      <c r="CJ236">
        <v>2.5169329999999999</v>
      </c>
      <c r="CK236">
        <v>1.6673169999999999</v>
      </c>
      <c r="CL236">
        <v>0.94213899999999995</v>
      </c>
      <c r="CM236">
        <v>0.19972599999999999</v>
      </c>
      <c r="CN236">
        <v>2.4910000000000002E-3</v>
      </c>
      <c r="CO236">
        <v>0.15270800000000001</v>
      </c>
      <c r="CP236">
        <v>0.18985199999999999</v>
      </c>
      <c r="CQ236">
        <v>111.212608</v>
      </c>
      <c r="CR236">
        <v>3.68E-4</v>
      </c>
      <c r="CS236">
        <v>2.4333689999999999</v>
      </c>
      <c r="CT236">
        <v>-3.6000000000000001E-5</v>
      </c>
      <c r="CU236">
        <v>1</v>
      </c>
      <c r="CV236">
        <v>2.4396819999999999</v>
      </c>
      <c r="CW236">
        <v>1.1E-5</v>
      </c>
      <c r="CX236">
        <v>1</v>
      </c>
      <c r="CY236">
        <v>0.60025499999999998</v>
      </c>
      <c r="CZ236">
        <v>0.60245199999999999</v>
      </c>
      <c r="DA236">
        <v>0.106742</v>
      </c>
      <c r="DB236">
        <v>0</v>
      </c>
      <c r="DC236" t="s">
        <v>751</v>
      </c>
      <c r="DD236" t="s">
        <v>515</v>
      </c>
      <c r="DE236" t="s">
        <v>516</v>
      </c>
      <c r="DF236" t="s">
        <v>517</v>
      </c>
      <c r="DG236" t="s">
        <v>518</v>
      </c>
      <c r="DH236" t="s">
        <v>205</v>
      </c>
      <c r="DI236" t="s">
        <v>519</v>
      </c>
    </row>
    <row r="237" spans="1:113">
      <c r="A237">
        <v>46</v>
      </c>
      <c r="B237" s="3">
        <v>0.5216898148148148</v>
      </c>
      <c r="C237" s="1">
        <v>45149</v>
      </c>
      <c r="D237" t="s">
        <v>196</v>
      </c>
      <c r="E237" t="s">
        <v>197</v>
      </c>
      <c r="G237">
        <v>46</v>
      </c>
      <c r="J237">
        <v>1.7735999999999998E-2</v>
      </c>
      <c r="K237">
        <v>2.921306</v>
      </c>
      <c r="L237">
        <v>1.7628999999999999E-2</v>
      </c>
      <c r="M237">
        <v>0.63845099999999999</v>
      </c>
      <c r="N237">
        <v>2.2688969999999999</v>
      </c>
      <c r="O237">
        <v>2.252119</v>
      </c>
      <c r="P237">
        <v>5.5834679999999999</v>
      </c>
      <c r="Q237">
        <v>3.3145720000000001</v>
      </c>
      <c r="R237">
        <v>23.594566</v>
      </c>
      <c r="S237">
        <v>23.770340000000001</v>
      </c>
      <c r="T237">
        <v>58.495804</v>
      </c>
      <c r="U237">
        <v>0.44178600000000001</v>
      </c>
      <c r="V237" t="s">
        <v>752</v>
      </c>
      <c r="W237">
        <v>0</v>
      </c>
      <c r="X237">
        <v>0</v>
      </c>
      <c r="Y237">
        <v>0</v>
      </c>
      <c r="Z237">
        <v>75.734497000000005</v>
      </c>
      <c r="AA237">
        <v>144.629807</v>
      </c>
      <c r="AB237">
        <v>0.476356</v>
      </c>
      <c r="AC237">
        <v>0.5</v>
      </c>
      <c r="AD237">
        <v>0.8</v>
      </c>
      <c r="AE237">
        <v>203.66871599999999</v>
      </c>
      <c r="AF237">
        <v>45.04</v>
      </c>
      <c r="AG237">
        <v>44.7</v>
      </c>
      <c r="AH237">
        <v>32.950000000000003</v>
      </c>
      <c r="AI237">
        <v>34.79</v>
      </c>
      <c r="AJ237">
        <v>95.45</v>
      </c>
      <c r="AK237">
        <v>156.69999999999999</v>
      </c>
      <c r="AL237">
        <v>155.80000000000001</v>
      </c>
      <c r="AM237">
        <v>0.6</v>
      </c>
      <c r="AN237">
        <v>1069</v>
      </c>
      <c r="AO237">
        <v>3.9119999999999999</v>
      </c>
      <c r="AP237">
        <v>37</v>
      </c>
      <c r="AQ237">
        <v>-6</v>
      </c>
      <c r="AR237">
        <v>115</v>
      </c>
      <c r="AS237">
        <v>41.85</v>
      </c>
      <c r="AT237">
        <v>74.489999999999995</v>
      </c>
      <c r="AU237">
        <v>37.409999999999997</v>
      </c>
      <c r="AV237">
        <v>124.91</v>
      </c>
      <c r="AW237">
        <v>15.18</v>
      </c>
      <c r="AX237">
        <v>275.8</v>
      </c>
      <c r="AY237">
        <v>72.52</v>
      </c>
      <c r="AZ237" s="3">
        <v>0.72851851851851857</v>
      </c>
      <c r="BA237" s="1">
        <v>45149</v>
      </c>
      <c r="BB237">
        <v>38.493445999999999</v>
      </c>
      <c r="BC237">
        <v>-1.361955</v>
      </c>
      <c r="BD237">
        <v>573.59997599999997</v>
      </c>
      <c r="BE237">
        <v>12</v>
      </c>
      <c r="BF237">
        <v>0.83</v>
      </c>
      <c r="BG237" s="3">
        <v>0.51552083333333332</v>
      </c>
      <c r="BH237" s="1">
        <v>45149</v>
      </c>
      <c r="BI237">
        <v>0.01</v>
      </c>
      <c r="BJ237">
        <v>0</v>
      </c>
      <c r="BK237">
        <v>-1E-3</v>
      </c>
      <c r="BL237">
        <v>-9999</v>
      </c>
      <c r="BM237">
        <v>0.307</v>
      </c>
      <c r="BN237">
        <v>0.65900000000000003</v>
      </c>
      <c r="BO237">
        <v>-9999</v>
      </c>
      <c r="BP237">
        <v>1</v>
      </c>
      <c r="BQ237">
        <v>150</v>
      </c>
      <c r="BR237">
        <v>5.0000000000000001E-3</v>
      </c>
      <c r="BS237">
        <v>2</v>
      </c>
      <c r="BT237">
        <v>0</v>
      </c>
      <c r="BU237" t="s">
        <v>200</v>
      </c>
      <c r="BV237">
        <v>7000</v>
      </c>
      <c r="BW237">
        <v>500</v>
      </c>
      <c r="BX237">
        <v>5</v>
      </c>
      <c r="BY237">
        <v>2</v>
      </c>
      <c r="BZ237">
        <v>300</v>
      </c>
      <c r="CA237">
        <v>300</v>
      </c>
      <c r="CB237">
        <v>300</v>
      </c>
      <c r="CC237">
        <v>140.874619</v>
      </c>
      <c r="CD237">
        <v>25</v>
      </c>
      <c r="CE237">
        <v>-2.4431319999999999</v>
      </c>
      <c r="CF237">
        <v>143.14054899999999</v>
      </c>
      <c r="CG237">
        <v>141.144577</v>
      </c>
      <c r="CH237">
        <v>1.9959720000000001</v>
      </c>
      <c r="CI237">
        <v>2.5084770000000001</v>
      </c>
      <c r="CJ237">
        <v>2.5173299999999998</v>
      </c>
      <c r="CK237">
        <v>1.6659660000000001</v>
      </c>
      <c r="CL237">
        <v>0.94188000000000005</v>
      </c>
      <c r="CM237">
        <v>0.199185</v>
      </c>
      <c r="CN237">
        <v>2.3578000000000002E-2</v>
      </c>
      <c r="CO237">
        <v>0.15471599999999999</v>
      </c>
      <c r="CP237">
        <v>1.052241</v>
      </c>
      <c r="CQ237">
        <v>75.734497000000005</v>
      </c>
      <c r="CR237">
        <v>3.7199999999999999E-4</v>
      </c>
      <c r="CS237">
        <v>2.4333689999999999</v>
      </c>
      <c r="CT237">
        <v>-3.6000000000000001E-5</v>
      </c>
      <c r="CU237">
        <v>1</v>
      </c>
      <c r="CV237">
        <v>2.4396819999999999</v>
      </c>
      <c r="CW237">
        <v>1.1E-5</v>
      </c>
      <c r="CX237">
        <v>1</v>
      </c>
      <c r="CY237">
        <v>0.60025499999999998</v>
      </c>
      <c r="CZ237">
        <v>0.60245199999999999</v>
      </c>
      <c r="DA237">
        <v>0.106742</v>
      </c>
      <c r="DB237">
        <v>0</v>
      </c>
      <c r="DC237" t="s">
        <v>752</v>
      </c>
      <c r="DD237" t="s">
        <v>515</v>
      </c>
      <c r="DE237" t="s">
        <v>516</v>
      </c>
      <c r="DF237" t="s">
        <v>517</v>
      </c>
      <c r="DG237" t="s">
        <v>518</v>
      </c>
      <c r="DH237" t="s">
        <v>205</v>
      </c>
      <c r="DI237" t="s">
        <v>519</v>
      </c>
    </row>
    <row r="238" spans="1:113">
      <c r="A238">
        <v>47</v>
      </c>
      <c r="B238" s="3">
        <v>0.52178240740740744</v>
      </c>
      <c r="C238" s="1">
        <v>45149</v>
      </c>
      <c r="D238" t="s">
        <v>196</v>
      </c>
      <c r="E238" t="s">
        <v>197</v>
      </c>
      <c r="G238">
        <v>47</v>
      </c>
      <c r="J238">
        <v>2.0021000000000001E-2</v>
      </c>
      <c r="K238">
        <v>2.9218069999999998</v>
      </c>
      <c r="L238">
        <v>1.9883999999999999E-2</v>
      </c>
      <c r="M238">
        <v>0.77556400000000003</v>
      </c>
      <c r="N238">
        <v>2.2704469999999999</v>
      </c>
      <c r="O238">
        <v>2.2500740000000001</v>
      </c>
      <c r="P238">
        <v>5.8353400000000004</v>
      </c>
      <c r="Q238">
        <v>3.5648930000000001</v>
      </c>
      <c r="R238">
        <v>23.572773000000002</v>
      </c>
      <c r="S238">
        <v>23.786207000000001</v>
      </c>
      <c r="T238">
        <v>61.133606</v>
      </c>
      <c r="U238">
        <v>0.44178600000000001</v>
      </c>
      <c r="V238" t="s">
        <v>753</v>
      </c>
      <c r="W238">
        <v>0</v>
      </c>
      <c r="X238">
        <v>0</v>
      </c>
      <c r="Y238">
        <v>0</v>
      </c>
      <c r="Z238">
        <v>81.177588999999998</v>
      </c>
      <c r="AA238">
        <v>116.64967300000001</v>
      </c>
      <c r="AB238">
        <v>0.304091</v>
      </c>
      <c r="AC238">
        <v>0.5</v>
      </c>
      <c r="AD238">
        <v>0.8</v>
      </c>
      <c r="AE238">
        <v>145.90042099999999</v>
      </c>
      <c r="AF238">
        <v>44.97</v>
      </c>
      <c r="AG238">
        <v>44.57</v>
      </c>
      <c r="AH238">
        <v>32.99</v>
      </c>
      <c r="AI238">
        <v>35.590000000000003</v>
      </c>
      <c r="AJ238">
        <v>95.45</v>
      </c>
      <c r="AK238">
        <v>156.69999999999999</v>
      </c>
      <c r="AL238">
        <v>155.80000000000001</v>
      </c>
      <c r="AM238">
        <v>0.6</v>
      </c>
      <c r="AN238">
        <v>1199</v>
      </c>
      <c r="AO238">
        <v>3.911</v>
      </c>
      <c r="AP238">
        <v>46</v>
      </c>
      <c r="AQ238">
        <v>1</v>
      </c>
      <c r="AR238">
        <v>114</v>
      </c>
      <c r="AS238">
        <v>30.06</v>
      </c>
      <c r="AT238">
        <v>86.55</v>
      </c>
      <c r="AU238">
        <v>46.01</v>
      </c>
      <c r="AV238">
        <v>112.61</v>
      </c>
      <c r="AW238">
        <v>15.18</v>
      </c>
      <c r="AX238">
        <v>275.8</v>
      </c>
      <c r="AY238">
        <v>72.52</v>
      </c>
      <c r="AZ238" s="3">
        <v>0.72861111111111121</v>
      </c>
      <c r="BA238" s="1">
        <v>45149</v>
      </c>
      <c r="BB238">
        <v>38.493445999999999</v>
      </c>
      <c r="BC238">
        <v>-1.3619730000000001</v>
      </c>
      <c r="BD238">
        <v>572.90002400000003</v>
      </c>
      <c r="BE238">
        <v>12</v>
      </c>
      <c r="BF238">
        <v>0.83</v>
      </c>
      <c r="BG238" s="3">
        <v>0.51552083333333332</v>
      </c>
      <c r="BH238" s="1">
        <v>45149</v>
      </c>
      <c r="BI238">
        <v>0.01</v>
      </c>
      <c r="BJ238">
        <v>0</v>
      </c>
      <c r="BK238">
        <v>0</v>
      </c>
      <c r="BL238">
        <v>-9999</v>
      </c>
      <c r="BM238">
        <v>0.28499999999999998</v>
      </c>
      <c r="BN238">
        <v>-2.141</v>
      </c>
      <c r="BO238">
        <v>-9999</v>
      </c>
      <c r="BP238">
        <v>1</v>
      </c>
      <c r="BQ238">
        <v>150</v>
      </c>
      <c r="BR238">
        <v>5.0000000000000001E-3</v>
      </c>
      <c r="BS238">
        <v>2</v>
      </c>
      <c r="BT238">
        <v>0</v>
      </c>
      <c r="BU238" t="s">
        <v>200</v>
      </c>
      <c r="BV238">
        <v>7000</v>
      </c>
      <c r="BW238">
        <v>500</v>
      </c>
      <c r="BX238">
        <v>5</v>
      </c>
      <c r="BY238">
        <v>2</v>
      </c>
      <c r="BZ238">
        <v>300</v>
      </c>
      <c r="CA238">
        <v>300</v>
      </c>
      <c r="CB238">
        <v>300</v>
      </c>
      <c r="CC238">
        <v>113.674522</v>
      </c>
      <c r="CD238">
        <v>25</v>
      </c>
      <c r="CE238">
        <v>-2.0075780000000001</v>
      </c>
      <c r="CF238">
        <v>113.448502</v>
      </c>
      <c r="CG238">
        <v>113.785782</v>
      </c>
      <c r="CH238">
        <v>-0.33728000000000002</v>
      </c>
      <c r="CI238">
        <v>2.5082749999999998</v>
      </c>
      <c r="CJ238">
        <v>2.5172349999999999</v>
      </c>
      <c r="CK238">
        <v>1.6664939999999999</v>
      </c>
      <c r="CL238">
        <v>0.94181400000000004</v>
      </c>
      <c r="CM238">
        <v>0.198903</v>
      </c>
      <c r="CN238">
        <v>3.3263000000000001E-2</v>
      </c>
      <c r="CO238">
        <v>0.15562400000000001</v>
      </c>
      <c r="CP238">
        <v>1.1677580000000001</v>
      </c>
      <c r="CQ238">
        <v>81.177588999999998</v>
      </c>
      <c r="CR238">
        <v>3.8400000000000001E-4</v>
      </c>
      <c r="CS238">
        <v>2.4333689999999999</v>
      </c>
      <c r="CT238">
        <v>-3.6000000000000001E-5</v>
      </c>
      <c r="CU238">
        <v>1</v>
      </c>
      <c r="CV238">
        <v>2.4396819999999999</v>
      </c>
      <c r="CW238">
        <v>1.1E-5</v>
      </c>
      <c r="CX238">
        <v>1</v>
      </c>
      <c r="CY238">
        <v>0.60025499999999998</v>
      </c>
      <c r="CZ238">
        <v>0.60245199999999999</v>
      </c>
      <c r="DA238">
        <v>0.106742</v>
      </c>
      <c r="DB238">
        <v>0</v>
      </c>
      <c r="DC238" t="s">
        <v>753</v>
      </c>
      <c r="DD238" t="s">
        <v>515</v>
      </c>
      <c r="DE238" t="s">
        <v>516</v>
      </c>
      <c r="DF238" t="s">
        <v>517</v>
      </c>
      <c r="DG238" t="s">
        <v>518</v>
      </c>
      <c r="DH238" t="s">
        <v>205</v>
      </c>
      <c r="DI238" t="s">
        <v>519</v>
      </c>
    </row>
    <row r="239" spans="1:113">
      <c r="A239">
        <v>48</v>
      </c>
      <c r="B239" s="3">
        <v>0.52188657407407402</v>
      </c>
      <c r="C239" s="1">
        <v>45149</v>
      </c>
      <c r="D239" t="s">
        <v>196</v>
      </c>
      <c r="E239" t="s">
        <v>197</v>
      </c>
      <c r="G239">
        <v>48</v>
      </c>
      <c r="J239">
        <v>2.3709999999999998E-2</v>
      </c>
      <c r="K239">
        <v>2.9203049999999999</v>
      </c>
      <c r="L239">
        <v>2.3519999999999999E-2</v>
      </c>
      <c r="M239">
        <v>0.93519300000000005</v>
      </c>
      <c r="N239">
        <v>2.2804509999999998</v>
      </c>
      <c r="O239">
        <v>2.2558590000000001</v>
      </c>
      <c r="P239">
        <v>5.9127549999999998</v>
      </c>
      <c r="Q239">
        <v>3.6323050000000001</v>
      </c>
      <c r="R239">
        <v>23.634743</v>
      </c>
      <c r="S239">
        <v>23.892385000000001</v>
      </c>
      <c r="T239">
        <v>61.948214999999998</v>
      </c>
      <c r="U239">
        <v>0.44178600000000001</v>
      </c>
      <c r="V239" t="s">
        <v>754</v>
      </c>
      <c r="W239">
        <v>0</v>
      </c>
      <c r="X239">
        <v>0</v>
      </c>
      <c r="Y239">
        <v>0</v>
      </c>
      <c r="Z239">
        <v>88.003990000000002</v>
      </c>
      <c r="AA239">
        <v>125.43704200000001</v>
      </c>
      <c r="AB239">
        <v>0.29842099999999999</v>
      </c>
      <c r="AC239">
        <v>0.5</v>
      </c>
      <c r="AD239">
        <v>0.8</v>
      </c>
      <c r="AE239">
        <v>145.23448200000001</v>
      </c>
      <c r="AF239">
        <v>45.07</v>
      </c>
      <c r="AG239">
        <v>44.58</v>
      </c>
      <c r="AH239">
        <v>33.03</v>
      </c>
      <c r="AI239">
        <v>35.83</v>
      </c>
      <c r="AJ239">
        <v>95.45</v>
      </c>
      <c r="AK239">
        <v>156.5</v>
      </c>
      <c r="AL239">
        <v>155.9</v>
      </c>
      <c r="AM239">
        <v>0.4</v>
      </c>
      <c r="AN239">
        <v>1217</v>
      </c>
      <c r="AO239">
        <v>3.91</v>
      </c>
      <c r="AP239">
        <v>47</v>
      </c>
      <c r="AQ239">
        <v>0</v>
      </c>
      <c r="AR239">
        <v>117</v>
      </c>
      <c r="AS239">
        <v>31.22</v>
      </c>
      <c r="AT239">
        <v>85.52</v>
      </c>
      <c r="AU239">
        <v>47</v>
      </c>
      <c r="AV239">
        <v>117</v>
      </c>
      <c r="AW239">
        <v>15.18</v>
      </c>
      <c r="AX239">
        <v>275.8</v>
      </c>
      <c r="AY239">
        <v>72.52</v>
      </c>
      <c r="AZ239" s="3">
        <v>0.72870370370370363</v>
      </c>
      <c r="BA239" s="1">
        <v>45149</v>
      </c>
      <c r="BB239">
        <v>38.493450000000003</v>
      </c>
      <c r="BC239">
        <v>-1.361988</v>
      </c>
      <c r="BD239">
        <v>573.09997599999997</v>
      </c>
      <c r="BE239">
        <v>12</v>
      </c>
      <c r="BF239">
        <v>0.83</v>
      </c>
      <c r="BG239" s="3">
        <v>0.51552083333333332</v>
      </c>
      <c r="BH239" s="1">
        <v>45149</v>
      </c>
      <c r="BI239">
        <v>0.01</v>
      </c>
      <c r="BJ239">
        <v>0</v>
      </c>
      <c r="BK239">
        <v>-1E-3</v>
      </c>
      <c r="BL239">
        <v>-9999</v>
      </c>
      <c r="BM239">
        <v>0.80900000000000005</v>
      </c>
      <c r="BN239">
        <v>1.7030000000000001</v>
      </c>
      <c r="BO239">
        <v>-9999</v>
      </c>
      <c r="BP239">
        <v>1</v>
      </c>
      <c r="BQ239">
        <v>150</v>
      </c>
      <c r="BR239">
        <v>5.0000000000000001E-3</v>
      </c>
      <c r="BS239">
        <v>2</v>
      </c>
      <c r="BT239">
        <v>0</v>
      </c>
      <c r="BU239" t="s">
        <v>200</v>
      </c>
      <c r="BV239">
        <v>7000</v>
      </c>
      <c r="BW239">
        <v>500</v>
      </c>
      <c r="BX239">
        <v>5</v>
      </c>
      <c r="BY239">
        <v>2</v>
      </c>
      <c r="BZ239">
        <v>300</v>
      </c>
      <c r="CA239">
        <v>300</v>
      </c>
      <c r="CB239">
        <v>300</v>
      </c>
      <c r="CC239">
        <v>123.508926</v>
      </c>
      <c r="CD239">
        <v>25</v>
      </c>
      <c r="CE239">
        <v>-1.2700629999999999</v>
      </c>
      <c r="CF239">
        <v>124.499916</v>
      </c>
      <c r="CG239">
        <v>123.625244</v>
      </c>
      <c r="CH239">
        <v>0.87467200000000001</v>
      </c>
      <c r="CI239">
        <v>2.5082810000000002</v>
      </c>
      <c r="CJ239">
        <v>2.5173649999999999</v>
      </c>
      <c r="CK239">
        <v>1.6649119999999999</v>
      </c>
      <c r="CL239">
        <v>0.94206400000000001</v>
      </c>
      <c r="CM239">
        <v>0.198576</v>
      </c>
      <c r="CN239">
        <v>3.5797000000000002E-2</v>
      </c>
      <c r="CO239">
        <v>0.156662</v>
      </c>
      <c r="CP239">
        <v>1.1829810000000001</v>
      </c>
      <c r="CQ239">
        <v>88.003990000000002</v>
      </c>
      <c r="CR239">
        <v>3.7399999999999998E-4</v>
      </c>
      <c r="CS239">
        <v>2.4333689999999999</v>
      </c>
      <c r="CT239">
        <v>-3.6000000000000001E-5</v>
      </c>
      <c r="CU239">
        <v>1</v>
      </c>
      <c r="CV239">
        <v>2.4396819999999999</v>
      </c>
      <c r="CW239">
        <v>1.1E-5</v>
      </c>
      <c r="CX239">
        <v>1</v>
      </c>
      <c r="CY239">
        <v>0.60025499999999998</v>
      </c>
      <c r="CZ239">
        <v>0.60245199999999999</v>
      </c>
      <c r="DA239">
        <v>0.106742</v>
      </c>
      <c r="DB239">
        <v>0</v>
      </c>
      <c r="DC239" t="s">
        <v>754</v>
      </c>
      <c r="DD239" t="s">
        <v>515</v>
      </c>
      <c r="DE239" t="s">
        <v>516</v>
      </c>
      <c r="DF239" t="s">
        <v>517</v>
      </c>
      <c r="DG239" t="s">
        <v>518</v>
      </c>
      <c r="DH239" t="s">
        <v>205</v>
      </c>
      <c r="DI239" t="s">
        <v>519</v>
      </c>
    </row>
    <row r="240" spans="1:113">
      <c r="A240">
        <v>49</v>
      </c>
      <c r="B240" s="3">
        <v>0.52200231481481485</v>
      </c>
      <c r="C240" s="1">
        <v>45149</v>
      </c>
      <c r="D240" t="s">
        <v>196</v>
      </c>
      <c r="E240" t="s">
        <v>197</v>
      </c>
      <c r="G240">
        <v>49</v>
      </c>
      <c r="J240">
        <v>5.4115999999999997E-2</v>
      </c>
      <c r="K240">
        <v>2.9214549999999999</v>
      </c>
      <c r="L240">
        <v>5.3131999999999999E-2</v>
      </c>
      <c r="M240">
        <v>1.9536370000000001</v>
      </c>
      <c r="N240">
        <v>2.2960539999999998</v>
      </c>
      <c r="O240">
        <v>2.2447379999999999</v>
      </c>
      <c r="P240">
        <v>5.6593299999999997</v>
      </c>
      <c r="Q240">
        <v>3.3632759999999999</v>
      </c>
      <c r="R240">
        <v>23.518284000000001</v>
      </c>
      <c r="S240">
        <v>24.055923</v>
      </c>
      <c r="T240">
        <v>59.293216999999999</v>
      </c>
      <c r="U240">
        <v>0.44178600000000001</v>
      </c>
      <c r="V240" t="s">
        <v>755</v>
      </c>
      <c r="W240">
        <v>0</v>
      </c>
      <c r="X240">
        <v>0</v>
      </c>
      <c r="Y240">
        <v>0</v>
      </c>
      <c r="Z240">
        <v>73.186401000000004</v>
      </c>
      <c r="AA240">
        <v>120.800957</v>
      </c>
      <c r="AB240">
        <v>0.39415699999999998</v>
      </c>
      <c r="AC240">
        <v>0.5</v>
      </c>
      <c r="AD240">
        <v>0.8</v>
      </c>
      <c r="AE240">
        <v>180.74916099999999</v>
      </c>
      <c r="AF240">
        <v>45.25</v>
      </c>
      <c r="AG240">
        <v>44.24</v>
      </c>
      <c r="AH240">
        <v>33.08</v>
      </c>
      <c r="AI240">
        <v>35.04</v>
      </c>
      <c r="AJ240">
        <v>95.45</v>
      </c>
      <c r="AK240">
        <v>156.69999999999999</v>
      </c>
      <c r="AL240">
        <v>155.9</v>
      </c>
      <c r="AM240">
        <v>0.5</v>
      </c>
      <c r="AN240">
        <v>1146</v>
      </c>
      <c r="AO240">
        <v>3.911</v>
      </c>
      <c r="AP240">
        <v>41</v>
      </c>
      <c r="AQ240">
        <v>-14</v>
      </c>
      <c r="AR240">
        <v>99</v>
      </c>
      <c r="AS240">
        <v>35.58</v>
      </c>
      <c r="AT240">
        <v>81.33</v>
      </c>
      <c r="AU240">
        <v>42.92</v>
      </c>
      <c r="AV240">
        <v>119.81</v>
      </c>
      <c r="AW240">
        <v>15.18</v>
      </c>
      <c r="AX240">
        <v>275.8</v>
      </c>
      <c r="AY240">
        <v>72.52</v>
      </c>
      <c r="AZ240" s="3">
        <v>0.72883101851851861</v>
      </c>
      <c r="BA240" s="1">
        <v>45149</v>
      </c>
      <c r="BB240">
        <v>38.493454</v>
      </c>
      <c r="BC240">
        <v>-1.36198</v>
      </c>
      <c r="BD240">
        <v>573</v>
      </c>
      <c r="BE240">
        <v>12</v>
      </c>
      <c r="BF240">
        <v>0.83</v>
      </c>
      <c r="BG240" s="3">
        <v>0.51552083333333332</v>
      </c>
      <c r="BH240" s="1">
        <v>45149</v>
      </c>
      <c r="BI240">
        <v>0.01</v>
      </c>
      <c r="BJ240">
        <v>3.0000000000000001E-3</v>
      </c>
      <c r="BK240">
        <v>5.0000000000000001E-3</v>
      </c>
      <c r="BL240">
        <v>-9999</v>
      </c>
      <c r="BM240">
        <v>1.167</v>
      </c>
      <c r="BN240">
        <v>1.3819999999999999</v>
      </c>
      <c r="BO240">
        <v>-9999</v>
      </c>
      <c r="BP240">
        <v>1</v>
      </c>
      <c r="BQ240">
        <v>150</v>
      </c>
      <c r="BR240">
        <v>5.0000000000000001E-3</v>
      </c>
      <c r="BS240">
        <v>2</v>
      </c>
      <c r="BT240">
        <v>0</v>
      </c>
      <c r="BU240" t="s">
        <v>200</v>
      </c>
      <c r="BV240">
        <v>7000</v>
      </c>
      <c r="BW240">
        <v>500</v>
      </c>
      <c r="BX240">
        <v>5</v>
      </c>
      <c r="BY240">
        <v>2</v>
      </c>
      <c r="BZ240">
        <v>300</v>
      </c>
      <c r="CA240">
        <v>300</v>
      </c>
      <c r="CB240">
        <v>300</v>
      </c>
      <c r="CC240">
        <v>117.667435</v>
      </c>
      <c r="CD240">
        <v>25</v>
      </c>
      <c r="CE240">
        <v>-2.0414340000000002</v>
      </c>
      <c r="CF240">
        <v>119.433762</v>
      </c>
      <c r="CG240">
        <v>117.888763</v>
      </c>
      <c r="CH240">
        <v>1.5449980000000001</v>
      </c>
      <c r="CI240">
        <v>2.5077720000000001</v>
      </c>
      <c r="CJ240">
        <v>2.5176370000000001</v>
      </c>
      <c r="CK240">
        <v>1.6661239999999999</v>
      </c>
      <c r="CL240">
        <v>0.94227899999999998</v>
      </c>
      <c r="CM240">
        <v>0.198208</v>
      </c>
      <c r="CN240">
        <v>2.5097999999999999E-2</v>
      </c>
      <c r="CO240">
        <v>0.15790399999999999</v>
      </c>
      <c r="CP240">
        <v>1.12083</v>
      </c>
      <c r="CQ240">
        <v>73.186401000000004</v>
      </c>
      <c r="CR240">
        <v>3.7399999999999998E-4</v>
      </c>
      <c r="CS240">
        <v>2.4333689999999999</v>
      </c>
      <c r="CT240">
        <v>-3.6000000000000001E-5</v>
      </c>
      <c r="CU240">
        <v>1</v>
      </c>
      <c r="CV240">
        <v>2.4396819999999999</v>
      </c>
      <c r="CW240">
        <v>1.1E-5</v>
      </c>
      <c r="CX240">
        <v>1</v>
      </c>
      <c r="CY240">
        <v>0.60025499999999998</v>
      </c>
      <c r="CZ240">
        <v>0.60245199999999999</v>
      </c>
      <c r="DA240">
        <v>0.106742</v>
      </c>
      <c r="DB240">
        <v>0</v>
      </c>
      <c r="DC240" t="s">
        <v>755</v>
      </c>
      <c r="DD240" t="s">
        <v>515</v>
      </c>
      <c r="DE240" t="s">
        <v>516</v>
      </c>
      <c r="DF240" t="s">
        <v>517</v>
      </c>
      <c r="DG240" t="s">
        <v>518</v>
      </c>
      <c r="DH240" t="s">
        <v>205</v>
      </c>
      <c r="DI240" t="s">
        <v>519</v>
      </c>
    </row>
    <row r="241" spans="1:113">
      <c r="A241">
        <v>50</v>
      </c>
      <c r="B241" s="3">
        <v>0.52209490740740738</v>
      </c>
      <c r="C241" s="1">
        <v>45149</v>
      </c>
      <c r="D241" t="s">
        <v>196</v>
      </c>
      <c r="E241" t="s">
        <v>197</v>
      </c>
      <c r="G241">
        <v>50</v>
      </c>
      <c r="J241">
        <v>2.7847E-2</v>
      </c>
      <c r="K241">
        <v>2.9220670000000002</v>
      </c>
      <c r="L241">
        <v>2.7584000000000001E-2</v>
      </c>
      <c r="M241">
        <v>1.0090250000000001</v>
      </c>
      <c r="N241">
        <v>2.2580070000000001</v>
      </c>
      <c r="O241">
        <v>2.2315049999999998</v>
      </c>
      <c r="P241">
        <v>5.6055580000000003</v>
      </c>
      <c r="Q241">
        <v>3.3475510000000002</v>
      </c>
      <c r="R241">
        <v>23.380075000000001</v>
      </c>
      <c r="S241">
        <v>23.657737999999998</v>
      </c>
      <c r="T241">
        <v>58.730919</v>
      </c>
      <c r="U241">
        <v>0.44178600000000001</v>
      </c>
      <c r="V241" t="s">
        <v>756</v>
      </c>
      <c r="W241">
        <v>0</v>
      </c>
      <c r="X241">
        <v>0</v>
      </c>
      <c r="Y241">
        <v>0</v>
      </c>
      <c r="Z241">
        <v>80.776687999999993</v>
      </c>
      <c r="AA241">
        <v>118.903946</v>
      </c>
      <c r="AB241">
        <v>0.320656</v>
      </c>
      <c r="AC241">
        <v>0.5</v>
      </c>
      <c r="AD241">
        <v>0.8</v>
      </c>
      <c r="AE241">
        <v>150.138824</v>
      </c>
      <c r="AF241">
        <v>44.42</v>
      </c>
      <c r="AG241">
        <v>43.9</v>
      </c>
      <c r="AH241">
        <v>33.11</v>
      </c>
      <c r="AI241">
        <v>34.86</v>
      </c>
      <c r="AJ241">
        <v>95.44</v>
      </c>
      <c r="AK241">
        <v>156.69999999999999</v>
      </c>
      <c r="AL241">
        <v>135.5</v>
      </c>
      <c r="AM241">
        <v>13.6</v>
      </c>
      <c r="AN241">
        <v>1171</v>
      </c>
      <c r="AO241">
        <v>3.911</v>
      </c>
      <c r="AP241">
        <v>42</v>
      </c>
      <c r="AQ241">
        <v>-10</v>
      </c>
      <c r="AR241">
        <v>93</v>
      </c>
      <c r="AS241">
        <v>31.16</v>
      </c>
      <c r="AT241">
        <v>85.57</v>
      </c>
      <c r="AU241">
        <v>42.96</v>
      </c>
      <c r="AV241">
        <v>107.76</v>
      </c>
      <c r="AW241">
        <v>15.18</v>
      </c>
      <c r="AX241">
        <v>275.8</v>
      </c>
      <c r="AY241">
        <v>72.52</v>
      </c>
      <c r="AZ241" s="3">
        <v>0.72892361111111104</v>
      </c>
      <c r="BA241" s="1">
        <v>45149</v>
      </c>
      <c r="BB241">
        <v>38.493450000000003</v>
      </c>
      <c r="BC241">
        <v>-1.3619699999999999</v>
      </c>
      <c r="BD241">
        <v>573.29998799999998</v>
      </c>
      <c r="BE241">
        <v>12</v>
      </c>
      <c r="BF241">
        <v>0.83</v>
      </c>
      <c r="BG241" s="3">
        <v>0.51552083333333332</v>
      </c>
      <c r="BH241" s="1">
        <v>45149</v>
      </c>
      <c r="BI241">
        <v>0.01</v>
      </c>
      <c r="BJ241">
        <v>1E-3</v>
      </c>
      <c r="BK241">
        <v>0</v>
      </c>
      <c r="BL241">
        <v>-9999</v>
      </c>
      <c r="BM241">
        <v>0.496</v>
      </c>
      <c r="BN241">
        <v>-0.96299999999999997</v>
      </c>
      <c r="BO241">
        <v>-9999</v>
      </c>
      <c r="BP241">
        <v>1</v>
      </c>
      <c r="BQ241">
        <v>150</v>
      </c>
      <c r="BR241">
        <v>5.0000000000000001E-3</v>
      </c>
      <c r="BS241">
        <v>2</v>
      </c>
      <c r="BT241">
        <v>0</v>
      </c>
      <c r="BU241" t="s">
        <v>200</v>
      </c>
      <c r="BV241">
        <v>7000</v>
      </c>
      <c r="BW241">
        <v>500</v>
      </c>
      <c r="BX241">
        <v>5</v>
      </c>
      <c r="BY241">
        <v>2</v>
      </c>
      <c r="BZ241">
        <v>300</v>
      </c>
      <c r="CA241">
        <v>300</v>
      </c>
      <c r="CB241">
        <v>300</v>
      </c>
      <c r="CC241">
        <v>114.1026</v>
      </c>
      <c r="CD241">
        <v>25</v>
      </c>
      <c r="CE241">
        <v>-3.3169870000000001</v>
      </c>
      <c r="CF241">
        <v>113.504288</v>
      </c>
      <c r="CG241">
        <v>114.172127</v>
      </c>
      <c r="CH241">
        <v>-0.66783899999999996</v>
      </c>
      <c r="CI241">
        <v>2.507253</v>
      </c>
      <c r="CJ241">
        <v>2.5163890000000002</v>
      </c>
      <c r="CK241">
        <v>1.6667689999999999</v>
      </c>
      <c r="CL241">
        <v>0.89077300000000004</v>
      </c>
      <c r="CM241">
        <v>0.19794200000000001</v>
      </c>
      <c r="CN241">
        <v>2.2488000000000001E-2</v>
      </c>
      <c r="CO241">
        <v>0.15881200000000001</v>
      </c>
      <c r="CP241">
        <v>1.1421760000000001</v>
      </c>
      <c r="CQ241">
        <v>80.776687999999993</v>
      </c>
      <c r="CR241">
        <v>3.6900000000000002E-4</v>
      </c>
      <c r="CS241">
        <v>2.4333689999999999</v>
      </c>
      <c r="CT241">
        <v>-3.6000000000000001E-5</v>
      </c>
      <c r="CU241">
        <v>1</v>
      </c>
      <c r="CV241">
        <v>2.4396819999999999</v>
      </c>
      <c r="CW241">
        <v>1.1E-5</v>
      </c>
      <c r="CX241">
        <v>1</v>
      </c>
      <c r="CY241">
        <v>0.60025499999999998</v>
      </c>
      <c r="CZ241">
        <v>0.60245199999999999</v>
      </c>
      <c r="DA241">
        <v>0.106742</v>
      </c>
      <c r="DB241">
        <v>0</v>
      </c>
      <c r="DC241" t="s">
        <v>756</v>
      </c>
      <c r="DD241" t="s">
        <v>515</v>
      </c>
      <c r="DE241" t="s">
        <v>516</v>
      </c>
      <c r="DF241" t="s">
        <v>517</v>
      </c>
      <c r="DG241" t="s">
        <v>518</v>
      </c>
      <c r="DH241" t="s">
        <v>205</v>
      </c>
      <c r="DI241" t="s">
        <v>519</v>
      </c>
    </row>
    <row r="242" spans="1:113">
      <c r="A242">
        <v>51</v>
      </c>
      <c r="B242" s="3">
        <v>0.52218750000000003</v>
      </c>
      <c r="C242" s="1">
        <v>45149</v>
      </c>
      <c r="D242" t="s">
        <v>196</v>
      </c>
      <c r="E242" t="s">
        <v>197</v>
      </c>
      <c r="G242">
        <v>51</v>
      </c>
      <c r="J242">
        <v>3.2263E-2</v>
      </c>
      <c r="K242">
        <v>2.9214820000000001</v>
      </c>
      <c r="L242">
        <v>3.1911000000000002E-2</v>
      </c>
      <c r="M242">
        <v>1.1546510000000001</v>
      </c>
      <c r="N242">
        <v>2.2674530000000002</v>
      </c>
      <c r="O242">
        <v>2.2371159999999999</v>
      </c>
      <c r="P242">
        <v>5.579078</v>
      </c>
      <c r="Q242">
        <v>3.3116240000000001</v>
      </c>
      <c r="R242">
        <v>23.438423</v>
      </c>
      <c r="S242">
        <v>23.756274999999999</v>
      </c>
      <c r="T242">
        <v>58.452404000000001</v>
      </c>
      <c r="U242">
        <v>0.44178600000000001</v>
      </c>
      <c r="V242" t="s">
        <v>757</v>
      </c>
      <c r="W242">
        <v>0</v>
      </c>
      <c r="X242">
        <v>0</v>
      </c>
      <c r="Y242">
        <v>0</v>
      </c>
      <c r="Z242">
        <v>91.308121</v>
      </c>
      <c r="AA242">
        <v>165.29574600000001</v>
      </c>
      <c r="AB242">
        <v>0.44760800000000001</v>
      </c>
      <c r="AC242">
        <v>0.5</v>
      </c>
      <c r="AD242">
        <v>0.8</v>
      </c>
      <c r="AE242">
        <v>213.17593400000001</v>
      </c>
      <c r="AF242">
        <v>44.52</v>
      </c>
      <c r="AG242">
        <v>43.93</v>
      </c>
      <c r="AH242">
        <v>33.14</v>
      </c>
      <c r="AI242">
        <v>34.78</v>
      </c>
      <c r="AJ242">
        <v>95.45</v>
      </c>
      <c r="AK242">
        <v>156.69999999999999</v>
      </c>
      <c r="AL242">
        <v>155.69999999999999</v>
      </c>
      <c r="AM242">
        <v>0.6</v>
      </c>
      <c r="AN242">
        <v>1191</v>
      </c>
      <c r="AO242">
        <v>3.88</v>
      </c>
      <c r="AP242">
        <v>46</v>
      </c>
      <c r="AQ242">
        <v>5</v>
      </c>
      <c r="AR242">
        <v>102</v>
      </c>
      <c r="AS242">
        <v>26.32</v>
      </c>
      <c r="AT242">
        <v>89.64</v>
      </c>
      <c r="AU242">
        <v>46.21</v>
      </c>
      <c r="AV242">
        <v>95.07</v>
      </c>
      <c r="AW242">
        <v>15.18</v>
      </c>
      <c r="AX242">
        <v>275.8</v>
      </c>
      <c r="AY242">
        <v>72.52</v>
      </c>
      <c r="AZ242" s="3">
        <v>0.72901620370370368</v>
      </c>
      <c r="BA242" s="1">
        <v>45149</v>
      </c>
      <c r="BB242">
        <v>38.493468999999997</v>
      </c>
      <c r="BC242">
        <v>-1.3620129999999999</v>
      </c>
      <c r="BD242">
        <v>573.09997599999997</v>
      </c>
      <c r="BE242">
        <v>12</v>
      </c>
      <c r="BF242">
        <v>0.83</v>
      </c>
      <c r="BG242" s="3">
        <v>0.51552083333333332</v>
      </c>
      <c r="BH242" s="1">
        <v>45149</v>
      </c>
      <c r="BI242">
        <v>0.01</v>
      </c>
      <c r="BJ242">
        <v>1E-3</v>
      </c>
      <c r="BK242">
        <v>1E-3</v>
      </c>
      <c r="BL242">
        <v>-9999</v>
      </c>
      <c r="BM242">
        <v>-1.605</v>
      </c>
      <c r="BN242">
        <v>-1.212</v>
      </c>
      <c r="BO242">
        <v>-9999</v>
      </c>
      <c r="BP242">
        <v>1</v>
      </c>
      <c r="BQ242">
        <v>150</v>
      </c>
      <c r="BR242">
        <v>5.0000000000000001E-3</v>
      </c>
      <c r="BS242">
        <v>2</v>
      </c>
      <c r="BT242">
        <v>0</v>
      </c>
      <c r="BU242" t="s">
        <v>200</v>
      </c>
      <c r="BV242">
        <v>7000</v>
      </c>
      <c r="BW242">
        <v>500</v>
      </c>
      <c r="BX242">
        <v>5</v>
      </c>
      <c r="BY242">
        <v>2</v>
      </c>
      <c r="BZ242">
        <v>300</v>
      </c>
      <c r="CA242">
        <v>300</v>
      </c>
      <c r="CB242">
        <v>300</v>
      </c>
      <c r="CC242">
        <v>156.83770799999999</v>
      </c>
      <c r="CD242">
        <v>25</v>
      </c>
      <c r="CE242">
        <v>-5.7454789999999996</v>
      </c>
      <c r="CF242">
        <v>156.72718800000001</v>
      </c>
      <c r="CG242">
        <v>157.09957900000001</v>
      </c>
      <c r="CH242">
        <v>-0.37239100000000003</v>
      </c>
      <c r="CI242">
        <v>2.5072920000000001</v>
      </c>
      <c r="CJ242">
        <v>2.51654</v>
      </c>
      <c r="CK242">
        <v>1.6661520000000001</v>
      </c>
      <c r="CL242">
        <v>0.94170900000000002</v>
      </c>
      <c r="CM242">
        <v>0.19769100000000001</v>
      </c>
      <c r="CN242">
        <v>2.1004999999999999E-2</v>
      </c>
      <c r="CO242">
        <v>0.15971099999999999</v>
      </c>
      <c r="CP242">
        <v>1.1599379999999999</v>
      </c>
      <c r="CQ242">
        <v>91.308121</v>
      </c>
      <c r="CR242">
        <v>3.7199999999999999E-4</v>
      </c>
      <c r="CS242">
        <v>2.4333689999999999</v>
      </c>
      <c r="CT242">
        <v>-3.6000000000000001E-5</v>
      </c>
      <c r="CU242">
        <v>1</v>
      </c>
      <c r="CV242">
        <v>2.4396819999999999</v>
      </c>
      <c r="CW242">
        <v>1.1E-5</v>
      </c>
      <c r="CX242">
        <v>1</v>
      </c>
      <c r="CY242">
        <v>0.60025499999999998</v>
      </c>
      <c r="CZ242">
        <v>0.60245199999999999</v>
      </c>
      <c r="DA242">
        <v>0.106742</v>
      </c>
      <c r="DB242">
        <v>0</v>
      </c>
      <c r="DC242" t="s">
        <v>757</v>
      </c>
      <c r="DD242" t="s">
        <v>515</v>
      </c>
      <c r="DE242" t="s">
        <v>516</v>
      </c>
      <c r="DF242" t="s">
        <v>517</v>
      </c>
      <c r="DG242" t="s">
        <v>518</v>
      </c>
      <c r="DH242" t="s">
        <v>205</v>
      </c>
      <c r="DI242" t="s">
        <v>519</v>
      </c>
    </row>
    <row r="243" spans="1:113">
      <c r="A243">
        <v>52</v>
      </c>
      <c r="B243" s="3">
        <v>0.52238425925925924</v>
      </c>
      <c r="C243" s="1">
        <v>45149</v>
      </c>
      <c r="D243" t="s">
        <v>196</v>
      </c>
      <c r="E243" t="s">
        <v>197</v>
      </c>
      <c r="G243">
        <v>52</v>
      </c>
      <c r="J243">
        <v>7.0268999999999998E-2</v>
      </c>
      <c r="K243">
        <v>2.9201649999999999</v>
      </c>
      <c r="L243">
        <v>6.8617999999999998E-2</v>
      </c>
      <c r="M243">
        <v>2.2574429999999999</v>
      </c>
      <c r="N243">
        <v>2.2964530000000001</v>
      </c>
      <c r="O243">
        <v>2.2370930000000002</v>
      </c>
      <c r="P243">
        <v>5.3115629999999996</v>
      </c>
      <c r="Q243">
        <v>3.01511</v>
      </c>
      <c r="R243">
        <v>23.436772999999999</v>
      </c>
      <c r="S243">
        <v>24.058655000000002</v>
      </c>
      <c r="T243">
        <v>55.646286000000003</v>
      </c>
      <c r="U243">
        <v>0.44178600000000001</v>
      </c>
      <c r="V243" t="s">
        <v>758</v>
      </c>
      <c r="W243">
        <v>0</v>
      </c>
      <c r="X243">
        <v>0</v>
      </c>
      <c r="Y243">
        <v>0</v>
      </c>
      <c r="Z243">
        <v>192.07835399999999</v>
      </c>
      <c r="AA243">
        <v>366.53842200000003</v>
      </c>
      <c r="AB243">
        <v>0.47596699999999997</v>
      </c>
      <c r="AC243">
        <v>0.5</v>
      </c>
      <c r="AD243">
        <v>0.8</v>
      </c>
      <c r="AE243">
        <v>121.933922</v>
      </c>
      <c r="AF243">
        <v>44.92</v>
      </c>
      <c r="AG243">
        <v>43.76</v>
      </c>
      <c r="AH243">
        <v>33.21</v>
      </c>
      <c r="AI243">
        <v>33.89</v>
      </c>
      <c r="AJ243">
        <v>95.45</v>
      </c>
      <c r="AK243">
        <v>156.5</v>
      </c>
      <c r="AL243">
        <v>150.5</v>
      </c>
      <c r="AM243">
        <v>3.8</v>
      </c>
      <c r="AN243">
        <v>640</v>
      </c>
      <c r="AO243">
        <v>3.91</v>
      </c>
      <c r="AP243">
        <v>19</v>
      </c>
      <c r="AQ243">
        <v>-25</v>
      </c>
      <c r="AR243">
        <v>338</v>
      </c>
      <c r="AS243">
        <v>61.37</v>
      </c>
      <c r="AT243">
        <v>47.91</v>
      </c>
      <c r="AU243">
        <v>31.03</v>
      </c>
      <c r="AV243">
        <v>33.08</v>
      </c>
      <c r="AW243">
        <v>15.18</v>
      </c>
      <c r="AX243">
        <v>275.95</v>
      </c>
      <c r="AY243">
        <v>72.709999999999994</v>
      </c>
      <c r="AZ243" s="3">
        <v>0.72921296296296301</v>
      </c>
      <c r="BA243" s="1">
        <v>45149</v>
      </c>
      <c r="BB243">
        <v>38.493462000000001</v>
      </c>
      <c r="BC243">
        <v>-1.361993</v>
      </c>
      <c r="BD243">
        <v>573.29998799999998</v>
      </c>
      <c r="BE243">
        <v>10</v>
      </c>
      <c r="BF243">
        <v>0.92</v>
      </c>
      <c r="BG243" s="3">
        <v>0.51552083333333332</v>
      </c>
      <c r="BH243" s="1">
        <v>45149</v>
      </c>
      <c r="BI243">
        <v>0.01</v>
      </c>
      <c r="BJ243">
        <v>0</v>
      </c>
      <c r="BK243">
        <v>0</v>
      </c>
      <c r="BL243">
        <v>2E-3</v>
      </c>
      <c r="BM243">
        <v>-3.605</v>
      </c>
      <c r="BN243">
        <v>-3.4079999999999999</v>
      </c>
      <c r="BO243">
        <v>11.664</v>
      </c>
      <c r="BP243">
        <v>1</v>
      </c>
      <c r="BQ243">
        <v>150</v>
      </c>
      <c r="BR243">
        <v>5.0000000000000001E-3</v>
      </c>
      <c r="BS243">
        <v>2</v>
      </c>
      <c r="BT243">
        <v>0</v>
      </c>
      <c r="BU243" t="s">
        <v>200</v>
      </c>
      <c r="BV243">
        <v>7000</v>
      </c>
      <c r="BW243">
        <v>500</v>
      </c>
      <c r="BX243">
        <v>5</v>
      </c>
      <c r="BY243">
        <v>2</v>
      </c>
      <c r="BZ243">
        <v>300</v>
      </c>
      <c r="CA243">
        <v>300</v>
      </c>
      <c r="CB243">
        <v>300</v>
      </c>
      <c r="CC243">
        <v>354.37704500000001</v>
      </c>
      <c r="CD243">
        <v>25</v>
      </c>
      <c r="CE243">
        <v>-8.7971059999999994</v>
      </c>
      <c r="CF243">
        <v>352.093231</v>
      </c>
      <c r="CG243">
        <v>353.98898300000002</v>
      </c>
      <c r="CH243">
        <v>-1.8957520000000001</v>
      </c>
      <c r="CI243">
        <v>2.5070269999999999</v>
      </c>
      <c r="CJ243">
        <v>2.517118</v>
      </c>
      <c r="CK243">
        <v>1.6647650000000001</v>
      </c>
      <c r="CL243">
        <v>0.92845800000000001</v>
      </c>
      <c r="CM243">
        <v>0.197159</v>
      </c>
      <c r="CN243">
        <v>9.0539999999999995E-3</v>
      </c>
      <c r="CO243">
        <v>0.16177900000000001</v>
      </c>
      <c r="CP243">
        <v>0.67326399999999997</v>
      </c>
      <c r="CQ243">
        <v>192.07835399999999</v>
      </c>
      <c r="CR243">
        <v>3.6999999999999999E-4</v>
      </c>
      <c r="CS243">
        <v>2.4333689999999999</v>
      </c>
      <c r="CT243">
        <v>-3.6000000000000001E-5</v>
      </c>
      <c r="CU243">
        <v>1</v>
      </c>
      <c r="CV243">
        <v>2.4396819999999999</v>
      </c>
      <c r="CW243">
        <v>1.1E-5</v>
      </c>
      <c r="CX243">
        <v>1</v>
      </c>
      <c r="CY243">
        <v>0.60025499999999998</v>
      </c>
      <c r="CZ243">
        <v>0.60245199999999999</v>
      </c>
      <c r="DA243">
        <v>0.106742</v>
      </c>
      <c r="DB243">
        <v>0</v>
      </c>
      <c r="DC243" t="s">
        <v>758</v>
      </c>
      <c r="DD243" t="s">
        <v>515</v>
      </c>
      <c r="DE243" t="s">
        <v>516</v>
      </c>
      <c r="DF243" t="s">
        <v>517</v>
      </c>
      <c r="DG243" t="s">
        <v>518</v>
      </c>
      <c r="DH243" t="s">
        <v>205</v>
      </c>
      <c r="DI243" t="s">
        <v>519</v>
      </c>
    </row>
    <row r="244" spans="1:113">
      <c r="A244">
        <v>53</v>
      </c>
      <c r="B244" s="3">
        <v>0.52251157407407411</v>
      </c>
      <c r="C244" s="1">
        <v>45149</v>
      </c>
      <c r="D244" t="s">
        <v>196</v>
      </c>
      <c r="E244" t="s">
        <v>197</v>
      </c>
      <c r="G244">
        <v>53</v>
      </c>
      <c r="J244">
        <v>8.7913000000000005E-2</v>
      </c>
      <c r="K244">
        <v>2.9203929999999998</v>
      </c>
      <c r="L244">
        <v>8.5343000000000002E-2</v>
      </c>
      <c r="M244">
        <v>2.6110630000000001</v>
      </c>
      <c r="N244">
        <v>2.304665</v>
      </c>
      <c r="O244">
        <v>2.2360250000000002</v>
      </c>
      <c r="P244">
        <v>5.1115409999999999</v>
      </c>
      <c r="Q244">
        <v>2.8068759999999999</v>
      </c>
      <c r="R244">
        <v>23.425711</v>
      </c>
      <c r="S244">
        <v>24.144815000000001</v>
      </c>
      <c r="T244">
        <v>53.551048000000002</v>
      </c>
      <c r="U244">
        <v>0.44178600000000001</v>
      </c>
      <c r="V244" t="s">
        <v>759</v>
      </c>
      <c r="W244">
        <v>0</v>
      </c>
      <c r="X244">
        <v>0</v>
      </c>
      <c r="Y244">
        <v>0</v>
      </c>
      <c r="Z244">
        <v>128.71492000000001</v>
      </c>
      <c r="AA244">
        <v>346.069885</v>
      </c>
      <c r="AB244">
        <v>0.62806700000000004</v>
      </c>
      <c r="AC244">
        <v>0.5</v>
      </c>
      <c r="AD244">
        <v>0.8</v>
      </c>
      <c r="AE244">
        <v>109.05025500000001</v>
      </c>
      <c r="AF244">
        <v>44.98</v>
      </c>
      <c r="AG244">
        <v>43.64</v>
      </c>
      <c r="AH244">
        <v>33.25</v>
      </c>
      <c r="AI244">
        <v>33.21</v>
      </c>
      <c r="AJ244">
        <v>95.45</v>
      </c>
      <c r="AK244">
        <v>156.5</v>
      </c>
      <c r="AL244">
        <v>155.9</v>
      </c>
      <c r="AM244">
        <v>0.4</v>
      </c>
      <c r="AN244">
        <v>434</v>
      </c>
      <c r="AO244">
        <v>3.91</v>
      </c>
      <c r="AP244">
        <v>22</v>
      </c>
      <c r="AQ244">
        <v>-14</v>
      </c>
      <c r="AR244">
        <v>336</v>
      </c>
      <c r="AS244">
        <v>72.89</v>
      </c>
      <c r="AT244">
        <v>29.42</v>
      </c>
      <c r="AU244">
        <v>25.89</v>
      </c>
      <c r="AV244">
        <v>9.65</v>
      </c>
      <c r="AW244">
        <v>15.18</v>
      </c>
      <c r="AX244">
        <v>275.95</v>
      </c>
      <c r="AY244">
        <v>72.709999999999994</v>
      </c>
      <c r="AZ244" s="3">
        <v>0.72934027777777777</v>
      </c>
      <c r="BA244" s="1">
        <v>45149</v>
      </c>
      <c r="BB244">
        <v>38.493457999999997</v>
      </c>
      <c r="BC244">
        <v>-1.36198</v>
      </c>
      <c r="BD244">
        <v>573.29998799999998</v>
      </c>
      <c r="BE244">
        <v>10</v>
      </c>
      <c r="BF244">
        <v>1.02</v>
      </c>
      <c r="BG244" s="3">
        <v>0.51552083333333332</v>
      </c>
      <c r="BH244" s="1">
        <v>45149</v>
      </c>
      <c r="BI244">
        <v>0.01</v>
      </c>
      <c r="BJ244">
        <v>-1E-3</v>
      </c>
      <c r="BK244">
        <v>0</v>
      </c>
      <c r="BL244">
        <v>1E-3</v>
      </c>
      <c r="BM244">
        <v>-1.9E-2</v>
      </c>
      <c r="BN244">
        <v>-0.32</v>
      </c>
      <c r="BO244">
        <v>-11.103</v>
      </c>
      <c r="BP244">
        <v>1</v>
      </c>
      <c r="BQ244">
        <v>150</v>
      </c>
      <c r="BR244">
        <v>5.0000000000000001E-3</v>
      </c>
      <c r="BS244">
        <v>2</v>
      </c>
      <c r="BT244">
        <v>0</v>
      </c>
      <c r="BU244" t="s">
        <v>200</v>
      </c>
      <c r="BV244">
        <v>7000</v>
      </c>
      <c r="BW244">
        <v>500</v>
      </c>
      <c r="BX244">
        <v>5</v>
      </c>
      <c r="BY244">
        <v>2</v>
      </c>
      <c r="BZ244">
        <v>300</v>
      </c>
      <c r="CA244">
        <v>300</v>
      </c>
      <c r="CB244">
        <v>300</v>
      </c>
      <c r="CC244">
        <v>338.44220000000001</v>
      </c>
      <c r="CD244">
        <v>25</v>
      </c>
      <c r="CE244">
        <v>-5.1424729999999998</v>
      </c>
      <c r="CF244">
        <v>340.09588600000001</v>
      </c>
      <c r="CG244">
        <v>338.73391700000002</v>
      </c>
      <c r="CH244">
        <v>1.361969</v>
      </c>
      <c r="CI244">
        <v>2.50684</v>
      </c>
      <c r="CJ244">
        <v>2.517198</v>
      </c>
      <c r="CK244">
        <v>1.6650039999999999</v>
      </c>
      <c r="CL244">
        <v>0.94212099999999999</v>
      </c>
      <c r="CM244">
        <v>0.19684599999999999</v>
      </c>
      <c r="CN244">
        <v>1.4E-5</v>
      </c>
      <c r="CO244">
        <v>0.163054</v>
      </c>
      <c r="CP244">
        <v>0.490705</v>
      </c>
      <c r="CQ244">
        <v>128.71492000000001</v>
      </c>
      <c r="CR244">
        <v>3.68E-4</v>
      </c>
      <c r="CS244">
        <v>2.4333689999999999</v>
      </c>
      <c r="CT244">
        <v>-3.6000000000000001E-5</v>
      </c>
      <c r="CU244">
        <v>1</v>
      </c>
      <c r="CV244">
        <v>2.4396819999999999</v>
      </c>
      <c r="CW244">
        <v>1.1E-5</v>
      </c>
      <c r="CX244">
        <v>1</v>
      </c>
      <c r="CY244">
        <v>0.60025499999999998</v>
      </c>
      <c r="CZ244">
        <v>0.60245199999999999</v>
      </c>
      <c r="DA244">
        <v>0.106742</v>
      </c>
      <c r="DB244">
        <v>0</v>
      </c>
      <c r="DC244" t="s">
        <v>759</v>
      </c>
      <c r="DD244" t="s">
        <v>515</v>
      </c>
      <c r="DE244" t="s">
        <v>516</v>
      </c>
      <c r="DF244" t="s">
        <v>517</v>
      </c>
      <c r="DG244" t="s">
        <v>518</v>
      </c>
      <c r="DH244" t="s">
        <v>205</v>
      </c>
      <c r="DI244" t="s">
        <v>519</v>
      </c>
    </row>
    <row r="245" spans="1:113">
      <c r="A245">
        <v>54</v>
      </c>
      <c r="B245" s="3">
        <v>0.52287037037037043</v>
      </c>
      <c r="C245" s="1">
        <v>45149</v>
      </c>
      <c r="D245" t="s">
        <v>196</v>
      </c>
      <c r="E245" t="s">
        <v>197</v>
      </c>
      <c r="G245">
        <v>54</v>
      </c>
      <c r="J245">
        <v>0.11640200000000001</v>
      </c>
      <c r="K245">
        <v>2.919575</v>
      </c>
      <c r="L245">
        <v>0.111939</v>
      </c>
      <c r="M245">
        <v>3.3419129999999999</v>
      </c>
      <c r="N245">
        <v>2.3280020000000001</v>
      </c>
      <c r="O245">
        <v>2.240116</v>
      </c>
      <c r="P245">
        <v>5.0672709999999999</v>
      </c>
      <c r="Q245">
        <v>2.7392690000000002</v>
      </c>
      <c r="R245">
        <v>23.468874</v>
      </c>
      <c r="S245">
        <v>24.389624000000001</v>
      </c>
      <c r="T245">
        <v>53.087944</v>
      </c>
      <c r="U245">
        <v>0.44178600000000001</v>
      </c>
      <c r="V245" t="s">
        <v>760</v>
      </c>
      <c r="W245">
        <v>0</v>
      </c>
      <c r="X245">
        <v>0</v>
      </c>
      <c r="Y245">
        <v>0</v>
      </c>
      <c r="Z245">
        <v>142.70282</v>
      </c>
      <c r="AA245">
        <v>362.07330300000001</v>
      </c>
      <c r="AB245">
        <v>0.60587299999999999</v>
      </c>
      <c r="AC245">
        <v>0.5</v>
      </c>
      <c r="AD245">
        <v>0.8</v>
      </c>
      <c r="AE245">
        <v>97.285004000000001</v>
      </c>
      <c r="AF245">
        <v>45.08</v>
      </c>
      <c r="AG245">
        <v>43.38</v>
      </c>
      <c r="AH245">
        <v>33.39</v>
      </c>
      <c r="AI245">
        <v>33.049999999999997</v>
      </c>
      <c r="AJ245">
        <v>95.45</v>
      </c>
      <c r="AK245">
        <v>156.4</v>
      </c>
      <c r="AL245">
        <v>155.9</v>
      </c>
      <c r="AM245">
        <v>0.3</v>
      </c>
      <c r="AN245">
        <v>401</v>
      </c>
      <c r="AO245">
        <v>3.9089999999999998</v>
      </c>
      <c r="AP245">
        <v>20</v>
      </c>
      <c r="AQ245">
        <v>9</v>
      </c>
      <c r="AR245">
        <v>18</v>
      </c>
      <c r="AS245">
        <v>78.63</v>
      </c>
      <c r="AT245">
        <v>19.71</v>
      </c>
      <c r="AU245">
        <v>21.86</v>
      </c>
      <c r="AV245">
        <v>-6.85</v>
      </c>
      <c r="AW245">
        <v>15.18</v>
      </c>
      <c r="AX245">
        <v>275.95</v>
      </c>
      <c r="AY245">
        <v>72.709999999999994</v>
      </c>
      <c r="AZ245" s="3">
        <v>0.72968749999999993</v>
      </c>
      <c r="BA245" s="1">
        <v>45149</v>
      </c>
      <c r="BB245">
        <v>38.493462000000001</v>
      </c>
      <c r="BC245">
        <v>-1.361985</v>
      </c>
      <c r="BD245">
        <v>573.79998799999998</v>
      </c>
      <c r="BE245">
        <v>12</v>
      </c>
      <c r="BF245">
        <v>0.83</v>
      </c>
      <c r="BG245" s="3">
        <v>0.52271990740740748</v>
      </c>
      <c r="BH245" s="1">
        <v>45149</v>
      </c>
      <c r="BI245">
        <v>-0.14000000000000001</v>
      </c>
      <c r="BJ245">
        <v>-1E-3</v>
      </c>
      <c r="BK245">
        <v>-1E-3</v>
      </c>
      <c r="BL245">
        <v>2E-3</v>
      </c>
      <c r="BM245">
        <v>-0.80700000000000005</v>
      </c>
      <c r="BN245">
        <v>-2.7709999999999999</v>
      </c>
      <c r="BO245">
        <v>-20.969000000000001</v>
      </c>
      <c r="BP245">
        <v>1</v>
      </c>
      <c r="BQ245">
        <v>150</v>
      </c>
      <c r="BR245">
        <v>5.0000000000000001E-3</v>
      </c>
      <c r="BS245">
        <v>2</v>
      </c>
      <c r="BT245">
        <v>0</v>
      </c>
      <c r="BU245" t="s">
        <v>200</v>
      </c>
      <c r="BV245">
        <v>7000</v>
      </c>
      <c r="BW245">
        <v>500</v>
      </c>
      <c r="BX245">
        <v>5</v>
      </c>
      <c r="BY245">
        <v>2</v>
      </c>
      <c r="BZ245">
        <v>300</v>
      </c>
      <c r="CA245">
        <v>300</v>
      </c>
      <c r="CB245">
        <v>300</v>
      </c>
      <c r="CC245">
        <v>353.80517600000002</v>
      </c>
      <c r="CD245">
        <v>25</v>
      </c>
      <c r="CE245">
        <v>-5.6036489999999999</v>
      </c>
      <c r="CF245">
        <v>354.550476</v>
      </c>
      <c r="CG245">
        <v>354.07946800000002</v>
      </c>
      <c r="CH245">
        <v>0.47100799999999998</v>
      </c>
      <c r="CI245">
        <v>2.506437</v>
      </c>
      <c r="CJ245">
        <v>2.51756</v>
      </c>
      <c r="CK245">
        <v>1.664145</v>
      </c>
      <c r="CL245">
        <v>0.94223400000000002</v>
      </c>
      <c r="CM245">
        <v>0.195796</v>
      </c>
      <c r="CN245">
        <v>-3.601E-3</v>
      </c>
      <c r="CO245">
        <v>0.166824</v>
      </c>
      <c r="CP245">
        <v>0.46182699999999999</v>
      </c>
      <c r="CQ245">
        <v>142.70282</v>
      </c>
      <c r="CR245">
        <v>3.6999999999999999E-4</v>
      </c>
      <c r="CS245">
        <v>2.4333689999999999</v>
      </c>
      <c r="CT245">
        <v>-3.6000000000000001E-5</v>
      </c>
      <c r="CU245">
        <v>1</v>
      </c>
      <c r="CV245">
        <v>2.4396819999999999</v>
      </c>
      <c r="CW245">
        <v>1.1E-5</v>
      </c>
      <c r="CX245">
        <v>1</v>
      </c>
      <c r="CY245">
        <v>0.60025499999999998</v>
      </c>
      <c r="CZ245">
        <v>0.60245199999999999</v>
      </c>
      <c r="DA245">
        <v>0.106742</v>
      </c>
      <c r="DB245">
        <v>0</v>
      </c>
      <c r="DC245" t="s">
        <v>760</v>
      </c>
      <c r="DD245" t="s">
        <v>515</v>
      </c>
      <c r="DE245" t="s">
        <v>516</v>
      </c>
      <c r="DF245" t="s">
        <v>517</v>
      </c>
      <c r="DG245" t="s">
        <v>518</v>
      </c>
      <c r="DH245" t="s">
        <v>205</v>
      </c>
      <c r="DI245" t="s">
        <v>519</v>
      </c>
    </row>
    <row r="246" spans="1:113">
      <c r="A246">
        <v>55</v>
      </c>
      <c r="B246" s="3">
        <v>0.52299768518518519</v>
      </c>
      <c r="C246" s="1">
        <v>45149</v>
      </c>
      <c r="D246" t="s">
        <v>196</v>
      </c>
      <c r="E246" t="s">
        <v>197</v>
      </c>
      <c r="G246">
        <v>55</v>
      </c>
      <c r="J246">
        <v>4.1355999999999997E-2</v>
      </c>
      <c r="K246">
        <v>2.921856</v>
      </c>
      <c r="L246">
        <v>4.0779000000000003E-2</v>
      </c>
      <c r="M246">
        <v>1.1932670000000001</v>
      </c>
      <c r="N246">
        <v>2.298705</v>
      </c>
      <c r="O246">
        <v>2.2673700000000001</v>
      </c>
      <c r="P246">
        <v>4.9852259999999999</v>
      </c>
      <c r="Q246">
        <v>2.6865220000000001</v>
      </c>
      <c r="R246">
        <v>23.754034000000001</v>
      </c>
      <c r="S246">
        <v>24.082308000000001</v>
      </c>
      <c r="T246">
        <v>52.22757</v>
      </c>
      <c r="U246">
        <v>0.44178600000000001</v>
      </c>
      <c r="V246" t="s">
        <v>761</v>
      </c>
      <c r="W246">
        <v>0</v>
      </c>
      <c r="X246">
        <v>0</v>
      </c>
      <c r="Y246">
        <v>0</v>
      </c>
      <c r="Z246">
        <v>95.924377000000007</v>
      </c>
      <c r="AA246">
        <v>397.21029700000003</v>
      </c>
      <c r="AB246">
        <v>0.75850499999999998</v>
      </c>
      <c r="AC246">
        <v>0.5</v>
      </c>
      <c r="AD246">
        <v>0.8</v>
      </c>
      <c r="AE246">
        <v>29.447078999999999</v>
      </c>
      <c r="AF246">
        <v>44.42</v>
      </c>
      <c r="AG246">
        <v>43.82</v>
      </c>
      <c r="AH246">
        <v>33.43</v>
      </c>
      <c r="AI246">
        <v>32.76</v>
      </c>
      <c r="AJ246">
        <v>95.45</v>
      </c>
      <c r="AK246">
        <v>156.69999999999999</v>
      </c>
      <c r="AL246">
        <v>155.69999999999999</v>
      </c>
      <c r="AM246">
        <v>0.6</v>
      </c>
      <c r="AN246">
        <v>97</v>
      </c>
      <c r="AO246">
        <v>3.88</v>
      </c>
      <c r="AP246">
        <v>34</v>
      </c>
      <c r="AQ246">
        <v>-24</v>
      </c>
      <c r="AR246">
        <v>279</v>
      </c>
      <c r="AS246">
        <v>103.97</v>
      </c>
      <c r="AT246">
        <v>-9999</v>
      </c>
      <c r="AU246">
        <v>40.770000000000003</v>
      </c>
      <c r="AV246">
        <v>-42.47</v>
      </c>
      <c r="AW246">
        <v>15.18</v>
      </c>
      <c r="AX246">
        <v>275.95</v>
      </c>
      <c r="AY246">
        <v>72.709999999999994</v>
      </c>
      <c r="AZ246" s="3">
        <v>0.72981481481481481</v>
      </c>
      <c r="BA246" s="1">
        <v>45149</v>
      </c>
      <c r="BB246">
        <v>38.493476999999999</v>
      </c>
      <c r="BC246">
        <v>-1.3619680000000001</v>
      </c>
      <c r="BD246">
        <v>573.70001200000002</v>
      </c>
      <c r="BE246">
        <v>12</v>
      </c>
      <c r="BF246">
        <v>0.83</v>
      </c>
      <c r="BG246" s="3">
        <v>0.52271990740740748</v>
      </c>
      <c r="BH246" s="1">
        <v>45149</v>
      </c>
      <c r="BI246">
        <v>-0.14000000000000001</v>
      </c>
      <c r="BJ246">
        <v>1E-3</v>
      </c>
      <c r="BK246">
        <v>3.0000000000000001E-3</v>
      </c>
      <c r="BL246">
        <v>-9999</v>
      </c>
      <c r="BM246">
        <v>-8.3000000000000004E-2</v>
      </c>
      <c r="BN246">
        <v>0.39300000000000002</v>
      </c>
      <c r="BO246">
        <v>-9999</v>
      </c>
      <c r="BP246">
        <v>1</v>
      </c>
      <c r="BQ246">
        <v>150</v>
      </c>
      <c r="BR246">
        <v>5.0000000000000001E-3</v>
      </c>
      <c r="BS246">
        <v>2</v>
      </c>
      <c r="BT246">
        <v>0</v>
      </c>
      <c r="BU246" t="s">
        <v>200</v>
      </c>
      <c r="BV246">
        <v>7000</v>
      </c>
      <c r="BW246">
        <v>500</v>
      </c>
      <c r="BX246">
        <v>5</v>
      </c>
      <c r="BY246">
        <v>2</v>
      </c>
      <c r="BZ246">
        <v>300</v>
      </c>
      <c r="CA246">
        <v>300</v>
      </c>
      <c r="CB246">
        <v>300</v>
      </c>
      <c r="CC246">
        <v>396.92294299999998</v>
      </c>
      <c r="CD246">
        <v>25</v>
      </c>
      <c r="CE246">
        <v>0.30379</v>
      </c>
      <c r="CF246">
        <v>405.77496300000001</v>
      </c>
      <c r="CG246">
        <v>397.64367700000003</v>
      </c>
      <c r="CH246">
        <v>8.1312870000000004</v>
      </c>
      <c r="CI246">
        <v>2.5070779999999999</v>
      </c>
      <c r="CJ246">
        <v>2.516575</v>
      </c>
      <c r="CK246">
        <v>1.6665460000000001</v>
      </c>
      <c r="CL246">
        <v>0.94173799999999996</v>
      </c>
      <c r="CM246">
        <v>0.19551299999999999</v>
      </c>
      <c r="CN246">
        <v>-7.6439999999999998E-3</v>
      </c>
      <c r="CO246">
        <v>0.16810800000000001</v>
      </c>
      <c r="CP246">
        <v>0.19259399999999999</v>
      </c>
      <c r="CQ246">
        <v>95.924377000000007</v>
      </c>
      <c r="CR246">
        <v>3.7500000000000001E-4</v>
      </c>
      <c r="CS246">
        <v>2.4333689999999999</v>
      </c>
      <c r="CT246">
        <v>-3.6000000000000001E-5</v>
      </c>
      <c r="CU246">
        <v>1</v>
      </c>
      <c r="CV246">
        <v>2.4396819999999999</v>
      </c>
      <c r="CW246">
        <v>1.1E-5</v>
      </c>
      <c r="CX246">
        <v>1</v>
      </c>
      <c r="CY246">
        <v>0.60025499999999998</v>
      </c>
      <c r="CZ246">
        <v>0.60245199999999999</v>
      </c>
      <c r="DA246">
        <v>0.106742</v>
      </c>
      <c r="DB246">
        <v>0</v>
      </c>
      <c r="DC246" t="s">
        <v>761</v>
      </c>
      <c r="DD246" t="s">
        <v>515</v>
      </c>
      <c r="DE246" t="s">
        <v>516</v>
      </c>
      <c r="DF246" t="s">
        <v>517</v>
      </c>
      <c r="DG246" t="s">
        <v>518</v>
      </c>
      <c r="DH246" t="s">
        <v>205</v>
      </c>
      <c r="DI246" t="s">
        <v>519</v>
      </c>
    </row>
    <row r="247" spans="1:113">
      <c r="A247">
        <v>56</v>
      </c>
      <c r="B247" s="3">
        <v>0.52307870370370368</v>
      </c>
      <c r="C247" s="1">
        <v>45149</v>
      </c>
      <c r="D247" t="s">
        <v>196</v>
      </c>
      <c r="E247" t="s">
        <v>197</v>
      </c>
      <c r="G247">
        <v>56</v>
      </c>
      <c r="J247">
        <v>2.2488999999999999E-2</v>
      </c>
      <c r="K247">
        <v>2.9206189999999999</v>
      </c>
      <c r="L247">
        <v>2.2317E-2</v>
      </c>
      <c r="M247">
        <v>0.66746000000000005</v>
      </c>
      <c r="N247">
        <v>2.2710910000000002</v>
      </c>
      <c r="O247">
        <v>2.2535419999999999</v>
      </c>
      <c r="P247">
        <v>5.0168299999999997</v>
      </c>
      <c r="Q247">
        <v>2.7457389999999999</v>
      </c>
      <c r="R247">
        <v>23.609535000000001</v>
      </c>
      <c r="S247">
        <v>23.793392000000001</v>
      </c>
      <c r="T247">
        <v>52.559497999999998</v>
      </c>
      <c r="U247">
        <v>0.44178600000000001</v>
      </c>
      <c r="V247" t="s">
        <v>762</v>
      </c>
      <c r="W247">
        <v>0</v>
      </c>
      <c r="X247">
        <v>0</v>
      </c>
      <c r="Y247">
        <v>0</v>
      </c>
      <c r="Z247">
        <v>105.996613</v>
      </c>
      <c r="AA247">
        <v>431.54956099999998</v>
      </c>
      <c r="AB247">
        <v>0.75438099999999997</v>
      </c>
      <c r="AC247">
        <v>0.5</v>
      </c>
      <c r="AD247">
        <v>0.8</v>
      </c>
      <c r="AE247">
        <v>28.559521</v>
      </c>
      <c r="AF247">
        <v>43.84</v>
      </c>
      <c r="AG247">
        <v>43.5</v>
      </c>
      <c r="AH247">
        <v>33.450000000000003</v>
      </c>
      <c r="AI247">
        <v>32.880000000000003</v>
      </c>
      <c r="AJ247">
        <v>95.45</v>
      </c>
      <c r="AK247">
        <v>156.6</v>
      </c>
      <c r="AL247">
        <v>156</v>
      </c>
      <c r="AM247">
        <v>0.4</v>
      </c>
      <c r="AN247">
        <v>95</v>
      </c>
      <c r="AO247">
        <v>3.88</v>
      </c>
      <c r="AP247">
        <v>35</v>
      </c>
      <c r="AQ247">
        <v>-35</v>
      </c>
      <c r="AR247">
        <v>269</v>
      </c>
      <c r="AS247">
        <v>108.43</v>
      </c>
      <c r="AT247">
        <v>-9999</v>
      </c>
      <c r="AU247">
        <v>47.85</v>
      </c>
      <c r="AV247">
        <v>-40.32</v>
      </c>
      <c r="AW247">
        <v>15.18</v>
      </c>
      <c r="AX247">
        <v>276.08999999999997</v>
      </c>
      <c r="AY247">
        <v>72.91</v>
      </c>
      <c r="AZ247" s="3">
        <v>0.72990740740740734</v>
      </c>
      <c r="BA247" s="1">
        <v>45149</v>
      </c>
      <c r="BB247">
        <v>38.493476999999999</v>
      </c>
      <c r="BC247">
        <v>-1.3619749999999999</v>
      </c>
      <c r="BD247">
        <v>573.40002400000003</v>
      </c>
      <c r="BE247">
        <v>10</v>
      </c>
      <c r="BF247">
        <v>0.86</v>
      </c>
      <c r="BG247" s="3">
        <v>0.52271990740740748</v>
      </c>
      <c r="BH247" s="1">
        <v>45149</v>
      </c>
      <c r="BI247">
        <v>-0.14000000000000001</v>
      </c>
      <c r="BJ247">
        <v>-1E-3</v>
      </c>
      <c r="BK247">
        <v>-1E-3</v>
      </c>
      <c r="BL247">
        <v>-9999</v>
      </c>
      <c r="BM247">
        <v>0.22500000000000001</v>
      </c>
      <c r="BN247">
        <v>1.07</v>
      </c>
      <c r="BO247">
        <v>-9999</v>
      </c>
      <c r="BP247">
        <v>1</v>
      </c>
      <c r="BQ247">
        <v>150</v>
      </c>
      <c r="BR247">
        <v>5.0000000000000001E-3</v>
      </c>
      <c r="BS247">
        <v>2</v>
      </c>
      <c r="BT247">
        <v>0</v>
      </c>
      <c r="BU247" t="s">
        <v>200</v>
      </c>
      <c r="BV247">
        <v>7000</v>
      </c>
      <c r="BW247">
        <v>500</v>
      </c>
      <c r="BX247">
        <v>5</v>
      </c>
      <c r="BY247">
        <v>2</v>
      </c>
      <c r="BZ247">
        <v>300</v>
      </c>
      <c r="CA247">
        <v>300</v>
      </c>
      <c r="CB247">
        <v>300</v>
      </c>
      <c r="CC247">
        <v>431.54956099999998</v>
      </c>
      <c r="CD247">
        <v>25</v>
      </c>
      <c r="CE247">
        <v>3.9712339999999999</v>
      </c>
      <c r="CF247">
        <v>441.17224099999999</v>
      </c>
      <c r="CG247">
        <v>437.21469100000002</v>
      </c>
      <c r="CH247">
        <v>3.9575499999999999</v>
      </c>
      <c r="CI247">
        <v>2.5066060000000001</v>
      </c>
      <c r="CJ247">
        <v>2.5157050000000001</v>
      </c>
      <c r="CK247">
        <v>1.665243</v>
      </c>
      <c r="CL247">
        <v>0.94235800000000003</v>
      </c>
      <c r="CM247">
        <v>0.19536000000000001</v>
      </c>
      <c r="CN247">
        <v>-6.5069999999999998E-3</v>
      </c>
      <c r="CO247">
        <v>0.168818</v>
      </c>
      <c r="CP247">
        <v>0.19046199999999999</v>
      </c>
      <c r="CQ247">
        <v>105.996613</v>
      </c>
      <c r="CR247">
        <v>3.8000000000000002E-4</v>
      </c>
      <c r="CS247">
        <v>2.4333689999999999</v>
      </c>
      <c r="CT247">
        <v>-3.6000000000000001E-5</v>
      </c>
      <c r="CU247">
        <v>1</v>
      </c>
      <c r="CV247">
        <v>2.4396819999999999</v>
      </c>
      <c r="CW247">
        <v>1.1E-5</v>
      </c>
      <c r="CX247">
        <v>1</v>
      </c>
      <c r="CY247">
        <v>0.60025499999999998</v>
      </c>
      <c r="CZ247">
        <v>0.60245199999999999</v>
      </c>
      <c r="DA247">
        <v>0.106742</v>
      </c>
      <c r="DB247">
        <v>0</v>
      </c>
      <c r="DC247" t="s">
        <v>762</v>
      </c>
      <c r="DD247" t="s">
        <v>515</v>
      </c>
      <c r="DE247" t="s">
        <v>516</v>
      </c>
      <c r="DF247" t="s">
        <v>517</v>
      </c>
      <c r="DG247" t="s">
        <v>518</v>
      </c>
      <c r="DH247" t="s">
        <v>205</v>
      </c>
      <c r="DI247" t="s">
        <v>519</v>
      </c>
    </row>
    <row r="248" spans="1:113">
      <c r="A248">
        <v>57</v>
      </c>
      <c r="B248" s="3">
        <v>0.52318287037037037</v>
      </c>
      <c r="C248" s="1">
        <v>45149</v>
      </c>
      <c r="D248" t="s">
        <v>196</v>
      </c>
      <c r="E248" t="s">
        <v>197</v>
      </c>
      <c r="G248">
        <v>57</v>
      </c>
      <c r="J248">
        <v>3.9156999999999997E-2</v>
      </c>
      <c r="K248">
        <v>2.920407</v>
      </c>
      <c r="L248">
        <v>3.8639E-2</v>
      </c>
      <c r="M248">
        <v>1.1361840000000001</v>
      </c>
      <c r="N248">
        <v>2.2890670000000002</v>
      </c>
      <c r="O248">
        <v>2.2591939999999999</v>
      </c>
      <c r="P248">
        <v>4.9888519999999996</v>
      </c>
      <c r="Q248">
        <v>2.6997849999999999</v>
      </c>
      <c r="R248">
        <v>23.668565999999998</v>
      </c>
      <c r="S248">
        <v>23.981527</v>
      </c>
      <c r="T248">
        <v>52.265965000000001</v>
      </c>
      <c r="U248">
        <v>0.44178600000000001</v>
      </c>
      <c r="V248" t="s">
        <v>763</v>
      </c>
      <c r="W248">
        <v>0</v>
      </c>
      <c r="X248">
        <v>0</v>
      </c>
      <c r="Y248">
        <v>0</v>
      </c>
      <c r="Z248">
        <v>105.29637099999999</v>
      </c>
      <c r="AA248">
        <v>415.11834700000003</v>
      </c>
      <c r="AB248">
        <v>0.74634599999999995</v>
      </c>
      <c r="AC248">
        <v>0.5</v>
      </c>
      <c r="AD248">
        <v>0.8</v>
      </c>
      <c r="AE248">
        <v>29.905155000000001</v>
      </c>
      <c r="AF248">
        <v>44.13</v>
      </c>
      <c r="AG248">
        <v>43.56</v>
      </c>
      <c r="AH248">
        <v>33.47</v>
      </c>
      <c r="AI248">
        <v>32.78</v>
      </c>
      <c r="AJ248">
        <v>95.45</v>
      </c>
      <c r="AK248">
        <v>156.5</v>
      </c>
      <c r="AL248">
        <v>155.69999999999999</v>
      </c>
      <c r="AM248">
        <v>0.5</v>
      </c>
      <c r="AN248">
        <v>100</v>
      </c>
      <c r="AO248">
        <v>3.907</v>
      </c>
      <c r="AP248">
        <v>40</v>
      </c>
      <c r="AQ248">
        <v>-13</v>
      </c>
      <c r="AR248">
        <v>297</v>
      </c>
      <c r="AS248">
        <v>105.26</v>
      </c>
      <c r="AT248">
        <v>-9999</v>
      </c>
      <c r="AU248">
        <v>41.72</v>
      </c>
      <c r="AV248">
        <v>-43.24</v>
      </c>
      <c r="AW248">
        <v>15.18</v>
      </c>
      <c r="AX248">
        <v>276.08999999999997</v>
      </c>
      <c r="AY248">
        <v>72.91</v>
      </c>
      <c r="AZ248" s="3">
        <v>0.73</v>
      </c>
      <c r="BA248" s="1">
        <v>45149</v>
      </c>
      <c r="BB248">
        <v>38.493507000000001</v>
      </c>
      <c r="BC248">
        <v>-1.3619920000000001</v>
      </c>
      <c r="BD248">
        <v>572.70001200000002</v>
      </c>
      <c r="BE248">
        <v>12</v>
      </c>
      <c r="BF248">
        <v>0.83</v>
      </c>
      <c r="BG248" s="3">
        <v>0.52271990740740748</v>
      </c>
      <c r="BH248" s="1">
        <v>45149</v>
      </c>
      <c r="BI248">
        <v>-0.14000000000000001</v>
      </c>
      <c r="BJ248">
        <v>1E-3</v>
      </c>
      <c r="BK248">
        <v>2E-3</v>
      </c>
      <c r="BL248">
        <v>-9999</v>
      </c>
      <c r="BM248">
        <v>0.14399999999999999</v>
      </c>
      <c r="BN248">
        <v>0.55500000000000005</v>
      </c>
      <c r="BO248">
        <v>-9999</v>
      </c>
      <c r="BP248">
        <v>1</v>
      </c>
      <c r="BQ248">
        <v>150</v>
      </c>
      <c r="BR248">
        <v>5.0000000000000001E-3</v>
      </c>
      <c r="BS248">
        <v>2</v>
      </c>
      <c r="BT248">
        <v>0</v>
      </c>
      <c r="BU248" t="s">
        <v>200</v>
      </c>
      <c r="BV248">
        <v>7000</v>
      </c>
      <c r="BW248">
        <v>500</v>
      </c>
      <c r="BX248">
        <v>5</v>
      </c>
      <c r="BY248">
        <v>2</v>
      </c>
      <c r="BZ248">
        <v>300</v>
      </c>
      <c r="CA248">
        <v>300</v>
      </c>
      <c r="CB248">
        <v>300</v>
      </c>
      <c r="CC248">
        <v>415.11834700000003</v>
      </c>
      <c r="CD248">
        <v>25</v>
      </c>
      <c r="CE248">
        <v>0.519737</v>
      </c>
      <c r="CF248">
        <v>422.71078499999999</v>
      </c>
      <c r="CG248">
        <v>415.85977200000002</v>
      </c>
      <c r="CH248">
        <v>6.851013</v>
      </c>
      <c r="CI248">
        <v>2.5066830000000002</v>
      </c>
      <c r="CJ248">
        <v>2.5161370000000001</v>
      </c>
      <c r="CK248">
        <v>1.665019</v>
      </c>
      <c r="CL248">
        <v>0.94161799999999996</v>
      </c>
      <c r="CM248">
        <v>0.195192</v>
      </c>
      <c r="CN248">
        <v>-8.0070000000000002E-3</v>
      </c>
      <c r="CO248">
        <v>0.16972599999999999</v>
      </c>
      <c r="CP248">
        <v>0.19535</v>
      </c>
      <c r="CQ248">
        <v>105.29637099999999</v>
      </c>
      <c r="CR248">
        <v>3.7599999999999998E-4</v>
      </c>
      <c r="CS248">
        <v>2.4333689999999999</v>
      </c>
      <c r="CT248">
        <v>-3.6000000000000001E-5</v>
      </c>
      <c r="CU248">
        <v>1</v>
      </c>
      <c r="CV248">
        <v>2.4396819999999999</v>
      </c>
      <c r="CW248">
        <v>1.1E-5</v>
      </c>
      <c r="CX248">
        <v>1</v>
      </c>
      <c r="CY248">
        <v>0.60025499999999998</v>
      </c>
      <c r="CZ248">
        <v>0.60245199999999999</v>
      </c>
      <c r="DA248">
        <v>0.106742</v>
      </c>
      <c r="DB248">
        <v>0</v>
      </c>
      <c r="DC248" t="s">
        <v>763</v>
      </c>
      <c r="DD248" t="s">
        <v>515</v>
      </c>
      <c r="DE248" t="s">
        <v>516</v>
      </c>
      <c r="DF248" t="s">
        <v>517</v>
      </c>
      <c r="DG248" t="s">
        <v>518</v>
      </c>
      <c r="DH248" t="s">
        <v>205</v>
      </c>
      <c r="DI248" t="s">
        <v>519</v>
      </c>
    </row>
    <row r="249" spans="1:113">
      <c r="A249">
        <v>58</v>
      </c>
      <c r="B249" s="3">
        <v>0.52334490740740736</v>
      </c>
      <c r="C249" s="1">
        <v>45149</v>
      </c>
      <c r="D249" t="s">
        <v>196</v>
      </c>
      <c r="E249" t="s">
        <v>197</v>
      </c>
      <c r="G249">
        <v>58</v>
      </c>
      <c r="J249">
        <v>9.4556000000000001E-2</v>
      </c>
      <c r="K249">
        <v>2.9213</v>
      </c>
      <c r="L249">
        <v>9.1591000000000006E-2</v>
      </c>
      <c r="M249">
        <v>3.0215930000000002</v>
      </c>
      <c r="N249">
        <v>2.3363230000000001</v>
      </c>
      <c r="O249">
        <v>2.2569750000000002</v>
      </c>
      <c r="P249">
        <v>5.3583350000000003</v>
      </c>
      <c r="Q249">
        <v>3.0220129999999998</v>
      </c>
      <c r="R249">
        <v>23.645319000000001</v>
      </c>
      <c r="S249">
        <v>24.476606</v>
      </c>
      <c r="T249">
        <v>56.136882999999997</v>
      </c>
      <c r="U249">
        <v>0.44178600000000001</v>
      </c>
      <c r="V249" t="s">
        <v>764</v>
      </c>
      <c r="W249">
        <v>0</v>
      </c>
      <c r="X249">
        <v>0</v>
      </c>
      <c r="Y249">
        <v>0</v>
      </c>
      <c r="Z249">
        <v>96.128585999999999</v>
      </c>
      <c r="AA249">
        <v>185.10163900000001</v>
      </c>
      <c r="AB249">
        <v>0.48067100000000001</v>
      </c>
      <c r="AC249">
        <v>0.5</v>
      </c>
      <c r="AD249">
        <v>0.8</v>
      </c>
      <c r="AE249">
        <v>210.88110399999999</v>
      </c>
      <c r="AF249">
        <v>44.93</v>
      </c>
      <c r="AG249">
        <v>43.41</v>
      </c>
      <c r="AH249">
        <v>33.51</v>
      </c>
      <c r="AI249">
        <v>34.049999999999997</v>
      </c>
      <c r="AJ249">
        <v>95.45</v>
      </c>
      <c r="AK249">
        <v>156.69999999999999</v>
      </c>
      <c r="AL249">
        <v>156.1</v>
      </c>
      <c r="AM249">
        <v>0.3</v>
      </c>
      <c r="AN249">
        <v>1097</v>
      </c>
      <c r="AO249">
        <v>3.9060000000000001</v>
      </c>
      <c r="AP249">
        <v>36</v>
      </c>
      <c r="AQ249">
        <v>-20</v>
      </c>
      <c r="AR249">
        <v>62</v>
      </c>
      <c r="AS249">
        <v>32.450000000000003</v>
      </c>
      <c r="AT249">
        <v>84.39</v>
      </c>
      <c r="AU249">
        <v>40.520000000000003</v>
      </c>
      <c r="AV249">
        <v>93.77</v>
      </c>
      <c r="AW249">
        <v>15.18</v>
      </c>
      <c r="AX249">
        <v>276.08999999999997</v>
      </c>
      <c r="AY249">
        <v>72.91</v>
      </c>
      <c r="AZ249" s="3">
        <v>0.73016203703703697</v>
      </c>
      <c r="BA249" s="1">
        <v>45149</v>
      </c>
      <c r="BB249">
        <v>38.493499999999997</v>
      </c>
      <c r="BC249">
        <v>-1.3620030000000001</v>
      </c>
      <c r="BD249">
        <v>572.70001200000002</v>
      </c>
      <c r="BE249">
        <v>12</v>
      </c>
      <c r="BF249">
        <v>0.83</v>
      </c>
      <c r="BG249" s="3">
        <v>0.52271990740740748</v>
      </c>
      <c r="BH249" s="1">
        <v>45149</v>
      </c>
      <c r="BI249">
        <v>-0.14000000000000001</v>
      </c>
      <c r="BJ249">
        <v>0</v>
      </c>
      <c r="BK249">
        <v>3.0000000000000001E-3</v>
      </c>
      <c r="BL249">
        <v>-9999</v>
      </c>
      <c r="BM249">
        <v>1.7330000000000001</v>
      </c>
      <c r="BN249">
        <v>-7.0000000000000007E-2</v>
      </c>
      <c r="BO249">
        <v>-9999</v>
      </c>
      <c r="BP249">
        <v>1</v>
      </c>
      <c r="BQ249">
        <v>150</v>
      </c>
      <c r="BR249">
        <v>5.0000000000000001E-3</v>
      </c>
      <c r="BS249">
        <v>2</v>
      </c>
      <c r="BT249">
        <v>0</v>
      </c>
      <c r="BU249" t="s">
        <v>200</v>
      </c>
      <c r="BV249">
        <v>7000</v>
      </c>
      <c r="BW249">
        <v>500</v>
      </c>
      <c r="BX249">
        <v>5</v>
      </c>
      <c r="BY249">
        <v>2</v>
      </c>
      <c r="BZ249">
        <v>300</v>
      </c>
      <c r="CA249">
        <v>300</v>
      </c>
      <c r="CB249">
        <v>300</v>
      </c>
      <c r="CC249">
        <v>171.662811</v>
      </c>
      <c r="CD249">
        <v>25</v>
      </c>
      <c r="CE249">
        <v>-9.3022030000000004</v>
      </c>
      <c r="CF249">
        <v>170.88996900000001</v>
      </c>
      <c r="CG249">
        <v>171.83165</v>
      </c>
      <c r="CH249">
        <v>-0.94168099999999999</v>
      </c>
      <c r="CI249">
        <v>2.5064519999999999</v>
      </c>
      <c r="CJ249">
        <v>2.5173190000000001</v>
      </c>
      <c r="CK249">
        <v>1.665959</v>
      </c>
      <c r="CL249">
        <v>0.94274899999999995</v>
      </c>
      <c r="CM249">
        <v>0.194854</v>
      </c>
      <c r="CN249">
        <v>7.2779999999999997E-3</v>
      </c>
      <c r="CO249">
        <v>0.17131099999999999</v>
      </c>
      <c r="CP249">
        <v>1.076935</v>
      </c>
      <c r="CQ249">
        <v>96.128585999999999</v>
      </c>
      <c r="CR249">
        <v>3.77E-4</v>
      </c>
      <c r="CS249">
        <v>2.4333689999999999</v>
      </c>
      <c r="CT249">
        <v>-3.6000000000000001E-5</v>
      </c>
      <c r="CU249">
        <v>1</v>
      </c>
      <c r="CV249">
        <v>2.4396819999999999</v>
      </c>
      <c r="CW249">
        <v>1.1E-5</v>
      </c>
      <c r="CX249">
        <v>1</v>
      </c>
      <c r="CY249">
        <v>0.60025499999999998</v>
      </c>
      <c r="CZ249">
        <v>0.60245199999999999</v>
      </c>
      <c r="DA249">
        <v>0.106742</v>
      </c>
      <c r="DB249">
        <v>0</v>
      </c>
      <c r="DC249" t="s">
        <v>764</v>
      </c>
      <c r="DD249" t="s">
        <v>515</v>
      </c>
      <c r="DE249" t="s">
        <v>516</v>
      </c>
      <c r="DF249" t="s">
        <v>517</v>
      </c>
      <c r="DG249" t="s">
        <v>518</v>
      </c>
      <c r="DH249" t="s">
        <v>205</v>
      </c>
      <c r="DI249" t="s">
        <v>519</v>
      </c>
    </row>
    <row r="250" spans="1:113">
      <c r="A250">
        <v>59</v>
      </c>
      <c r="B250" s="3">
        <v>0.5234375</v>
      </c>
      <c r="C250" s="1">
        <v>45149</v>
      </c>
      <c r="D250" t="s">
        <v>196</v>
      </c>
      <c r="E250" t="s">
        <v>197</v>
      </c>
      <c r="G250">
        <v>59</v>
      </c>
      <c r="J250">
        <v>0.104921</v>
      </c>
      <c r="K250">
        <v>2.9214920000000002</v>
      </c>
      <c r="L250">
        <v>0.101283</v>
      </c>
      <c r="M250">
        <v>3.246591</v>
      </c>
      <c r="N250">
        <v>2.365405</v>
      </c>
      <c r="O250">
        <v>2.2801870000000002</v>
      </c>
      <c r="P250">
        <v>5.3022270000000002</v>
      </c>
      <c r="Q250">
        <v>2.936823</v>
      </c>
      <c r="R250">
        <v>23.887993000000002</v>
      </c>
      <c r="S250">
        <v>24.780767000000001</v>
      </c>
      <c r="T250">
        <v>55.547901000000003</v>
      </c>
      <c r="U250">
        <v>0.44178600000000001</v>
      </c>
      <c r="V250" t="s">
        <v>765</v>
      </c>
      <c r="W250">
        <v>0</v>
      </c>
      <c r="X250">
        <v>0</v>
      </c>
      <c r="Y250">
        <v>0</v>
      </c>
      <c r="Z250">
        <v>83.130600000000001</v>
      </c>
      <c r="AA250">
        <v>203.87416099999999</v>
      </c>
      <c r="AB250">
        <v>0.59224600000000005</v>
      </c>
      <c r="AC250">
        <v>0.5</v>
      </c>
      <c r="AD250">
        <v>0.8</v>
      </c>
      <c r="AE250">
        <v>35.264763000000002</v>
      </c>
      <c r="AF250">
        <v>45.43</v>
      </c>
      <c r="AG250">
        <v>43.79</v>
      </c>
      <c r="AH250">
        <v>33.54</v>
      </c>
      <c r="AI250">
        <v>33.86</v>
      </c>
      <c r="AJ250">
        <v>95.45</v>
      </c>
      <c r="AK250">
        <v>156.69999999999999</v>
      </c>
      <c r="AL250">
        <v>155.80000000000001</v>
      </c>
      <c r="AM250">
        <v>0.5</v>
      </c>
      <c r="AN250">
        <v>149</v>
      </c>
      <c r="AO250">
        <v>3.9060000000000001</v>
      </c>
      <c r="AP250">
        <v>41</v>
      </c>
      <c r="AQ250">
        <v>1</v>
      </c>
      <c r="AR250">
        <v>87</v>
      </c>
      <c r="AS250">
        <v>33.04</v>
      </c>
      <c r="AT250">
        <v>83.83</v>
      </c>
      <c r="AU250">
        <v>41.01</v>
      </c>
      <c r="AV250">
        <v>85.48</v>
      </c>
      <c r="AW250">
        <v>15.18</v>
      </c>
      <c r="AX250">
        <v>276.08999999999997</v>
      </c>
      <c r="AY250">
        <v>72.91</v>
      </c>
      <c r="AZ250" s="3">
        <v>0.73026620370370365</v>
      </c>
      <c r="BA250" s="1">
        <v>45149</v>
      </c>
      <c r="BB250">
        <v>38.493510999999998</v>
      </c>
      <c r="BC250">
        <v>-1.362023</v>
      </c>
      <c r="BD250">
        <v>572.79998799999998</v>
      </c>
      <c r="BE250">
        <v>11</v>
      </c>
      <c r="BF250">
        <v>0.92</v>
      </c>
      <c r="BG250" s="3">
        <v>0.52271990740740748</v>
      </c>
      <c r="BH250" s="1">
        <v>45149</v>
      </c>
      <c r="BI250">
        <v>-0.14000000000000001</v>
      </c>
      <c r="BJ250">
        <v>0</v>
      </c>
      <c r="BK250">
        <v>1E-3</v>
      </c>
      <c r="BL250">
        <v>-9999</v>
      </c>
      <c r="BM250">
        <v>-1.5620000000000001</v>
      </c>
      <c r="BN250">
        <v>-2.472</v>
      </c>
      <c r="BO250">
        <v>-9999</v>
      </c>
      <c r="BP250">
        <v>1</v>
      </c>
      <c r="BQ250">
        <v>150</v>
      </c>
      <c r="BR250">
        <v>5.0000000000000001E-3</v>
      </c>
      <c r="BS250">
        <v>2</v>
      </c>
      <c r="BT250">
        <v>0</v>
      </c>
      <c r="BU250" t="s">
        <v>200</v>
      </c>
      <c r="BV250">
        <v>7000</v>
      </c>
      <c r="BW250">
        <v>500</v>
      </c>
      <c r="BX250">
        <v>5</v>
      </c>
      <c r="BY250">
        <v>2</v>
      </c>
      <c r="BZ250">
        <v>300</v>
      </c>
      <c r="CA250">
        <v>300</v>
      </c>
      <c r="CB250">
        <v>300</v>
      </c>
      <c r="CC250">
        <v>188.25959800000001</v>
      </c>
      <c r="CD250">
        <v>25</v>
      </c>
      <c r="CE250">
        <v>-10.768083000000001</v>
      </c>
      <c r="CF250">
        <v>188.37262000000001</v>
      </c>
      <c r="CG250">
        <v>188.513046</v>
      </c>
      <c r="CH250">
        <v>-0.140427</v>
      </c>
      <c r="CI250">
        <v>2.507015</v>
      </c>
      <c r="CJ250">
        <v>2.5180479999999998</v>
      </c>
      <c r="CK250">
        <v>1.6661619999999999</v>
      </c>
      <c r="CL250">
        <v>0.94195600000000002</v>
      </c>
      <c r="CM250">
        <v>0.194658</v>
      </c>
      <c r="CN250">
        <v>4.6010000000000001E-3</v>
      </c>
      <c r="CO250">
        <v>0.172239</v>
      </c>
      <c r="CP250">
        <v>0.23841799999999999</v>
      </c>
      <c r="CQ250">
        <v>83.130600000000001</v>
      </c>
      <c r="CR250">
        <v>3.7800000000000003E-4</v>
      </c>
      <c r="CS250">
        <v>2.4333689999999999</v>
      </c>
      <c r="CT250">
        <v>-3.6000000000000001E-5</v>
      </c>
      <c r="CU250">
        <v>1</v>
      </c>
      <c r="CV250">
        <v>2.4396819999999999</v>
      </c>
      <c r="CW250">
        <v>1.1E-5</v>
      </c>
      <c r="CX250">
        <v>1</v>
      </c>
      <c r="CY250">
        <v>0.60025499999999998</v>
      </c>
      <c r="CZ250">
        <v>0.60245199999999999</v>
      </c>
      <c r="DA250">
        <v>0.106742</v>
      </c>
      <c r="DB250">
        <v>0</v>
      </c>
      <c r="DC250" t="s">
        <v>765</v>
      </c>
      <c r="DD250" t="s">
        <v>515</v>
      </c>
      <c r="DE250" t="s">
        <v>516</v>
      </c>
      <c r="DF250" t="s">
        <v>517</v>
      </c>
      <c r="DG250" t="s">
        <v>518</v>
      </c>
      <c r="DH250" t="s">
        <v>205</v>
      </c>
      <c r="DI250" t="s">
        <v>519</v>
      </c>
    </row>
    <row r="251" spans="1:113">
      <c r="A251">
        <v>60</v>
      </c>
      <c r="B251" s="3">
        <v>0.52353009259259264</v>
      </c>
      <c r="C251" s="1">
        <v>45149</v>
      </c>
      <c r="D251" t="s">
        <v>196</v>
      </c>
      <c r="E251" t="s">
        <v>197</v>
      </c>
      <c r="G251">
        <v>60</v>
      </c>
      <c r="J251">
        <v>0.102365</v>
      </c>
      <c r="K251">
        <v>2.9214310000000001</v>
      </c>
      <c r="L251">
        <v>9.8899000000000001E-2</v>
      </c>
      <c r="M251">
        <v>3.3498480000000002</v>
      </c>
      <c r="N251">
        <v>2.3507940000000001</v>
      </c>
      <c r="O251">
        <v>2.2628529999999998</v>
      </c>
      <c r="P251">
        <v>5.451568</v>
      </c>
      <c r="Q251">
        <v>3.1007739999999999</v>
      </c>
      <c r="R251">
        <v>23.707951999999999</v>
      </c>
      <c r="S251">
        <v>24.629308999999999</v>
      </c>
      <c r="T251">
        <v>57.116177</v>
      </c>
      <c r="U251">
        <v>0.44178600000000001</v>
      </c>
      <c r="V251" t="s">
        <v>766</v>
      </c>
      <c r="W251">
        <v>0</v>
      </c>
      <c r="X251">
        <v>0</v>
      </c>
      <c r="Y251">
        <v>0</v>
      </c>
      <c r="Z251">
        <v>101.723671</v>
      </c>
      <c r="AA251">
        <v>197.00599700000001</v>
      </c>
      <c r="AB251">
        <v>0.48365200000000003</v>
      </c>
      <c r="AC251">
        <v>0.5</v>
      </c>
      <c r="AD251">
        <v>0.8</v>
      </c>
      <c r="AE251">
        <v>39.435321999999999</v>
      </c>
      <c r="AF251">
        <v>45.09</v>
      </c>
      <c r="AG251">
        <v>43.4</v>
      </c>
      <c r="AH251">
        <v>33.56</v>
      </c>
      <c r="AI251">
        <v>34.36</v>
      </c>
      <c r="AJ251">
        <v>95.45</v>
      </c>
      <c r="AK251">
        <v>156.69999999999999</v>
      </c>
      <c r="AL251">
        <v>155.9</v>
      </c>
      <c r="AM251">
        <v>0.5</v>
      </c>
      <c r="AN251">
        <v>204</v>
      </c>
      <c r="AO251">
        <v>3.9049999999999998</v>
      </c>
      <c r="AP251">
        <v>46</v>
      </c>
      <c r="AQ251">
        <v>9</v>
      </c>
      <c r="AR251">
        <v>91</v>
      </c>
      <c r="AS251">
        <v>30.14</v>
      </c>
      <c r="AT251">
        <v>86.48</v>
      </c>
      <c r="AU251">
        <v>46.68</v>
      </c>
      <c r="AV251">
        <v>78.58</v>
      </c>
      <c r="AW251">
        <v>15.18</v>
      </c>
      <c r="AX251">
        <v>276.08999999999997</v>
      </c>
      <c r="AY251">
        <v>72.91</v>
      </c>
      <c r="AZ251" s="3">
        <v>0.73034722222222215</v>
      </c>
      <c r="BA251" s="1">
        <v>45149</v>
      </c>
      <c r="BB251">
        <v>38.493332000000002</v>
      </c>
      <c r="BC251">
        <v>-1.362117</v>
      </c>
      <c r="BD251">
        <v>574.09997599999997</v>
      </c>
      <c r="BE251">
        <v>10</v>
      </c>
      <c r="BF251">
        <v>0.97</v>
      </c>
      <c r="BG251" s="3">
        <v>0.52271990740740748</v>
      </c>
      <c r="BH251" s="1">
        <v>45149</v>
      </c>
      <c r="BI251">
        <v>-0.14000000000000001</v>
      </c>
      <c r="BJ251">
        <v>-1E-3</v>
      </c>
      <c r="BK251">
        <v>-1E-3</v>
      </c>
      <c r="BL251">
        <v>-9999</v>
      </c>
      <c r="BM251">
        <v>2.9940000000000002</v>
      </c>
      <c r="BN251">
        <v>1.796</v>
      </c>
      <c r="BO251">
        <v>-9999</v>
      </c>
      <c r="BP251">
        <v>1</v>
      </c>
      <c r="BQ251">
        <v>150</v>
      </c>
      <c r="BR251">
        <v>5.0000000000000001E-3</v>
      </c>
      <c r="BS251">
        <v>2</v>
      </c>
      <c r="BT251">
        <v>0</v>
      </c>
      <c r="BU251" t="s">
        <v>200</v>
      </c>
      <c r="BV251">
        <v>7000</v>
      </c>
      <c r="BW251">
        <v>500</v>
      </c>
      <c r="BX251">
        <v>5</v>
      </c>
      <c r="BY251">
        <v>2</v>
      </c>
      <c r="BZ251">
        <v>300</v>
      </c>
      <c r="CA251">
        <v>300</v>
      </c>
      <c r="CB251">
        <v>300</v>
      </c>
      <c r="CC251">
        <v>183.862213</v>
      </c>
      <c r="CD251">
        <v>25</v>
      </c>
      <c r="CE251">
        <v>-9.0954069999999998</v>
      </c>
      <c r="CF251">
        <v>183.18808000000001</v>
      </c>
      <c r="CG251">
        <v>184.03102100000001</v>
      </c>
      <c r="CH251">
        <v>-0.84294100000000005</v>
      </c>
      <c r="CI251">
        <v>2.5064359999999999</v>
      </c>
      <c r="CJ251">
        <v>2.517544</v>
      </c>
      <c r="CK251">
        <v>1.6660969999999999</v>
      </c>
      <c r="CL251">
        <v>0.94205399999999995</v>
      </c>
      <c r="CM251">
        <v>0.19448699999999999</v>
      </c>
      <c r="CN251">
        <v>1.056E-2</v>
      </c>
      <c r="CO251">
        <v>0.173037</v>
      </c>
      <c r="CP251">
        <v>0.287053</v>
      </c>
      <c r="CQ251">
        <v>101.723671</v>
      </c>
      <c r="CR251">
        <v>3.6200000000000002E-4</v>
      </c>
      <c r="CS251">
        <v>2.4333689999999999</v>
      </c>
      <c r="CT251">
        <v>-3.6000000000000001E-5</v>
      </c>
      <c r="CU251">
        <v>1</v>
      </c>
      <c r="CV251">
        <v>2.4396819999999999</v>
      </c>
      <c r="CW251">
        <v>1.1E-5</v>
      </c>
      <c r="CX251">
        <v>1</v>
      </c>
      <c r="CY251">
        <v>0.60025499999999998</v>
      </c>
      <c r="CZ251">
        <v>0.60245199999999999</v>
      </c>
      <c r="DA251">
        <v>0.106742</v>
      </c>
      <c r="DB251">
        <v>0</v>
      </c>
      <c r="DC251" t="s">
        <v>766</v>
      </c>
      <c r="DD251" t="s">
        <v>515</v>
      </c>
      <c r="DE251" t="s">
        <v>516</v>
      </c>
      <c r="DF251" t="s">
        <v>517</v>
      </c>
      <c r="DG251" t="s">
        <v>518</v>
      </c>
      <c r="DH251" t="s">
        <v>205</v>
      </c>
      <c r="DI251" t="s">
        <v>519</v>
      </c>
    </row>
    <row r="252" spans="1:113">
      <c r="A252">
        <v>1</v>
      </c>
      <c r="B252" s="3">
        <v>0.52766203703703707</v>
      </c>
      <c r="C252" s="1">
        <v>45149</v>
      </c>
      <c r="D252" t="s">
        <v>196</v>
      </c>
      <c r="E252" t="s">
        <v>197</v>
      </c>
      <c r="G252">
        <v>1</v>
      </c>
      <c r="J252">
        <v>8.9460000000000008E-3</v>
      </c>
      <c r="K252">
        <v>2.9215779999999998</v>
      </c>
      <c r="L252">
        <v>8.9180000000000006E-3</v>
      </c>
      <c r="M252">
        <v>0.29126400000000002</v>
      </c>
      <c r="N252">
        <v>2.267417</v>
      </c>
      <c r="O252">
        <v>2.2597680000000002</v>
      </c>
      <c r="P252">
        <v>5.2605170000000001</v>
      </c>
      <c r="Q252">
        <v>2.993099</v>
      </c>
      <c r="R252">
        <v>23.684501999999998</v>
      </c>
      <c r="S252">
        <v>23.764672999999998</v>
      </c>
      <c r="T252">
        <v>55.135181000000003</v>
      </c>
      <c r="U252">
        <v>0.44178600000000001</v>
      </c>
      <c r="V252" t="s">
        <v>767</v>
      </c>
      <c r="W252">
        <v>0</v>
      </c>
      <c r="X252">
        <v>0</v>
      </c>
      <c r="Y252">
        <v>0</v>
      </c>
      <c r="Z252">
        <v>105.83674600000001</v>
      </c>
      <c r="AA252">
        <v>280.38632200000001</v>
      </c>
      <c r="AB252">
        <v>0.62253199999999997</v>
      </c>
      <c r="AC252">
        <v>0.5</v>
      </c>
      <c r="AD252">
        <v>0.8</v>
      </c>
      <c r="AE252">
        <v>29.511147999999999</v>
      </c>
      <c r="AF252">
        <v>43.53</v>
      </c>
      <c r="AG252">
        <v>43.38</v>
      </c>
      <c r="AH252">
        <v>33.54</v>
      </c>
      <c r="AI252">
        <v>33.72</v>
      </c>
      <c r="AJ252">
        <v>95.41</v>
      </c>
      <c r="AK252">
        <v>156.69999999999999</v>
      </c>
      <c r="AL252">
        <v>155.9</v>
      </c>
      <c r="AM252">
        <v>0.5</v>
      </c>
      <c r="AN252">
        <v>119</v>
      </c>
      <c r="AO252">
        <v>3.9049999999999998</v>
      </c>
      <c r="AP252">
        <v>3</v>
      </c>
      <c r="AQ252">
        <v>0</v>
      </c>
      <c r="AR252">
        <v>322</v>
      </c>
      <c r="AZ252" s="3">
        <v>0</v>
      </c>
      <c r="BA252" t="s">
        <v>513</v>
      </c>
      <c r="BB252" t="s">
        <v>514</v>
      </c>
      <c r="BC252" t="s">
        <v>514</v>
      </c>
      <c r="BD252" t="s">
        <v>514</v>
      </c>
      <c r="BE252">
        <v>0</v>
      </c>
      <c r="BF252" t="s">
        <v>514</v>
      </c>
      <c r="BG252" s="3">
        <v>0.52733796296296298</v>
      </c>
      <c r="BH252" s="1">
        <v>45149</v>
      </c>
      <c r="BI252">
        <v>-0.03</v>
      </c>
      <c r="BJ252">
        <v>0</v>
      </c>
      <c r="BK252">
        <v>0</v>
      </c>
      <c r="BL252">
        <v>1E-3</v>
      </c>
      <c r="BM252">
        <v>-1.37</v>
      </c>
      <c r="BN252">
        <v>-3.8919999999999999</v>
      </c>
      <c r="BO252">
        <v>-13.944000000000001</v>
      </c>
      <c r="BP252">
        <v>1</v>
      </c>
      <c r="BQ252">
        <v>150</v>
      </c>
      <c r="BR252">
        <v>5.0000000000000001E-3</v>
      </c>
      <c r="BS252">
        <v>2</v>
      </c>
      <c r="BT252">
        <v>0</v>
      </c>
      <c r="BU252" t="s">
        <v>200</v>
      </c>
      <c r="BV252">
        <v>7000</v>
      </c>
      <c r="BW252">
        <v>500</v>
      </c>
      <c r="BX252">
        <v>5</v>
      </c>
      <c r="BY252">
        <v>2</v>
      </c>
      <c r="BZ252">
        <v>300</v>
      </c>
      <c r="CA252">
        <v>300</v>
      </c>
      <c r="CB252">
        <v>300</v>
      </c>
      <c r="CC252">
        <v>280.38632200000001</v>
      </c>
      <c r="CD252">
        <v>25</v>
      </c>
      <c r="CE252">
        <v>6.8554110000000001</v>
      </c>
      <c r="CF252">
        <v>287.06146200000001</v>
      </c>
      <c r="CG252">
        <v>290.165863</v>
      </c>
      <c r="CH252">
        <v>-3.1044010000000002</v>
      </c>
      <c r="CI252">
        <v>2.5064120000000001</v>
      </c>
      <c r="CJ252">
        <v>2.5150640000000002</v>
      </c>
      <c r="CK252">
        <v>1.666253</v>
      </c>
      <c r="CL252">
        <v>0.94220199999999998</v>
      </c>
      <c r="CM252">
        <v>0.19461400000000001</v>
      </c>
      <c r="CN252">
        <v>2.7669999999999999E-3</v>
      </c>
      <c r="CO252">
        <v>0.15839500000000001</v>
      </c>
      <c r="CP252">
        <v>0.21157400000000001</v>
      </c>
      <c r="CQ252">
        <v>105.83674600000001</v>
      </c>
      <c r="CR252">
        <v>3.6000000000000002E-4</v>
      </c>
      <c r="CS252">
        <v>2.4333689999999999</v>
      </c>
      <c r="CT252">
        <v>-3.6000000000000001E-5</v>
      </c>
      <c r="CU252">
        <v>1</v>
      </c>
      <c r="CV252">
        <v>2.4396819999999999</v>
      </c>
      <c r="CW252">
        <v>1.1E-5</v>
      </c>
      <c r="CX252">
        <v>1</v>
      </c>
      <c r="CY252">
        <v>0.60025499999999998</v>
      </c>
      <c r="CZ252">
        <v>0.60245199999999999</v>
      </c>
      <c r="DA252">
        <v>0.106742</v>
      </c>
      <c r="DB252">
        <v>0</v>
      </c>
      <c r="DC252" t="s">
        <v>767</v>
      </c>
      <c r="DD252" t="s">
        <v>515</v>
      </c>
      <c r="DE252" t="s">
        <v>516</v>
      </c>
      <c r="DF252" t="s">
        <v>517</v>
      </c>
      <c r="DG252" t="s">
        <v>518</v>
      </c>
      <c r="DH252" t="s">
        <v>205</v>
      </c>
      <c r="DI252" t="s">
        <v>519</v>
      </c>
    </row>
    <row r="253" spans="1:113">
      <c r="A253">
        <v>2</v>
      </c>
      <c r="B253" s="3">
        <v>0.52778935185185183</v>
      </c>
      <c r="C253" s="1">
        <v>45149</v>
      </c>
      <c r="D253" t="s">
        <v>196</v>
      </c>
      <c r="E253" t="s">
        <v>197</v>
      </c>
      <c r="G253">
        <v>2</v>
      </c>
      <c r="J253">
        <v>2.1881999999999999E-2</v>
      </c>
      <c r="K253">
        <v>2.9217390000000001</v>
      </c>
      <c r="L253">
        <v>2.1718999999999999E-2</v>
      </c>
      <c r="M253">
        <v>0.68364100000000005</v>
      </c>
      <c r="N253">
        <v>2.2611569999999999</v>
      </c>
      <c r="O253">
        <v>2.2432050000000001</v>
      </c>
      <c r="P253">
        <v>5.1476350000000002</v>
      </c>
      <c r="Q253">
        <v>2.8864779999999999</v>
      </c>
      <c r="R253">
        <v>23.511949999999999</v>
      </c>
      <c r="S253">
        <v>23.700115</v>
      </c>
      <c r="T253">
        <v>53.954483000000003</v>
      </c>
      <c r="U253">
        <v>0.44178600000000001</v>
      </c>
      <c r="V253" t="s">
        <v>768</v>
      </c>
      <c r="W253">
        <v>0</v>
      </c>
      <c r="X253">
        <v>0</v>
      </c>
      <c r="Y253">
        <v>0</v>
      </c>
      <c r="Z253">
        <v>120.739105</v>
      </c>
      <c r="AA253">
        <v>505.19012500000002</v>
      </c>
      <c r="AB253">
        <v>0.76100299999999999</v>
      </c>
      <c r="AC253">
        <v>0.5</v>
      </c>
      <c r="AD253">
        <v>0.8</v>
      </c>
      <c r="AE253">
        <v>45.493313000000001</v>
      </c>
      <c r="AF253">
        <v>43.37</v>
      </c>
      <c r="AG253">
        <v>43.03</v>
      </c>
      <c r="AH253">
        <v>33.56</v>
      </c>
      <c r="AI253">
        <v>33.33</v>
      </c>
      <c r="AJ253">
        <v>95.41</v>
      </c>
      <c r="AK253">
        <v>156.69999999999999</v>
      </c>
      <c r="AL253">
        <v>150.1</v>
      </c>
      <c r="AM253">
        <v>4.2</v>
      </c>
      <c r="AN253">
        <v>149</v>
      </c>
      <c r="AO253">
        <v>3.903</v>
      </c>
      <c r="AP253">
        <v>32</v>
      </c>
      <c r="AQ253">
        <v>-33</v>
      </c>
      <c r="AR253">
        <v>306</v>
      </c>
      <c r="AZ253" s="3">
        <v>0</v>
      </c>
      <c r="BA253" t="s">
        <v>513</v>
      </c>
      <c r="BB253" t="s">
        <v>514</v>
      </c>
      <c r="BC253" t="s">
        <v>514</v>
      </c>
      <c r="BD253" t="s">
        <v>514</v>
      </c>
      <c r="BE253">
        <v>0</v>
      </c>
      <c r="BF253" t="s">
        <v>514</v>
      </c>
      <c r="BG253" s="3">
        <v>0.52733796296296298</v>
      </c>
      <c r="BH253" s="1">
        <v>45149</v>
      </c>
      <c r="BI253">
        <v>-0.03</v>
      </c>
      <c r="BJ253">
        <v>0</v>
      </c>
      <c r="BK253">
        <v>1E-3</v>
      </c>
      <c r="BL253">
        <v>-9999</v>
      </c>
      <c r="BM253">
        <v>-0.24099999999999999</v>
      </c>
      <c r="BN253">
        <v>3.468</v>
      </c>
      <c r="BO253">
        <v>-9999</v>
      </c>
      <c r="BP253">
        <v>1</v>
      </c>
      <c r="BQ253">
        <v>150</v>
      </c>
      <c r="BR253">
        <v>5.0000000000000001E-3</v>
      </c>
      <c r="BS253">
        <v>2</v>
      </c>
      <c r="BT253">
        <v>0</v>
      </c>
      <c r="BU253" t="s">
        <v>200</v>
      </c>
      <c r="BV253">
        <v>7000</v>
      </c>
      <c r="BW253">
        <v>500</v>
      </c>
      <c r="BX253">
        <v>5</v>
      </c>
      <c r="BY253">
        <v>2</v>
      </c>
      <c r="BZ253">
        <v>300</v>
      </c>
      <c r="CA253">
        <v>300</v>
      </c>
      <c r="CB253">
        <v>300</v>
      </c>
      <c r="CC253">
        <v>505.19012500000002</v>
      </c>
      <c r="CD253">
        <v>25</v>
      </c>
      <c r="CE253">
        <v>5.0143690000000003</v>
      </c>
      <c r="CF253">
        <v>512.09948699999995</v>
      </c>
      <c r="CG253">
        <v>512.34332300000005</v>
      </c>
      <c r="CH253">
        <v>-0.243835</v>
      </c>
      <c r="CI253">
        <v>2.5058850000000001</v>
      </c>
      <c r="CJ253">
        <v>2.5148299999999999</v>
      </c>
      <c r="CK253">
        <v>1.666423</v>
      </c>
      <c r="CL253">
        <v>0.92734899999999998</v>
      </c>
      <c r="CM253">
        <v>0.19450200000000001</v>
      </c>
      <c r="CN253">
        <v>-2.2339999999999999E-3</v>
      </c>
      <c r="CO253">
        <v>0.16001499999999999</v>
      </c>
      <c r="CP253">
        <v>0.23894199999999999</v>
      </c>
      <c r="CQ253">
        <v>120.739105</v>
      </c>
      <c r="CR253">
        <v>3.68E-4</v>
      </c>
      <c r="CS253">
        <v>2.4333689999999999</v>
      </c>
      <c r="CT253">
        <v>-3.6000000000000001E-5</v>
      </c>
      <c r="CU253">
        <v>1</v>
      </c>
      <c r="CV253">
        <v>2.4396819999999999</v>
      </c>
      <c r="CW253">
        <v>1.1E-5</v>
      </c>
      <c r="CX253">
        <v>1</v>
      </c>
      <c r="CY253">
        <v>0.60025499999999998</v>
      </c>
      <c r="CZ253">
        <v>0.60245199999999999</v>
      </c>
      <c r="DA253">
        <v>0.106742</v>
      </c>
      <c r="DB253">
        <v>0</v>
      </c>
      <c r="DC253" t="s">
        <v>768</v>
      </c>
      <c r="DD253" t="s">
        <v>515</v>
      </c>
      <c r="DE253" t="s">
        <v>516</v>
      </c>
      <c r="DF253" t="s">
        <v>517</v>
      </c>
      <c r="DG253" t="s">
        <v>518</v>
      </c>
      <c r="DH253" t="s">
        <v>205</v>
      </c>
      <c r="DI253" t="s">
        <v>519</v>
      </c>
    </row>
    <row r="254" spans="1:113">
      <c r="A254">
        <v>3</v>
      </c>
      <c r="B254" s="3">
        <v>0.52803240740740742</v>
      </c>
      <c r="C254" s="1">
        <v>45149</v>
      </c>
      <c r="D254" t="s">
        <v>196</v>
      </c>
      <c r="E254" t="s">
        <v>197</v>
      </c>
      <c r="G254">
        <v>3</v>
      </c>
      <c r="J254">
        <v>1.3405E-2</v>
      </c>
      <c r="K254">
        <v>2.9224570000000001</v>
      </c>
      <c r="L254">
        <v>1.3344E-2</v>
      </c>
      <c r="M254">
        <v>0.46962300000000001</v>
      </c>
      <c r="N254">
        <v>2.2647059999999999</v>
      </c>
      <c r="O254">
        <v>2.2523810000000002</v>
      </c>
      <c r="P254">
        <v>5.4860670000000002</v>
      </c>
      <c r="Q254">
        <v>3.2213609999999999</v>
      </c>
      <c r="R254">
        <v>23.607451999999999</v>
      </c>
      <c r="S254">
        <v>23.736633000000001</v>
      </c>
      <c r="T254">
        <v>57.500069000000003</v>
      </c>
      <c r="U254">
        <v>0.44178600000000001</v>
      </c>
      <c r="V254" t="s">
        <v>769</v>
      </c>
      <c r="W254">
        <v>0</v>
      </c>
      <c r="X254">
        <v>0</v>
      </c>
      <c r="Y254">
        <v>0</v>
      </c>
      <c r="Z254">
        <v>166.69107099999999</v>
      </c>
      <c r="AA254">
        <v>288.97903400000001</v>
      </c>
      <c r="AB254">
        <v>0.42317199999999999</v>
      </c>
      <c r="AC254">
        <v>0.5</v>
      </c>
      <c r="AD254">
        <v>0.8</v>
      </c>
      <c r="AE254">
        <v>131.0513</v>
      </c>
      <c r="AF254">
        <v>43.36</v>
      </c>
      <c r="AG254">
        <v>43.12</v>
      </c>
      <c r="AH254">
        <v>33.590000000000003</v>
      </c>
      <c r="AI254">
        <v>34.47</v>
      </c>
      <c r="AJ254">
        <v>95.41</v>
      </c>
      <c r="AK254">
        <v>156.80000000000001</v>
      </c>
      <c r="AL254">
        <v>155.6</v>
      </c>
      <c r="AM254">
        <v>0.7</v>
      </c>
      <c r="AN254">
        <v>774</v>
      </c>
      <c r="AO254">
        <v>3.9020000000000001</v>
      </c>
      <c r="AP254">
        <v>24</v>
      </c>
      <c r="AQ254">
        <v>-35</v>
      </c>
      <c r="AR254">
        <v>6</v>
      </c>
      <c r="AZ254" s="3">
        <v>0</v>
      </c>
      <c r="BA254" t="s">
        <v>513</v>
      </c>
      <c r="BB254" t="s">
        <v>514</v>
      </c>
      <c r="BC254" t="s">
        <v>514</v>
      </c>
      <c r="BD254" t="s">
        <v>514</v>
      </c>
      <c r="BE254">
        <v>0</v>
      </c>
      <c r="BF254" t="s">
        <v>514</v>
      </c>
      <c r="BG254" s="3">
        <v>0.52733796296296298</v>
      </c>
      <c r="BH254" s="1">
        <v>45149</v>
      </c>
      <c r="BI254">
        <v>-0.03</v>
      </c>
      <c r="BJ254">
        <v>-1E-3</v>
      </c>
      <c r="BK254">
        <v>0</v>
      </c>
      <c r="BL254">
        <v>0</v>
      </c>
      <c r="BM254">
        <v>39.81</v>
      </c>
      <c r="BN254">
        <v>-4.585</v>
      </c>
      <c r="BO254">
        <v>63.207000000000001</v>
      </c>
      <c r="BP254">
        <v>1</v>
      </c>
      <c r="BQ254">
        <v>150</v>
      </c>
      <c r="BR254">
        <v>5.0000000000000001E-3</v>
      </c>
      <c r="BS254">
        <v>2</v>
      </c>
      <c r="BT254">
        <v>0</v>
      </c>
      <c r="BU254" t="s">
        <v>200</v>
      </c>
      <c r="BV254">
        <v>7000</v>
      </c>
      <c r="BW254">
        <v>500</v>
      </c>
      <c r="BX254">
        <v>5</v>
      </c>
      <c r="BY254">
        <v>2</v>
      </c>
      <c r="BZ254">
        <v>300</v>
      </c>
      <c r="CA254">
        <v>300</v>
      </c>
      <c r="CB254">
        <v>300</v>
      </c>
      <c r="CC254">
        <v>278.79632600000002</v>
      </c>
      <c r="CD254">
        <v>25</v>
      </c>
      <c r="CE254">
        <v>-8.4420739999999999</v>
      </c>
      <c r="CF254">
        <v>273.229828</v>
      </c>
      <c r="CG254">
        <v>276.93606599999998</v>
      </c>
      <c r="CH254">
        <v>-3.7062379999999999</v>
      </c>
      <c r="CI254">
        <v>2.5060150000000001</v>
      </c>
      <c r="CJ254">
        <v>2.5148009999999998</v>
      </c>
      <c r="CK254">
        <v>1.6671819999999999</v>
      </c>
      <c r="CL254">
        <v>0.94149400000000005</v>
      </c>
      <c r="CM254">
        <v>0.19423899999999999</v>
      </c>
      <c r="CN254">
        <v>1.1579000000000001E-2</v>
      </c>
      <c r="CO254">
        <v>0.163133</v>
      </c>
      <c r="CP254">
        <v>0.79158700000000004</v>
      </c>
      <c r="CQ254">
        <v>166.69107099999999</v>
      </c>
      <c r="CR254">
        <v>3.7100000000000002E-4</v>
      </c>
      <c r="CS254">
        <v>2.4333689999999999</v>
      </c>
      <c r="CT254">
        <v>-3.6000000000000001E-5</v>
      </c>
      <c r="CU254">
        <v>1</v>
      </c>
      <c r="CV254">
        <v>2.4396819999999999</v>
      </c>
      <c r="CW254">
        <v>1.1E-5</v>
      </c>
      <c r="CX254">
        <v>1</v>
      </c>
      <c r="CY254">
        <v>0.60025499999999998</v>
      </c>
      <c r="CZ254">
        <v>0.60245199999999999</v>
      </c>
      <c r="DA254">
        <v>0.106742</v>
      </c>
      <c r="DB254">
        <v>0</v>
      </c>
      <c r="DC254" t="s">
        <v>769</v>
      </c>
      <c r="DD254" t="s">
        <v>515</v>
      </c>
      <c r="DE254" t="s">
        <v>516</v>
      </c>
      <c r="DF254" t="s">
        <v>517</v>
      </c>
      <c r="DG254" t="s">
        <v>518</v>
      </c>
      <c r="DH254" t="s">
        <v>205</v>
      </c>
      <c r="DI254" t="s">
        <v>519</v>
      </c>
    </row>
    <row r="255" spans="1:113">
      <c r="A255">
        <v>4</v>
      </c>
      <c r="B255" s="3">
        <v>0.52815972222222218</v>
      </c>
      <c r="C255" s="1">
        <v>45149</v>
      </c>
      <c r="D255" t="s">
        <v>196</v>
      </c>
      <c r="E255" t="s">
        <v>197</v>
      </c>
      <c r="G255">
        <v>4</v>
      </c>
      <c r="J255">
        <v>5.8668999999999999E-2</v>
      </c>
      <c r="K255">
        <v>2.920909</v>
      </c>
      <c r="L255">
        <v>5.7513000000000002E-2</v>
      </c>
      <c r="M255">
        <v>1.830495</v>
      </c>
      <c r="N255">
        <v>2.3129279999999999</v>
      </c>
      <c r="O255">
        <v>2.26485</v>
      </c>
      <c r="P255">
        <v>5.2297859999999998</v>
      </c>
      <c r="Q255">
        <v>2.916858</v>
      </c>
      <c r="R255">
        <v>23.736149000000001</v>
      </c>
      <c r="S255">
        <v>24.240024999999999</v>
      </c>
      <c r="T255">
        <v>54.809367999999999</v>
      </c>
      <c r="U255">
        <v>0.44178600000000001</v>
      </c>
      <c r="V255" t="s">
        <v>770</v>
      </c>
      <c r="W255">
        <v>0</v>
      </c>
      <c r="X255">
        <v>0</v>
      </c>
      <c r="Y255">
        <v>0</v>
      </c>
      <c r="Z255">
        <v>107.44177999999999</v>
      </c>
      <c r="AA255">
        <v>361.39047199999999</v>
      </c>
      <c r="AB255">
        <v>0.70269899999999996</v>
      </c>
      <c r="AC255">
        <v>0.5</v>
      </c>
      <c r="AD255">
        <v>0.8</v>
      </c>
      <c r="AE255">
        <v>41.78537</v>
      </c>
      <c r="AF255">
        <v>44.24</v>
      </c>
      <c r="AG255">
        <v>43.32</v>
      </c>
      <c r="AH255">
        <v>33.61</v>
      </c>
      <c r="AI255">
        <v>33.619999999999997</v>
      </c>
      <c r="AJ255">
        <v>95.42</v>
      </c>
      <c r="AK255">
        <v>156.6</v>
      </c>
      <c r="AL255">
        <v>155.9</v>
      </c>
      <c r="AM255">
        <v>0.4</v>
      </c>
      <c r="AN255">
        <v>149</v>
      </c>
      <c r="AO255">
        <v>3.9020000000000001</v>
      </c>
      <c r="AP255">
        <v>-17</v>
      </c>
      <c r="AQ255">
        <v>-20</v>
      </c>
      <c r="AR255">
        <v>22</v>
      </c>
      <c r="AZ255" s="3">
        <v>0</v>
      </c>
      <c r="BA255" t="s">
        <v>513</v>
      </c>
      <c r="BB255" t="s">
        <v>514</v>
      </c>
      <c r="BC255" t="s">
        <v>514</v>
      </c>
      <c r="BD255" t="s">
        <v>514</v>
      </c>
      <c r="BE255">
        <v>0</v>
      </c>
      <c r="BF255" t="s">
        <v>514</v>
      </c>
      <c r="BG255" s="3">
        <v>0.52733796296296298</v>
      </c>
      <c r="BH255" s="1">
        <v>45149</v>
      </c>
      <c r="BI255">
        <v>-0.03</v>
      </c>
      <c r="BJ255">
        <v>3.0000000000000001E-3</v>
      </c>
      <c r="BK255">
        <v>2E-3</v>
      </c>
      <c r="BL255">
        <v>-9999</v>
      </c>
      <c r="BM255">
        <v>-12.486000000000001</v>
      </c>
      <c r="BN255">
        <v>-3.544</v>
      </c>
      <c r="BO255">
        <v>-9999</v>
      </c>
      <c r="BP255">
        <v>1</v>
      </c>
      <c r="BQ255">
        <v>150</v>
      </c>
      <c r="BR255">
        <v>5.0000000000000001E-3</v>
      </c>
      <c r="BS255">
        <v>2</v>
      </c>
      <c r="BT255">
        <v>0</v>
      </c>
      <c r="BU255" t="s">
        <v>200</v>
      </c>
      <c r="BV255">
        <v>7000</v>
      </c>
      <c r="BW255">
        <v>500</v>
      </c>
      <c r="BX255">
        <v>5</v>
      </c>
      <c r="BY255">
        <v>2</v>
      </c>
      <c r="BZ255">
        <v>300</v>
      </c>
      <c r="CA255">
        <v>300</v>
      </c>
      <c r="CB255">
        <v>300</v>
      </c>
      <c r="CC255">
        <v>338.93966699999999</v>
      </c>
      <c r="CD255">
        <v>25</v>
      </c>
      <c r="CE255">
        <v>-15.207812000000001</v>
      </c>
      <c r="CF255">
        <v>336.32397500000002</v>
      </c>
      <c r="CG255">
        <v>339.69589200000001</v>
      </c>
      <c r="CH255">
        <v>-3.371918</v>
      </c>
      <c r="CI255">
        <v>2.5063040000000001</v>
      </c>
      <c r="CJ255">
        <v>2.5161099999999998</v>
      </c>
      <c r="CK255">
        <v>1.665548</v>
      </c>
      <c r="CL255">
        <v>0.94217300000000004</v>
      </c>
      <c r="CM255">
        <v>0.194109</v>
      </c>
      <c r="CN255">
        <v>6.3400000000000001E-4</v>
      </c>
      <c r="CO255">
        <v>0.164825</v>
      </c>
      <c r="CP255">
        <v>0.23824100000000001</v>
      </c>
      <c r="CQ255">
        <v>107.44177999999999</v>
      </c>
      <c r="CR255">
        <v>3.6400000000000001E-4</v>
      </c>
      <c r="CS255">
        <v>2.4333689999999999</v>
      </c>
      <c r="CT255">
        <v>-3.6000000000000001E-5</v>
      </c>
      <c r="CU255">
        <v>1</v>
      </c>
      <c r="CV255">
        <v>2.4396819999999999</v>
      </c>
      <c r="CW255">
        <v>1.1E-5</v>
      </c>
      <c r="CX255">
        <v>1</v>
      </c>
      <c r="CY255">
        <v>0.60025499999999998</v>
      </c>
      <c r="CZ255">
        <v>0.60245199999999999</v>
      </c>
      <c r="DA255">
        <v>0.106742</v>
      </c>
      <c r="DB255">
        <v>0</v>
      </c>
      <c r="DC255" t="s">
        <v>770</v>
      </c>
      <c r="DD255" t="s">
        <v>515</v>
      </c>
      <c r="DE255" t="s">
        <v>516</v>
      </c>
      <c r="DF255" t="s">
        <v>517</v>
      </c>
      <c r="DG255" t="s">
        <v>518</v>
      </c>
      <c r="DH255" t="s">
        <v>205</v>
      </c>
      <c r="DI255" t="s">
        <v>519</v>
      </c>
    </row>
    <row r="256" spans="1:113">
      <c r="A256">
        <v>5</v>
      </c>
      <c r="B256" s="3">
        <v>0.52855324074074073</v>
      </c>
      <c r="C256" s="1">
        <v>45149</v>
      </c>
      <c r="D256" t="s">
        <v>196</v>
      </c>
      <c r="E256" t="s">
        <v>197</v>
      </c>
      <c r="G256">
        <v>5</v>
      </c>
      <c r="J256">
        <v>7.0762000000000005E-2</v>
      </c>
      <c r="K256">
        <v>2.9207510000000001</v>
      </c>
      <c r="L256">
        <v>6.9088999999999998E-2</v>
      </c>
      <c r="M256">
        <v>2.3736429999999999</v>
      </c>
      <c r="N256">
        <v>2.3017829999999999</v>
      </c>
      <c r="O256">
        <v>2.2394289999999999</v>
      </c>
      <c r="P256">
        <v>5.4465599999999998</v>
      </c>
      <c r="Q256">
        <v>3.1447780000000001</v>
      </c>
      <c r="R256">
        <v>23.472194999999999</v>
      </c>
      <c r="S256">
        <v>24.12574</v>
      </c>
      <c r="T256">
        <v>57.087184999999998</v>
      </c>
      <c r="U256">
        <v>0.44178600000000001</v>
      </c>
      <c r="V256" t="s">
        <v>771</v>
      </c>
      <c r="W256">
        <v>0</v>
      </c>
      <c r="X256">
        <v>0</v>
      </c>
      <c r="Y256">
        <v>0</v>
      </c>
      <c r="Z256">
        <v>169.12651099999999</v>
      </c>
      <c r="AA256">
        <v>307.17034899999999</v>
      </c>
      <c r="AB256">
        <v>0.449405</v>
      </c>
      <c r="AC256">
        <v>0.5</v>
      </c>
      <c r="AD256">
        <v>0.8</v>
      </c>
      <c r="AE256">
        <v>112.06858800000001</v>
      </c>
      <c r="AF256">
        <v>43.89</v>
      </c>
      <c r="AG256">
        <v>42.7</v>
      </c>
      <c r="AH256">
        <v>33.67</v>
      </c>
      <c r="AI256">
        <v>34.340000000000003</v>
      </c>
      <c r="AJ256">
        <v>95.41</v>
      </c>
      <c r="AK256">
        <v>156.6</v>
      </c>
      <c r="AL256">
        <v>155.9</v>
      </c>
      <c r="AM256">
        <v>0.4</v>
      </c>
      <c r="AN256">
        <v>623</v>
      </c>
      <c r="AO256">
        <v>3.8959999999999999</v>
      </c>
      <c r="AP256">
        <v>62</v>
      </c>
      <c r="AQ256">
        <v>-44</v>
      </c>
      <c r="AR256">
        <v>38</v>
      </c>
      <c r="AZ256" s="3">
        <v>0</v>
      </c>
      <c r="BA256" t="s">
        <v>513</v>
      </c>
      <c r="BB256">
        <v>38.493335999999999</v>
      </c>
      <c r="BC256">
        <v>-1.3630450000000001</v>
      </c>
      <c r="BD256">
        <v>583.79998799999998</v>
      </c>
      <c r="BE256">
        <v>7</v>
      </c>
      <c r="BF256">
        <v>1.1000000000000001</v>
      </c>
      <c r="BG256" s="3">
        <v>0.52733796296296298</v>
      </c>
      <c r="BH256" s="1">
        <v>45149</v>
      </c>
      <c r="BI256">
        <v>-0.03</v>
      </c>
      <c r="BJ256">
        <v>7.0000000000000001E-3</v>
      </c>
      <c r="BK256">
        <v>3.0000000000000001E-3</v>
      </c>
      <c r="BL256">
        <v>5.0000000000000001E-3</v>
      </c>
      <c r="BM256">
        <v>-40.692</v>
      </c>
      <c r="BN256">
        <v>-3.198</v>
      </c>
      <c r="BO256">
        <v>7.6970000000000001</v>
      </c>
      <c r="BP256">
        <v>1</v>
      </c>
      <c r="BQ256">
        <v>150</v>
      </c>
      <c r="BR256">
        <v>5.0000000000000001E-3</v>
      </c>
      <c r="BS256">
        <v>2</v>
      </c>
      <c r="BT256">
        <v>0</v>
      </c>
      <c r="BU256" t="s">
        <v>200</v>
      </c>
      <c r="BV256">
        <v>7000</v>
      </c>
      <c r="BW256">
        <v>500</v>
      </c>
      <c r="BX256">
        <v>5</v>
      </c>
      <c r="BY256">
        <v>2</v>
      </c>
      <c r="BZ256">
        <v>300</v>
      </c>
      <c r="CA256">
        <v>300</v>
      </c>
      <c r="CB256">
        <v>300</v>
      </c>
      <c r="CC256">
        <v>273.87713600000001</v>
      </c>
      <c r="CD256">
        <v>25</v>
      </c>
      <c r="CE256">
        <v>-27.926741</v>
      </c>
      <c r="CF256">
        <v>255.801559</v>
      </c>
      <c r="CG256">
        <v>267.33169600000002</v>
      </c>
      <c r="CH256">
        <v>-11.530136000000001</v>
      </c>
      <c r="CI256">
        <v>2.5053700000000001</v>
      </c>
      <c r="CJ256">
        <v>2.5155759999999998</v>
      </c>
      <c r="CK256">
        <v>1.665381</v>
      </c>
      <c r="CL256">
        <v>0.94226500000000002</v>
      </c>
      <c r="CM256">
        <v>0.19367699999999999</v>
      </c>
      <c r="CN256">
        <v>9.0209999999999995E-3</v>
      </c>
      <c r="CO256">
        <v>0.16968800000000001</v>
      </c>
      <c r="CP256">
        <v>0.65820299999999998</v>
      </c>
      <c r="CQ256">
        <v>169.12651099999999</v>
      </c>
      <c r="CR256">
        <v>3.79E-4</v>
      </c>
      <c r="CS256">
        <v>2.4333689999999999</v>
      </c>
      <c r="CT256">
        <v>-3.6000000000000001E-5</v>
      </c>
      <c r="CU256">
        <v>1</v>
      </c>
      <c r="CV256">
        <v>2.4396819999999999</v>
      </c>
      <c r="CW256">
        <v>1.1E-5</v>
      </c>
      <c r="CX256">
        <v>1</v>
      </c>
      <c r="CY256">
        <v>0.60025499999999998</v>
      </c>
      <c r="CZ256">
        <v>0.60245199999999999</v>
      </c>
      <c r="DA256">
        <v>0.106742</v>
      </c>
      <c r="DB256">
        <v>0</v>
      </c>
      <c r="DC256" t="s">
        <v>771</v>
      </c>
      <c r="DD256" t="s">
        <v>515</v>
      </c>
      <c r="DE256" t="s">
        <v>516</v>
      </c>
      <c r="DF256" t="s">
        <v>517</v>
      </c>
      <c r="DG256" t="s">
        <v>518</v>
      </c>
      <c r="DH256" t="s">
        <v>205</v>
      </c>
      <c r="DI256" t="s">
        <v>519</v>
      </c>
    </row>
    <row r="257" spans="1:113">
      <c r="A257">
        <v>6</v>
      </c>
      <c r="B257" s="3">
        <v>0.53217592592592589</v>
      </c>
      <c r="C257" s="1">
        <v>45149</v>
      </c>
      <c r="D257" t="s">
        <v>196</v>
      </c>
      <c r="E257" t="s">
        <v>197</v>
      </c>
      <c r="G257">
        <v>6</v>
      </c>
      <c r="J257">
        <v>1.0318000000000001E-2</v>
      </c>
      <c r="K257">
        <v>2.920728</v>
      </c>
      <c r="L257">
        <v>1.0281E-2</v>
      </c>
      <c r="M257">
        <v>0.313745</v>
      </c>
      <c r="N257">
        <v>2.1476320000000002</v>
      </c>
      <c r="O257">
        <v>2.1393759999999999</v>
      </c>
      <c r="P257">
        <v>4.9507789999999998</v>
      </c>
      <c r="Q257">
        <v>2.8031480000000002</v>
      </c>
      <c r="R257">
        <v>22.423798000000001</v>
      </c>
      <c r="S257">
        <v>22.510328000000001</v>
      </c>
      <c r="T257">
        <v>51.891426000000003</v>
      </c>
      <c r="U257">
        <v>0.44178600000000001</v>
      </c>
      <c r="V257" t="s">
        <v>772</v>
      </c>
      <c r="W257">
        <v>0</v>
      </c>
      <c r="X257">
        <v>0</v>
      </c>
      <c r="Y257">
        <v>0</v>
      </c>
      <c r="Z257">
        <v>95.129372000000004</v>
      </c>
      <c r="AA257">
        <v>414.82724000000002</v>
      </c>
      <c r="AB257">
        <v>0.77067699999999995</v>
      </c>
      <c r="AC257">
        <v>0.5</v>
      </c>
      <c r="AD257">
        <v>0.8</v>
      </c>
      <c r="AE257">
        <v>23.456016999999999</v>
      </c>
      <c r="AF257">
        <v>41.69</v>
      </c>
      <c r="AG257">
        <v>41.53</v>
      </c>
      <c r="AH257">
        <v>33.35</v>
      </c>
      <c r="AI257">
        <v>32.64</v>
      </c>
      <c r="AJ257">
        <v>95.41</v>
      </c>
      <c r="AK257">
        <v>156.6</v>
      </c>
      <c r="AL257">
        <v>155.9</v>
      </c>
      <c r="AM257">
        <v>0.4</v>
      </c>
      <c r="AN257">
        <v>76</v>
      </c>
      <c r="AO257">
        <v>3.895</v>
      </c>
      <c r="AP257">
        <v>1</v>
      </c>
      <c r="AQ257">
        <v>-5</v>
      </c>
      <c r="AR257">
        <v>360</v>
      </c>
      <c r="AS257">
        <v>70.62</v>
      </c>
      <c r="AT257">
        <v>33.18</v>
      </c>
      <c r="AU257">
        <v>5.0999999999999996</v>
      </c>
      <c r="AV257">
        <v>78.72</v>
      </c>
      <c r="AW257">
        <v>15.18</v>
      </c>
      <c r="AX257">
        <v>278.02999999999997</v>
      </c>
      <c r="AY257">
        <v>75.42</v>
      </c>
      <c r="AZ257" s="3">
        <v>0.7389930555555555</v>
      </c>
      <c r="BA257" s="1">
        <v>45149</v>
      </c>
      <c r="BB257">
        <v>38.493343000000003</v>
      </c>
      <c r="BC257">
        <v>-1.3630500000000001</v>
      </c>
      <c r="BD257">
        <v>584</v>
      </c>
      <c r="BE257">
        <v>7</v>
      </c>
      <c r="BF257">
        <v>1.1000000000000001</v>
      </c>
      <c r="BG257" s="3">
        <v>0.52733796296296298</v>
      </c>
      <c r="BH257" s="1">
        <v>45149</v>
      </c>
      <c r="BI257">
        <v>-0.03</v>
      </c>
      <c r="BJ257">
        <v>1E-3</v>
      </c>
      <c r="BK257">
        <v>-3.0000000000000001E-3</v>
      </c>
      <c r="BL257">
        <v>-9999</v>
      </c>
      <c r="BM257">
        <v>0.61799999999999999</v>
      </c>
      <c r="BN257">
        <v>-3.9239999999999999</v>
      </c>
      <c r="BO257">
        <v>-9999</v>
      </c>
      <c r="BP257">
        <v>1</v>
      </c>
      <c r="BQ257">
        <v>150</v>
      </c>
      <c r="BR257">
        <v>5.0000000000000001E-3</v>
      </c>
      <c r="BS257">
        <v>2</v>
      </c>
      <c r="BT257">
        <v>0</v>
      </c>
      <c r="BU257" t="s">
        <v>200</v>
      </c>
      <c r="BV257">
        <v>7000</v>
      </c>
      <c r="BW257">
        <v>500</v>
      </c>
      <c r="BX257">
        <v>5</v>
      </c>
      <c r="BY257">
        <v>2</v>
      </c>
      <c r="BZ257">
        <v>300</v>
      </c>
      <c r="CA257">
        <v>300</v>
      </c>
      <c r="CB257">
        <v>300</v>
      </c>
      <c r="CC257">
        <v>414.82724000000002</v>
      </c>
      <c r="CD257">
        <v>25</v>
      </c>
      <c r="CE257">
        <v>8.7733150000000002</v>
      </c>
      <c r="CF257">
        <v>421.40115400000002</v>
      </c>
      <c r="CG257">
        <v>427.34274299999998</v>
      </c>
      <c r="CH257">
        <v>-5.9415889999999996</v>
      </c>
      <c r="CI257">
        <v>2.5036909999999999</v>
      </c>
      <c r="CJ257">
        <v>2.5123389999999999</v>
      </c>
      <c r="CK257">
        <v>1.6653579999999999</v>
      </c>
      <c r="CL257">
        <v>0.94227899999999998</v>
      </c>
      <c r="CM257">
        <v>0.19611899999999999</v>
      </c>
      <c r="CN257">
        <v>-8.1779999999999995E-3</v>
      </c>
      <c r="CO257">
        <v>0.206649</v>
      </c>
      <c r="CP257">
        <v>0.17404700000000001</v>
      </c>
      <c r="CQ257">
        <v>95.129372000000004</v>
      </c>
      <c r="CR257">
        <v>3.6600000000000001E-4</v>
      </c>
      <c r="CS257">
        <v>2.4333689999999999</v>
      </c>
      <c r="CT257">
        <v>-3.6000000000000001E-5</v>
      </c>
      <c r="CU257">
        <v>1</v>
      </c>
      <c r="CV257">
        <v>2.4396819999999999</v>
      </c>
      <c r="CW257">
        <v>1.1E-5</v>
      </c>
      <c r="CX257">
        <v>1</v>
      </c>
      <c r="CY257">
        <v>0.60025499999999998</v>
      </c>
      <c r="CZ257">
        <v>0.60245199999999999</v>
      </c>
      <c r="DA257">
        <v>0.106742</v>
      </c>
      <c r="DB257">
        <v>0</v>
      </c>
      <c r="DC257" t="s">
        <v>772</v>
      </c>
      <c r="DD257" t="s">
        <v>515</v>
      </c>
      <c r="DE257" t="s">
        <v>516</v>
      </c>
      <c r="DF257" t="s">
        <v>517</v>
      </c>
      <c r="DG257" t="s">
        <v>518</v>
      </c>
      <c r="DH257" t="s">
        <v>205</v>
      </c>
      <c r="DI257" t="s">
        <v>519</v>
      </c>
    </row>
    <row r="258" spans="1:113">
      <c r="A258">
        <v>7</v>
      </c>
      <c r="B258" s="3">
        <v>0.53243055555555563</v>
      </c>
      <c r="C258" s="1">
        <v>45149</v>
      </c>
      <c r="D258" t="s">
        <v>196</v>
      </c>
      <c r="E258" t="s">
        <v>197</v>
      </c>
      <c r="G258">
        <v>7</v>
      </c>
      <c r="J258">
        <v>5.3648000000000001E-2</v>
      </c>
      <c r="K258">
        <v>2.921789</v>
      </c>
      <c r="L258">
        <v>5.2679999999999998E-2</v>
      </c>
      <c r="M258">
        <v>1.7605379999999999</v>
      </c>
      <c r="N258">
        <v>2.2616869999999998</v>
      </c>
      <c r="O258">
        <v>2.2154560000000001</v>
      </c>
      <c r="P258">
        <v>5.3234329999999996</v>
      </c>
      <c r="Q258">
        <v>3.0617459999999999</v>
      </c>
      <c r="R258">
        <v>23.220683999999999</v>
      </c>
      <c r="S258">
        <v>23.705231000000001</v>
      </c>
      <c r="T258">
        <v>55.796066000000003</v>
      </c>
      <c r="U258">
        <v>0.44178600000000001</v>
      </c>
      <c r="V258" t="s">
        <v>773</v>
      </c>
      <c r="W258">
        <v>0</v>
      </c>
      <c r="X258">
        <v>0</v>
      </c>
      <c r="Y258">
        <v>0</v>
      </c>
      <c r="Z258">
        <v>140.030258</v>
      </c>
      <c r="AA258">
        <v>307.39828499999999</v>
      </c>
      <c r="AB258">
        <v>0.54446600000000001</v>
      </c>
      <c r="AC258">
        <v>0.5</v>
      </c>
      <c r="AD258">
        <v>0.8</v>
      </c>
      <c r="AE258">
        <v>169.87184099999999</v>
      </c>
      <c r="AF258">
        <v>43.95</v>
      </c>
      <c r="AG258">
        <v>43.05</v>
      </c>
      <c r="AH258">
        <v>33.33</v>
      </c>
      <c r="AI258">
        <v>33.93</v>
      </c>
      <c r="AJ258">
        <v>95.41</v>
      </c>
      <c r="AK258">
        <v>156.69999999999999</v>
      </c>
      <c r="AL258">
        <v>155.9</v>
      </c>
      <c r="AM258">
        <v>0.5</v>
      </c>
      <c r="AN258">
        <v>780</v>
      </c>
      <c r="AO258">
        <v>3.895</v>
      </c>
      <c r="AP258">
        <v>19</v>
      </c>
      <c r="AQ258">
        <v>-28</v>
      </c>
      <c r="AR258">
        <v>34</v>
      </c>
      <c r="AS258">
        <v>42.23</v>
      </c>
      <c r="AT258">
        <v>74.040000000000006</v>
      </c>
      <c r="AU258">
        <v>33.4</v>
      </c>
      <c r="AV258">
        <v>92.52</v>
      </c>
      <c r="AW258">
        <v>15.18</v>
      </c>
      <c r="AX258">
        <v>278.02999999999997</v>
      </c>
      <c r="AY258">
        <v>75.42</v>
      </c>
      <c r="AZ258" s="3">
        <v>0.73924768518518524</v>
      </c>
      <c r="BA258" s="1">
        <v>45149</v>
      </c>
      <c r="BB258">
        <v>38.493335999999999</v>
      </c>
      <c r="BC258">
        <v>-1.3630420000000001</v>
      </c>
      <c r="BD258">
        <v>583.20001200000002</v>
      </c>
      <c r="BE258">
        <v>7</v>
      </c>
      <c r="BF258">
        <v>1.1000000000000001</v>
      </c>
      <c r="BG258" s="3">
        <v>0.52733796296296298</v>
      </c>
      <c r="BH258" s="1">
        <v>45149</v>
      </c>
      <c r="BI258">
        <v>-0.03</v>
      </c>
      <c r="BJ258">
        <v>-1E-3</v>
      </c>
      <c r="BK258">
        <v>1E-3</v>
      </c>
      <c r="BL258">
        <v>4.0000000000000001E-3</v>
      </c>
      <c r="BM258">
        <v>-5.3140000000000001</v>
      </c>
      <c r="BN258">
        <v>0.84099999999999997</v>
      </c>
      <c r="BO258">
        <v>25.068000000000001</v>
      </c>
      <c r="BP258">
        <v>1</v>
      </c>
      <c r="BQ258">
        <v>150</v>
      </c>
      <c r="BR258">
        <v>5.0000000000000001E-3</v>
      </c>
      <c r="BS258">
        <v>2</v>
      </c>
      <c r="BT258">
        <v>0</v>
      </c>
      <c r="BU258" t="s">
        <v>200</v>
      </c>
      <c r="BV258">
        <v>7000</v>
      </c>
      <c r="BW258">
        <v>500</v>
      </c>
      <c r="BX258">
        <v>5</v>
      </c>
      <c r="BY258">
        <v>2</v>
      </c>
      <c r="BZ258">
        <v>300</v>
      </c>
      <c r="CA258">
        <v>300</v>
      </c>
      <c r="CB258">
        <v>300</v>
      </c>
      <c r="CC258">
        <v>288.28955100000002</v>
      </c>
      <c r="CD258">
        <v>25</v>
      </c>
      <c r="CE258">
        <v>-13.472913999999999</v>
      </c>
      <c r="CF258">
        <v>285.471069</v>
      </c>
      <c r="CG258">
        <v>288.17861900000003</v>
      </c>
      <c r="CH258">
        <v>-2.7075499999999999</v>
      </c>
      <c r="CI258">
        <v>2.5059559999999999</v>
      </c>
      <c r="CJ258">
        <v>2.5157159999999998</v>
      </c>
      <c r="CK258">
        <v>1.6664760000000001</v>
      </c>
      <c r="CL258">
        <v>0.94218599999999997</v>
      </c>
      <c r="CM258">
        <v>0.19625799999999999</v>
      </c>
      <c r="CN258">
        <v>8.0979999999999993E-3</v>
      </c>
      <c r="CO258">
        <v>0.20922499999999999</v>
      </c>
      <c r="CP258">
        <v>0.79669400000000001</v>
      </c>
      <c r="CQ258">
        <v>140.030258</v>
      </c>
      <c r="CR258">
        <v>3.6299999999999999E-4</v>
      </c>
      <c r="CS258">
        <v>2.4333689999999999</v>
      </c>
      <c r="CT258">
        <v>-3.6000000000000001E-5</v>
      </c>
      <c r="CU258">
        <v>1</v>
      </c>
      <c r="CV258">
        <v>2.4396819999999999</v>
      </c>
      <c r="CW258">
        <v>1.1E-5</v>
      </c>
      <c r="CX258">
        <v>1</v>
      </c>
      <c r="CY258">
        <v>0.60025499999999998</v>
      </c>
      <c r="CZ258">
        <v>0.60245199999999999</v>
      </c>
      <c r="DA258">
        <v>0.106742</v>
      </c>
      <c r="DB258">
        <v>0</v>
      </c>
      <c r="DC258" t="s">
        <v>773</v>
      </c>
      <c r="DD258" t="s">
        <v>515</v>
      </c>
      <c r="DE258" t="s">
        <v>516</v>
      </c>
      <c r="DF258" t="s">
        <v>517</v>
      </c>
      <c r="DG258" t="s">
        <v>518</v>
      </c>
      <c r="DH258" t="s">
        <v>205</v>
      </c>
      <c r="DI258" t="s">
        <v>519</v>
      </c>
    </row>
    <row r="259" spans="1:113">
      <c r="A259">
        <v>8</v>
      </c>
      <c r="B259" s="3">
        <v>0.53278935185185183</v>
      </c>
      <c r="C259" s="1">
        <v>45149</v>
      </c>
      <c r="D259" t="s">
        <v>196</v>
      </c>
      <c r="E259" t="s">
        <v>197</v>
      </c>
      <c r="G259">
        <v>8</v>
      </c>
      <c r="J259">
        <v>1.5890999999999999E-2</v>
      </c>
      <c r="K259">
        <v>2.9212959999999999</v>
      </c>
      <c r="L259">
        <v>1.5805E-2</v>
      </c>
      <c r="M259">
        <v>0.49263699999999999</v>
      </c>
      <c r="N259">
        <v>2.2245279999999998</v>
      </c>
      <c r="O259">
        <v>2.2115819999999999</v>
      </c>
      <c r="P259">
        <v>5.0844250000000004</v>
      </c>
      <c r="Q259">
        <v>2.8598970000000001</v>
      </c>
      <c r="R259">
        <v>23.181107000000001</v>
      </c>
      <c r="S259">
        <v>23.316801000000002</v>
      </c>
      <c r="T259">
        <v>53.293343</v>
      </c>
      <c r="U259">
        <v>0.44178600000000001</v>
      </c>
      <c r="V259" t="s">
        <v>774</v>
      </c>
      <c r="W259">
        <v>0</v>
      </c>
      <c r="X259">
        <v>0</v>
      </c>
      <c r="Y259">
        <v>0</v>
      </c>
      <c r="Z259">
        <v>132.687454</v>
      </c>
      <c r="AA259">
        <v>376.46948200000003</v>
      </c>
      <c r="AB259">
        <v>0.64754800000000001</v>
      </c>
      <c r="AC259">
        <v>0.5</v>
      </c>
      <c r="AD259">
        <v>0.8</v>
      </c>
      <c r="AE259">
        <v>16.006295999999999</v>
      </c>
      <c r="AF259">
        <v>43.21</v>
      </c>
      <c r="AG259">
        <v>42.96</v>
      </c>
      <c r="AH259">
        <v>33.340000000000003</v>
      </c>
      <c r="AI259">
        <v>33.11</v>
      </c>
      <c r="AJ259">
        <v>95.4</v>
      </c>
      <c r="AK259">
        <v>156.69999999999999</v>
      </c>
      <c r="AL259">
        <v>155.80000000000001</v>
      </c>
      <c r="AM259">
        <v>0.6</v>
      </c>
      <c r="AN259">
        <v>62</v>
      </c>
      <c r="AO259">
        <v>3.8940000000000001</v>
      </c>
      <c r="AP259">
        <v>24</v>
      </c>
      <c r="AQ259">
        <v>-20</v>
      </c>
      <c r="AR259">
        <v>326</v>
      </c>
      <c r="AS259">
        <v>77.87</v>
      </c>
      <c r="AT259">
        <v>21.02</v>
      </c>
      <c r="AU259">
        <v>30.86</v>
      </c>
      <c r="AV259">
        <v>7.82</v>
      </c>
      <c r="AW259">
        <v>15.18</v>
      </c>
      <c r="AX259">
        <v>278.18</v>
      </c>
      <c r="AY259">
        <v>75.62</v>
      </c>
      <c r="AZ259" s="3">
        <v>0.73960648148148145</v>
      </c>
      <c r="BA259" s="1">
        <v>45149</v>
      </c>
      <c r="BB259">
        <v>38.493340000000003</v>
      </c>
      <c r="BC259">
        <v>-1.3630420000000001</v>
      </c>
      <c r="BD259">
        <v>582.90002400000003</v>
      </c>
      <c r="BE259">
        <v>7</v>
      </c>
      <c r="BF259">
        <v>1.1000000000000001</v>
      </c>
      <c r="BG259" s="3">
        <v>0.52733796296296298</v>
      </c>
      <c r="BH259" s="1">
        <v>45149</v>
      </c>
      <c r="BI259">
        <v>-0.03</v>
      </c>
      <c r="BJ259">
        <v>0</v>
      </c>
      <c r="BK259">
        <v>-1E-3</v>
      </c>
      <c r="BL259">
        <v>0</v>
      </c>
      <c r="BM259">
        <v>-2.5329999999999999</v>
      </c>
      <c r="BN259">
        <v>-2.5019999999999998</v>
      </c>
      <c r="BO259">
        <v>-8.8829999999999991</v>
      </c>
      <c r="BP259">
        <v>1</v>
      </c>
      <c r="BQ259">
        <v>150</v>
      </c>
      <c r="BR259">
        <v>5.0000000000000001E-3</v>
      </c>
      <c r="BS259">
        <v>2</v>
      </c>
      <c r="BT259">
        <v>0</v>
      </c>
      <c r="BU259" t="s">
        <v>200</v>
      </c>
      <c r="BV259">
        <v>7000</v>
      </c>
      <c r="BW259">
        <v>500</v>
      </c>
      <c r="BX259">
        <v>5</v>
      </c>
      <c r="BY259">
        <v>2</v>
      </c>
      <c r="BZ259">
        <v>300</v>
      </c>
      <c r="CA259">
        <v>300</v>
      </c>
      <c r="CB259">
        <v>300</v>
      </c>
      <c r="CC259">
        <v>376.46948200000003</v>
      </c>
      <c r="CD259">
        <v>25</v>
      </c>
      <c r="CE259">
        <v>1.1749000000000001</v>
      </c>
      <c r="CF259">
        <v>378.23367300000001</v>
      </c>
      <c r="CG259">
        <v>378.14553799999999</v>
      </c>
      <c r="CH259">
        <v>8.8135000000000005E-2</v>
      </c>
      <c r="CI259">
        <v>2.5058150000000001</v>
      </c>
      <c r="CJ259">
        <v>2.5146099999999998</v>
      </c>
      <c r="CK259">
        <v>1.665956</v>
      </c>
      <c r="CL259">
        <v>0.94184999999999997</v>
      </c>
      <c r="CM259">
        <v>0.19619900000000001</v>
      </c>
      <c r="CN259">
        <v>-2.2039999999999998E-3</v>
      </c>
      <c r="CO259">
        <v>0.21296799999999999</v>
      </c>
      <c r="CP259">
        <v>0.16140399999999999</v>
      </c>
      <c r="CQ259">
        <v>132.687454</v>
      </c>
      <c r="CR259">
        <v>3.6699999999999998E-4</v>
      </c>
      <c r="CS259">
        <v>2.4333689999999999</v>
      </c>
      <c r="CT259">
        <v>-3.6000000000000001E-5</v>
      </c>
      <c r="CU259">
        <v>1</v>
      </c>
      <c r="CV259">
        <v>2.4396819999999999</v>
      </c>
      <c r="CW259">
        <v>1.1E-5</v>
      </c>
      <c r="CX259">
        <v>1</v>
      </c>
      <c r="CY259">
        <v>0.60025499999999998</v>
      </c>
      <c r="CZ259">
        <v>0.60245199999999999</v>
      </c>
      <c r="DA259">
        <v>0.106742</v>
      </c>
      <c r="DB259">
        <v>0</v>
      </c>
      <c r="DC259" t="s">
        <v>774</v>
      </c>
      <c r="DD259" t="s">
        <v>515</v>
      </c>
      <c r="DE259" t="s">
        <v>516</v>
      </c>
      <c r="DF259" t="s">
        <v>517</v>
      </c>
      <c r="DG259" t="s">
        <v>518</v>
      </c>
      <c r="DH259" t="s">
        <v>205</v>
      </c>
      <c r="DI259" t="s">
        <v>519</v>
      </c>
    </row>
    <row r="260" spans="1:113">
      <c r="A260">
        <v>9</v>
      </c>
      <c r="B260" s="3">
        <v>0.53297453703703701</v>
      </c>
      <c r="C260" s="1">
        <v>45149</v>
      </c>
      <c r="D260" t="s">
        <v>196</v>
      </c>
      <c r="E260" t="s">
        <v>197</v>
      </c>
      <c r="G260">
        <v>9</v>
      </c>
      <c r="J260">
        <v>4.9250000000000002E-2</v>
      </c>
      <c r="K260">
        <v>2.9214220000000002</v>
      </c>
      <c r="L260">
        <v>4.8433999999999998E-2</v>
      </c>
      <c r="M260">
        <v>1.458234</v>
      </c>
      <c r="N260">
        <v>2.2655349999999999</v>
      </c>
      <c r="O260">
        <v>2.2272319999999999</v>
      </c>
      <c r="P260">
        <v>5.028384</v>
      </c>
      <c r="Q260">
        <v>2.7628499999999998</v>
      </c>
      <c r="R260">
        <v>23.343187</v>
      </c>
      <c r="S260">
        <v>23.744630999999998</v>
      </c>
      <c r="T260">
        <v>52.701526999999999</v>
      </c>
      <c r="U260">
        <v>0.44178600000000001</v>
      </c>
      <c r="V260" t="s">
        <v>775</v>
      </c>
      <c r="W260">
        <v>0</v>
      </c>
      <c r="X260">
        <v>0</v>
      </c>
      <c r="Y260">
        <v>0</v>
      </c>
      <c r="Z260">
        <v>125.99194300000001</v>
      </c>
      <c r="AA260">
        <v>356.32946800000002</v>
      </c>
      <c r="AB260">
        <v>0.64641700000000002</v>
      </c>
      <c r="AC260">
        <v>0.5</v>
      </c>
      <c r="AD260">
        <v>0.8</v>
      </c>
      <c r="AE260">
        <v>90.374534999999995</v>
      </c>
      <c r="AF260">
        <v>43.99</v>
      </c>
      <c r="AG260">
        <v>43.25</v>
      </c>
      <c r="AH260">
        <v>33.340000000000003</v>
      </c>
      <c r="AI260">
        <v>32.92</v>
      </c>
      <c r="AJ260">
        <v>95.41</v>
      </c>
      <c r="AK260">
        <v>156.69999999999999</v>
      </c>
      <c r="AL260">
        <v>155.80000000000001</v>
      </c>
      <c r="AM260">
        <v>0.6</v>
      </c>
      <c r="AN260">
        <v>350</v>
      </c>
      <c r="AO260">
        <v>3.8769999999999998</v>
      </c>
      <c r="AP260">
        <v>32</v>
      </c>
      <c r="AQ260">
        <v>-21</v>
      </c>
      <c r="AR260">
        <v>86</v>
      </c>
      <c r="AS260">
        <v>42.41</v>
      </c>
      <c r="AT260">
        <v>73.83</v>
      </c>
      <c r="AU260">
        <v>37.65</v>
      </c>
      <c r="AV260">
        <v>121.92</v>
      </c>
      <c r="AW260">
        <v>15.18</v>
      </c>
      <c r="AX260">
        <v>278.18</v>
      </c>
      <c r="AY260">
        <v>75.62</v>
      </c>
      <c r="AZ260" s="3">
        <v>0.73979166666666663</v>
      </c>
      <c r="BA260" s="1">
        <v>45149</v>
      </c>
      <c r="BB260">
        <v>38.493324000000001</v>
      </c>
      <c r="BC260">
        <v>-1.3630469999999999</v>
      </c>
      <c r="BD260">
        <v>581.79998799999998</v>
      </c>
      <c r="BE260">
        <v>7</v>
      </c>
      <c r="BF260">
        <v>1.1000000000000001</v>
      </c>
      <c r="BG260" s="3">
        <v>0.52733796296296298</v>
      </c>
      <c r="BH260" s="1">
        <v>45149</v>
      </c>
      <c r="BI260">
        <v>-0.03</v>
      </c>
      <c r="BJ260">
        <v>2E-3</v>
      </c>
      <c r="BK260">
        <v>1E-3</v>
      </c>
      <c r="BL260">
        <v>-9999</v>
      </c>
      <c r="BM260">
        <v>0.47599999999999998</v>
      </c>
      <c r="BN260">
        <v>1.274</v>
      </c>
      <c r="BO260">
        <v>-9999</v>
      </c>
      <c r="BP260">
        <v>1</v>
      </c>
      <c r="BQ260">
        <v>150</v>
      </c>
      <c r="BR260">
        <v>5.0000000000000001E-3</v>
      </c>
      <c r="BS260">
        <v>2</v>
      </c>
      <c r="BT260">
        <v>0</v>
      </c>
      <c r="BU260" t="s">
        <v>200</v>
      </c>
      <c r="BV260">
        <v>7000</v>
      </c>
      <c r="BW260">
        <v>500</v>
      </c>
      <c r="BX260">
        <v>5</v>
      </c>
      <c r="BY260">
        <v>2</v>
      </c>
      <c r="BZ260">
        <v>300</v>
      </c>
      <c r="CA260">
        <v>300</v>
      </c>
      <c r="CB260">
        <v>300</v>
      </c>
      <c r="CC260">
        <v>347.88214099999999</v>
      </c>
      <c r="CD260">
        <v>25</v>
      </c>
      <c r="CE260">
        <v>-5.9440400000000002</v>
      </c>
      <c r="CF260">
        <v>348.70611600000001</v>
      </c>
      <c r="CG260">
        <v>347.85003699999999</v>
      </c>
      <c r="CH260">
        <v>0.85607900000000003</v>
      </c>
      <c r="CI260">
        <v>2.5062509999999998</v>
      </c>
      <c r="CJ260">
        <v>2.5157820000000002</v>
      </c>
      <c r="CK260">
        <v>1.6660889999999999</v>
      </c>
      <c r="CL260">
        <v>0.94192900000000002</v>
      </c>
      <c r="CM260">
        <v>0.19616700000000001</v>
      </c>
      <c r="CN260">
        <v>-4.6930000000000001E-3</v>
      </c>
      <c r="CO260">
        <v>0.21470900000000001</v>
      </c>
      <c r="CP260">
        <v>0.41591499999999998</v>
      </c>
      <c r="CQ260">
        <v>125.99194300000001</v>
      </c>
      <c r="CR260">
        <v>3.6400000000000001E-4</v>
      </c>
      <c r="CS260">
        <v>2.4333689999999999</v>
      </c>
      <c r="CT260">
        <v>-3.6000000000000001E-5</v>
      </c>
      <c r="CU260">
        <v>1</v>
      </c>
      <c r="CV260">
        <v>2.4396819999999999</v>
      </c>
      <c r="CW260">
        <v>1.1E-5</v>
      </c>
      <c r="CX260">
        <v>1</v>
      </c>
      <c r="CY260">
        <v>0.60025499999999998</v>
      </c>
      <c r="CZ260">
        <v>0.60245199999999999</v>
      </c>
      <c r="DA260">
        <v>0.106742</v>
      </c>
      <c r="DB260">
        <v>0</v>
      </c>
      <c r="DC260" t="s">
        <v>775</v>
      </c>
      <c r="DD260" t="s">
        <v>515</v>
      </c>
      <c r="DE260" t="s">
        <v>516</v>
      </c>
      <c r="DF260" t="s">
        <v>517</v>
      </c>
      <c r="DG260" t="s">
        <v>518</v>
      </c>
      <c r="DH260" t="s">
        <v>205</v>
      </c>
      <c r="DI260" t="s">
        <v>519</v>
      </c>
    </row>
    <row r="261" spans="1:113">
      <c r="A261">
        <v>10</v>
      </c>
      <c r="B261" s="3">
        <v>0.53315972222222219</v>
      </c>
      <c r="C261" s="1">
        <v>45149</v>
      </c>
      <c r="D261" t="s">
        <v>196</v>
      </c>
      <c r="E261" t="s">
        <v>197</v>
      </c>
      <c r="G261">
        <v>10</v>
      </c>
      <c r="J261">
        <v>2.7560000000000001E-2</v>
      </c>
      <c r="K261">
        <v>2.9227560000000001</v>
      </c>
      <c r="L261">
        <v>2.7303000000000001E-2</v>
      </c>
      <c r="M261">
        <v>0.82737400000000005</v>
      </c>
      <c r="N261">
        <v>2.2664059999999999</v>
      </c>
      <c r="O261">
        <v>2.2446959999999998</v>
      </c>
      <c r="P261">
        <v>5.0470030000000001</v>
      </c>
      <c r="Q261">
        <v>2.7805979999999999</v>
      </c>
      <c r="R261">
        <v>23.525918999999998</v>
      </c>
      <c r="S261">
        <v>23.753447999999999</v>
      </c>
      <c r="T261">
        <v>52.895972999999998</v>
      </c>
      <c r="U261">
        <v>0.44178600000000001</v>
      </c>
      <c r="V261" t="s">
        <v>776</v>
      </c>
      <c r="W261">
        <v>0</v>
      </c>
      <c r="X261">
        <v>0</v>
      </c>
      <c r="Y261">
        <v>0</v>
      </c>
      <c r="Z261">
        <v>110.544563</v>
      </c>
      <c r="AA261">
        <v>468.03692599999999</v>
      </c>
      <c r="AB261">
        <v>0.76381200000000005</v>
      </c>
      <c r="AC261">
        <v>0.5</v>
      </c>
      <c r="AD261">
        <v>0.8</v>
      </c>
      <c r="AE261">
        <v>13.747878999999999</v>
      </c>
      <c r="AF261">
        <v>44</v>
      </c>
      <c r="AG261">
        <v>43.58</v>
      </c>
      <c r="AH261">
        <v>33.35</v>
      </c>
      <c r="AI261">
        <v>32.979999999999997</v>
      </c>
      <c r="AJ261">
        <v>95.41</v>
      </c>
      <c r="AK261">
        <v>156.80000000000001</v>
      </c>
      <c r="AL261">
        <v>155.69999999999999</v>
      </c>
      <c r="AM261">
        <v>0.7</v>
      </c>
      <c r="AN261">
        <v>45</v>
      </c>
      <c r="AO261">
        <v>3.8940000000000001</v>
      </c>
      <c r="AP261">
        <v>27</v>
      </c>
      <c r="AQ261">
        <v>9</v>
      </c>
      <c r="AR261">
        <v>96</v>
      </c>
      <c r="AS261">
        <v>49.69</v>
      </c>
      <c r="AT261">
        <v>64.69</v>
      </c>
      <c r="AU261">
        <v>28.35</v>
      </c>
      <c r="AV261">
        <v>76.77</v>
      </c>
      <c r="AW261">
        <v>15.18</v>
      </c>
      <c r="AX261">
        <v>278.18</v>
      </c>
      <c r="AY261">
        <v>75.62</v>
      </c>
      <c r="AZ261" s="3">
        <v>0.73996527777777776</v>
      </c>
      <c r="BA261" s="1">
        <v>45149</v>
      </c>
      <c r="BB261">
        <v>38.493324000000001</v>
      </c>
      <c r="BC261">
        <v>-1.363043</v>
      </c>
      <c r="BD261">
        <v>581.20001200000002</v>
      </c>
      <c r="BE261">
        <v>7</v>
      </c>
      <c r="BF261">
        <v>1.1000000000000001</v>
      </c>
      <c r="BG261" s="3">
        <v>0.52733796296296298</v>
      </c>
      <c r="BH261" s="1">
        <v>45149</v>
      </c>
      <c r="BI261">
        <v>-0.03</v>
      </c>
      <c r="BJ261">
        <v>0</v>
      </c>
      <c r="BK261">
        <v>1E-3</v>
      </c>
      <c r="BL261">
        <v>1E-3</v>
      </c>
      <c r="BM261">
        <v>-0.152</v>
      </c>
      <c r="BN261">
        <v>-0.30599999999999999</v>
      </c>
      <c r="BO261">
        <v>26.341000000000001</v>
      </c>
      <c r="BP261">
        <v>1</v>
      </c>
      <c r="BQ261">
        <v>150</v>
      </c>
      <c r="BR261">
        <v>5.0000000000000001E-3</v>
      </c>
      <c r="BS261">
        <v>2</v>
      </c>
      <c r="BT261">
        <v>0</v>
      </c>
      <c r="BU261" t="s">
        <v>200</v>
      </c>
      <c r="BV261">
        <v>7000</v>
      </c>
      <c r="BW261">
        <v>500</v>
      </c>
      <c r="BX261">
        <v>5</v>
      </c>
      <c r="BY261">
        <v>2</v>
      </c>
      <c r="BZ261">
        <v>300</v>
      </c>
      <c r="CA261">
        <v>300</v>
      </c>
      <c r="CB261">
        <v>300</v>
      </c>
      <c r="CC261">
        <v>464.61261000000002</v>
      </c>
      <c r="CD261">
        <v>25</v>
      </c>
      <c r="CE261">
        <v>-2.8036539999999999</v>
      </c>
      <c r="CF261">
        <v>466.74658199999999</v>
      </c>
      <c r="CG261">
        <v>464.03738399999997</v>
      </c>
      <c r="CH261">
        <v>2.7091980000000002</v>
      </c>
      <c r="CI261">
        <v>2.5067330000000001</v>
      </c>
      <c r="CJ261">
        <v>2.515787</v>
      </c>
      <c r="CK261">
        <v>1.6674979999999999</v>
      </c>
      <c r="CL261">
        <v>0.94175900000000001</v>
      </c>
      <c r="CM261">
        <v>0.196127</v>
      </c>
      <c r="CN261">
        <v>-3.947E-3</v>
      </c>
      <c r="CO261">
        <v>0.21657499999999999</v>
      </c>
      <c r="CP261">
        <v>0.14654500000000001</v>
      </c>
      <c r="CQ261">
        <v>110.544563</v>
      </c>
      <c r="CR261">
        <v>3.7399999999999998E-4</v>
      </c>
      <c r="CS261">
        <v>2.4333689999999999</v>
      </c>
      <c r="CT261">
        <v>-3.6000000000000001E-5</v>
      </c>
      <c r="CU261">
        <v>1</v>
      </c>
      <c r="CV261">
        <v>2.4396819999999999</v>
      </c>
      <c r="CW261">
        <v>1.1E-5</v>
      </c>
      <c r="CX261">
        <v>1</v>
      </c>
      <c r="CY261">
        <v>0.60025499999999998</v>
      </c>
      <c r="CZ261">
        <v>0.60245199999999999</v>
      </c>
      <c r="DA261">
        <v>0.106742</v>
      </c>
      <c r="DB261">
        <v>0</v>
      </c>
      <c r="DC261" t="s">
        <v>776</v>
      </c>
      <c r="DD261" t="s">
        <v>515</v>
      </c>
      <c r="DE261" t="s">
        <v>516</v>
      </c>
      <c r="DF261" t="s">
        <v>517</v>
      </c>
      <c r="DG261" t="s">
        <v>518</v>
      </c>
      <c r="DH261" t="s">
        <v>205</v>
      </c>
      <c r="DI261" t="s">
        <v>519</v>
      </c>
    </row>
    <row r="262" spans="1:113">
      <c r="A262">
        <v>1</v>
      </c>
      <c r="B262" s="3">
        <v>0.53778935185185184</v>
      </c>
      <c r="C262" s="1">
        <v>45149</v>
      </c>
      <c r="D262" t="s">
        <v>196</v>
      </c>
      <c r="E262" t="s">
        <v>197</v>
      </c>
      <c r="G262">
        <v>1</v>
      </c>
      <c r="J262">
        <v>8.5958999999999994E-2</v>
      </c>
      <c r="K262">
        <v>2.9217110000000002</v>
      </c>
      <c r="L262">
        <v>8.3502000000000007E-2</v>
      </c>
      <c r="M262">
        <v>2.122865</v>
      </c>
      <c r="N262">
        <v>2.2133949999999998</v>
      </c>
      <c r="O262">
        <v>2.1576330000000001</v>
      </c>
      <c r="P262">
        <v>4.5523350000000002</v>
      </c>
      <c r="Q262">
        <v>2.33894</v>
      </c>
      <c r="R262">
        <v>22.620377000000001</v>
      </c>
      <c r="S262">
        <v>23.204981</v>
      </c>
      <c r="T262">
        <v>47.726154000000001</v>
      </c>
      <c r="U262">
        <v>0.44178600000000001</v>
      </c>
      <c r="V262" t="s">
        <v>777</v>
      </c>
      <c r="W262">
        <v>0</v>
      </c>
      <c r="X262">
        <v>0</v>
      </c>
      <c r="Y262">
        <v>0</v>
      </c>
      <c r="Z262">
        <v>98.496077999999997</v>
      </c>
      <c r="AA262">
        <v>412.55456500000003</v>
      </c>
      <c r="AB262">
        <v>0.76125299999999996</v>
      </c>
      <c r="AC262">
        <v>0.5</v>
      </c>
      <c r="AD262">
        <v>0.8</v>
      </c>
      <c r="AE262">
        <v>16.416751999999999</v>
      </c>
      <c r="AF262">
        <v>44.8</v>
      </c>
      <c r="AG262">
        <v>43.67</v>
      </c>
      <c r="AH262">
        <v>32.6</v>
      </c>
      <c r="AI262">
        <v>31.16</v>
      </c>
      <c r="AJ262">
        <v>95.38</v>
      </c>
      <c r="AK262">
        <v>156.69999999999999</v>
      </c>
      <c r="AL262">
        <v>156</v>
      </c>
      <c r="AM262">
        <v>0.5</v>
      </c>
      <c r="AN262">
        <v>54</v>
      </c>
      <c r="AO262">
        <v>3.895</v>
      </c>
      <c r="AP262">
        <v>26</v>
      </c>
      <c r="AQ262">
        <v>2</v>
      </c>
      <c r="AR262">
        <v>103</v>
      </c>
      <c r="AZ262" s="3">
        <v>0</v>
      </c>
      <c r="BA262" t="s">
        <v>513</v>
      </c>
      <c r="BB262" t="s">
        <v>514</v>
      </c>
      <c r="BC262" t="s">
        <v>514</v>
      </c>
      <c r="BD262" t="s">
        <v>514</v>
      </c>
      <c r="BE262">
        <v>0</v>
      </c>
      <c r="BF262" t="s">
        <v>514</v>
      </c>
      <c r="BG262" s="3">
        <v>0.53768518518518515</v>
      </c>
      <c r="BH262" s="1">
        <v>45149</v>
      </c>
      <c r="BI262">
        <v>-0.05</v>
      </c>
      <c r="BJ262">
        <v>1E-3</v>
      </c>
      <c r="BK262">
        <v>0</v>
      </c>
      <c r="BL262">
        <v>-9999</v>
      </c>
      <c r="BM262">
        <v>-0.112</v>
      </c>
      <c r="BN262">
        <v>-9.4E-2</v>
      </c>
      <c r="BO262">
        <v>-9999</v>
      </c>
      <c r="BP262">
        <v>1</v>
      </c>
      <c r="BQ262">
        <v>150</v>
      </c>
      <c r="BR262">
        <v>5.0000000000000001E-3</v>
      </c>
      <c r="BS262">
        <v>2</v>
      </c>
      <c r="BT262">
        <v>0</v>
      </c>
      <c r="BU262" t="s">
        <v>200</v>
      </c>
      <c r="BV262">
        <v>7000</v>
      </c>
      <c r="BW262">
        <v>500</v>
      </c>
      <c r="BX262">
        <v>5</v>
      </c>
      <c r="BY262">
        <v>2</v>
      </c>
      <c r="BZ262">
        <v>300</v>
      </c>
      <c r="CA262">
        <v>300</v>
      </c>
      <c r="CB262">
        <v>300</v>
      </c>
      <c r="CC262">
        <v>395.89978000000002</v>
      </c>
      <c r="CD262">
        <v>25</v>
      </c>
      <c r="CE262">
        <v>-11.811216999999999</v>
      </c>
      <c r="CF262">
        <v>396.47699</v>
      </c>
      <c r="CG262">
        <v>395.70538299999998</v>
      </c>
      <c r="CH262">
        <v>0.77160600000000001</v>
      </c>
      <c r="CI262">
        <v>2.507012</v>
      </c>
      <c r="CJ262">
        <v>2.5171160000000001</v>
      </c>
      <c r="CK262">
        <v>1.666393</v>
      </c>
      <c r="CL262">
        <v>0.94238500000000003</v>
      </c>
      <c r="CM262">
        <v>0.201902</v>
      </c>
      <c r="CN262">
        <v>-1.7100000000000001E-2</v>
      </c>
      <c r="CO262">
        <v>0.14411299999999999</v>
      </c>
      <c r="CP262">
        <v>0.15443200000000001</v>
      </c>
      <c r="CQ262">
        <v>98.496077999999997</v>
      </c>
      <c r="CR262">
        <v>3.6699999999999998E-4</v>
      </c>
      <c r="CS262">
        <v>2.4333689999999999</v>
      </c>
      <c r="CT262">
        <v>-3.6000000000000001E-5</v>
      </c>
      <c r="CU262">
        <v>1</v>
      </c>
      <c r="CV262">
        <v>2.4396819999999999</v>
      </c>
      <c r="CW262">
        <v>1.1E-5</v>
      </c>
      <c r="CX262">
        <v>1</v>
      </c>
      <c r="CY262">
        <v>0.60025499999999998</v>
      </c>
      <c r="CZ262">
        <v>0.60245199999999999</v>
      </c>
      <c r="DA262">
        <v>0.106742</v>
      </c>
      <c r="DB262">
        <v>0</v>
      </c>
      <c r="DC262" t="s">
        <v>777</v>
      </c>
      <c r="DD262" t="s">
        <v>515</v>
      </c>
      <c r="DE262" t="s">
        <v>516</v>
      </c>
      <c r="DF262" t="s">
        <v>517</v>
      </c>
      <c r="DG262" t="s">
        <v>518</v>
      </c>
      <c r="DH262" t="s">
        <v>205</v>
      </c>
      <c r="DI262" t="s">
        <v>519</v>
      </c>
    </row>
    <row r="263" spans="1:113">
      <c r="A263">
        <v>2</v>
      </c>
      <c r="B263" s="3">
        <v>0.53793981481481479</v>
      </c>
      <c r="C263" s="1">
        <v>45149</v>
      </c>
      <c r="D263" t="s">
        <v>196</v>
      </c>
      <c r="E263" t="s">
        <v>197</v>
      </c>
      <c r="G263">
        <v>2</v>
      </c>
      <c r="J263">
        <v>9.6819999999999996E-3</v>
      </c>
      <c r="K263">
        <v>2.9200590000000002</v>
      </c>
      <c r="L263">
        <v>9.6500000000000006E-3</v>
      </c>
      <c r="M263">
        <v>0.26344299999999998</v>
      </c>
      <c r="N263">
        <v>2.1917490000000002</v>
      </c>
      <c r="O263">
        <v>2.1848179999999999</v>
      </c>
      <c r="P263">
        <v>4.7019289999999998</v>
      </c>
      <c r="Q263">
        <v>2.5101800000000001</v>
      </c>
      <c r="R263">
        <v>22.903756999999999</v>
      </c>
      <c r="S263">
        <v>22.976417999999999</v>
      </c>
      <c r="T263">
        <v>49.290989000000003</v>
      </c>
      <c r="U263">
        <v>0.44178600000000001</v>
      </c>
      <c r="V263" t="s">
        <v>778</v>
      </c>
      <c r="W263">
        <v>0</v>
      </c>
      <c r="X263">
        <v>0</v>
      </c>
      <c r="Y263">
        <v>0</v>
      </c>
      <c r="Z263">
        <v>90.977310000000003</v>
      </c>
      <c r="AA263">
        <v>436.70224000000002</v>
      </c>
      <c r="AB263">
        <v>0.79167200000000004</v>
      </c>
      <c r="AC263">
        <v>0.5</v>
      </c>
      <c r="AD263">
        <v>0.8</v>
      </c>
      <c r="AE263">
        <v>19.755977999999999</v>
      </c>
      <c r="AF263">
        <v>44.43</v>
      </c>
      <c r="AG263">
        <v>44.29</v>
      </c>
      <c r="AH263">
        <v>32.58</v>
      </c>
      <c r="AI263">
        <v>31.73</v>
      </c>
      <c r="AJ263">
        <v>95.39</v>
      </c>
      <c r="AK263">
        <v>156.5</v>
      </c>
      <c r="AL263">
        <v>155.69999999999999</v>
      </c>
      <c r="AM263">
        <v>0.5</v>
      </c>
      <c r="AN263">
        <v>62</v>
      </c>
      <c r="AO263">
        <v>3.8940000000000001</v>
      </c>
      <c r="AP263">
        <v>15</v>
      </c>
      <c r="AQ263">
        <v>0</v>
      </c>
      <c r="AR263">
        <v>119</v>
      </c>
      <c r="AZ263" s="3">
        <v>0</v>
      </c>
      <c r="BA263" t="s">
        <v>513</v>
      </c>
      <c r="BB263" t="s">
        <v>514</v>
      </c>
      <c r="BC263" t="s">
        <v>514</v>
      </c>
      <c r="BD263" t="s">
        <v>514</v>
      </c>
      <c r="BE263">
        <v>0</v>
      </c>
      <c r="BF263" t="s">
        <v>514</v>
      </c>
      <c r="BG263" s="3">
        <v>0.53768518518518515</v>
      </c>
      <c r="BH263" s="1">
        <v>45149</v>
      </c>
      <c r="BI263">
        <v>-0.05</v>
      </c>
      <c r="BJ263">
        <v>-1E-3</v>
      </c>
      <c r="BK263">
        <v>-2E-3</v>
      </c>
      <c r="BL263">
        <v>-9999</v>
      </c>
      <c r="BM263">
        <v>-0.13800000000000001</v>
      </c>
      <c r="BN263">
        <v>-0.35199999999999998</v>
      </c>
      <c r="BO263">
        <v>-9999</v>
      </c>
      <c r="BP263">
        <v>1</v>
      </c>
      <c r="BQ263">
        <v>150</v>
      </c>
      <c r="BR263">
        <v>5.0000000000000001E-3</v>
      </c>
      <c r="BS263">
        <v>2</v>
      </c>
      <c r="BT263">
        <v>0</v>
      </c>
      <c r="BU263" t="s">
        <v>200</v>
      </c>
      <c r="BV263">
        <v>7000</v>
      </c>
      <c r="BW263">
        <v>500</v>
      </c>
      <c r="BX263">
        <v>5</v>
      </c>
      <c r="BY263">
        <v>2</v>
      </c>
      <c r="BZ263">
        <v>300</v>
      </c>
      <c r="CA263">
        <v>300</v>
      </c>
      <c r="CB263">
        <v>300</v>
      </c>
      <c r="CC263">
        <v>436.70224000000002</v>
      </c>
      <c r="CD263">
        <v>25</v>
      </c>
      <c r="CE263">
        <v>9.0185429999999993</v>
      </c>
      <c r="CF263">
        <v>446.66470299999997</v>
      </c>
      <c r="CG263">
        <v>449.567566</v>
      </c>
      <c r="CH263">
        <v>-2.902863</v>
      </c>
      <c r="CI263">
        <v>2.5079359999999999</v>
      </c>
      <c r="CJ263">
        <v>2.5165709999999999</v>
      </c>
      <c r="CK263">
        <v>1.6646540000000001</v>
      </c>
      <c r="CL263">
        <v>0.94174400000000003</v>
      </c>
      <c r="CM263">
        <v>0.202121</v>
      </c>
      <c r="CN263">
        <v>-9.8440000000000003E-3</v>
      </c>
      <c r="CO263">
        <v>0.14623</v>
      </c>
      <c r="CP263">
        <v>0.16192699999999999</v>
      </c>
      <c r="CQ263">
        <v>90.977310000000003</v>
      </c>
      <c r="CR263">
        <v>3.7199999999999999E-4</v>
      </c>
      <c r="CS263">
        <v>2.4333689999999999</v>
      </c>
      <c r="CT263">
        <v>-3.6000000000000001E-5</v>
      </c>
      <c r="CU263">
        <v>1</v>
      </c>
      <c r="CV263">
        <v>2.4396819999999999</v>
      </c>
      <c r="CW263">
        <v>1.1E-5</v>
      </c>
      <c r="CX263">
        <v>1</v>
      </c>
      <c r="CY263">
        <v>0.60025499999999998</v>
      </c>
      <c r="CZ263">
        <v>0.60245199999999999</v>
      </c>
      <c r="DA263">
        <v>0.106742</v>
      </c>
      <c r="DB263">
        <v>0</v>
      </c>
      <c r="DC263" t="s">
        <v>778</v>
      </c>
      <c r="DD263" t="s">
        <v>515</v>
      </c>
      <c r="DE263" t="s">
        <v>516</v>
      </c>
      <c r="DF263" t="s">
        <v>517</v>
      </c>
      <c r="DG263" t="s">
        <v>518</v>
      </c>
      <c r="DH263" t="s">
        <v>205</v>
      </c>
      <c r="DI263" t="s">
        <v>519</v>
      </c>
    </row>
    <row r="264" spans="1:113">
      <c r="A264">
        <v>3</v>
      </c>
      <c r="B264" s="3">
        <v>0.53812499999999996</v>
      </c>
      <c r="C264" s="1">
        <v>45149</v>
      </c>
      <c r="D264" t="s">
        <v>196</v>
      </c>
      <c r="E264" t="s">
        <v>197</v>
      </c>
      <c r="G264">
        <v>3</v>
      </c>
      <c r="J264">
        <v>8.5012000000000004E-2</v>
      </c>
      <c r="K264">
        <v>2.921052</v>
      </c>
      <c r="L264">
        <v>8.2608000000000001E-2</v>
      </c>
      <c r="M264">
        <v>2.2288540000000001</v>
      </c>
      <c r="N264">
        <v>2.2773249999999998</v>
      </c>
      <c r="O264">
        <v>2.2187860000000001</v>
      </c>
      <c r="P264">
        <v>4.7561400000000003</v>
      </c>
      <c r="Q264">
        <v>2.478815</v>
      </c>
      <c r="R264">
        <v>23.26033</v>
      </c>
      <c r="S264">
        <v>23.874022</v>
      </c>
      <c r="T264">
        <v>49.860332</v>
      </c>
      <c r="U264">
        <v>0.44178600000000001</v>
      </c>
      <c r="V264" t="s">
        <v>779</v>
      </c>
      <c r="W264">
        <v>0</v>
      </c>
      <c r="X264">
        <v>0</v>
      </c>
      <c r="Y264">
        <v>0</v>
      </c>
      <c r="Z264">
        <v>99.807143999999994</v>
      </c>
      <c r="AA264">
        <v>373.58251999999999</v>
      </c>
      <c r="AB264">
        <v>0.73283799999999999</v>
      </c>
      <c r="AC264">
        <v>0.5</v>
      </c>
      <c r="AD264">
        <v>0.8</v>
      </c>
      <c r="AE264">
        <v>19.128879999999999</v>
      </c>
      <c r="AF264">
        <v>46.22</v>
      </c>
      <c r="AG264">
        <v>45.03</v>
      </c>
      <c r="AH264">
        <v>32.549999999999997</v>
      </c>
      <c r="AI264">
        <v>31.93</v>
      </c>
      <c r="AJ264">
        <v>95.39</v>
      </c>
      <c r="AK264">
        <v>156.6</v>
      </c>
      <c r="AL264">
        <v>155.69999999999999</v>
      </c>
      <c r="AM264">
        <v>0.6</v>
      </c>
      <c r="AN264">
        <v>65</v>
      </c>
      <c r="AO264">
        <v>3.895</v>
      </c>
      <c r="AP264">
        <v>43</v>
      </c>
      <c r="AQ264">
        <v>-23</v>
      </c>
      <c r="AR264">
        <v>97</v>
      </c>
      <c r="AZ264" s="3">
        <v>0</v>
      </c>
      <c r="BA264" t="s">
        <v>513</v>
      </c>
      <c r="BB264" t="s">
        <v>514</v>
      </c>
      <c r="BC264" t="s">
        <v>514</v>
      </c>
      <c r="BD264" t="s">
        <v>514</v>
      </c>
      <c r="BE264">
        <v>0</v>
      </c>
      <c r="BF264" t="s">
        <v>514</v>
      </c>
      <c r="BG264" s="3">
        <v>0.53768518518518515</v>
      </c>
      <c r="BH264" s="1">
        <v>45149</v>
      </c>
      <c r="BI264">
        <v>-0.05</v>
      </c>
      <c r="BJ264">
        <v>1E-3</v>
      </c>
      <c r="BK264">
        <v>3.0000000000000001E-3</v>
      </c>
      <c r="BL264">
        <v>-9999</v>
      </c>
      <c r="BM264">
        <v>0.56399999999999995</v>
      </c>
      <c r="BN264">
        <v>1.1919999999999999</v>
      </c>
      <c r="BO264">
        <v>-9999</v>
      </c>
      <c r="BP264">
        <v>1</v>
      </c>
      <c r="BQ264">
        <v>150</v>
      </c>
      <c r="BR264">
        <v>5.0000000000000001E-3</v>
      </c>
      <c r="BS264">
        <v>2</v>
      </c>
      <c r="BT264">
        <v>0</v>
      </c>
      <c r="BU264" t="s">
        <v>200</v>
      </c>
      <c r="BV264">
        <v>7000</v>
      </c>
      <c r="BW264">
        <v>500</v>
      </c>
      <c r="BX264">
        <v>5</v>
      </c>
      <c r="BY264">
        <v>2</v>
      </c>
      <c r="BZ264">
        <v>300</v>
      </c>
      <c r="CA264">
        <v>300</v>
      </c>
      <c r="CB264">
        <v>300</v>
      </c>
      <c r="CC264">
        <v>354.30444299999999</v>
      </c>
      <c r="CD264">
        <v>25</v>
      </c>
      <c r="CE264">
        <v>-13.224026</v>
      </c>
      <c r="CF264">
        <v>356.16445900000002</v>
      </c>
      <c r="CG264">
        <v>354.717896</v>
      </c>
      <c r="CH264">
        <v>1.446564</v>
      </c>
      <c r="CI264">
        <v>2.5090400000000002</v>
      </c>
      <c r="CJ264">
        <v>2.5192359999999998</v>
      </c>
      <c r="CK264">
        <v>1.665699</v>
      </c>
      <c r="CL264">
        <v>0.94156600000000001</v>
      </c>
      <c r="CM264">
        <v>0.202293</v>
      </c>
      <c r="CN264">
        <v>-7.1069999999999996E-3</v>
      </c>
      <c r="CO264">
        <v>0.148672</v>
      </c>
      <c r="CP264">
        <v>0.164465</v>
      </c>
      <c r="CQ264">
        <v>99.807143999999994</v>
      </c>
      <c r="CR264">
        <v>3.7399999999999998E-4</v>
      </c>
      <c r="CS264">
        <v>2.4333689999999999</v>
      </c>
      <c r="CT264">
        <v>-3.6000000000000001E-5</v>
      </c>
      <c r="CU264">
        <v>1</v>
      </c>
      <c r="CV264">
        <v>2.4396819999999999</v>
      </c>
      <c r="CW264">
        <v>1.1E-5</v>
      </c>
      <c r="CX264">
        <v>1</v>
      </c>
      <c r="CY264">
        <v>0.60025499999999998</v>
      </c>
      <c r="CZ264">
        <v>0.60245199999999999</v>
      </c>
      <c r="DA264">
        <v>0.106742</v>
      </c>
      <c r="DB264">
        <v>0</v>
      </c>
      <c r="DC264" t="s">
        <v>779</v>
      </c>
      <c r="DD264" t="s">
        <v>515</v>
      </c>
      <c r="DE264" t="s">
        <v>516</v>
      </c>
      <c r="DF264" t="s">
        <v>517</v>
      </c>
      <c r="DG264" t="s">
        <v>518</v>
      </c>
      <c r="DH264" t="s">
        <v>205</v>
      </c>
      <c r="DI264" t="s">
        <v>519</v>
      </c>
    </row>
    <row r="265" spans="1:113">
      <c r="A265">
        <v>4</v>
      </c>
      <c r="B265" s="3">
        <v>0.53836805555555556</v>
      </c>
      <c r="C265" s="1">
        <v>45149</v>
      </c>
      <c r="D265" t="s">
        <v>196</v>
      </c>
      <c r="E265" t="s">
        <v>197</v>
      </c>
      <c r="G265">
        <v>4</v>
      </c>
      <c r="J265">
        <v>9.7330000000000003E-3</v>
      </c>
      <c r="K265">
        <v>2.9206430000000001</v>
      </c>
      <c r="L265">
        <v>9.7009999999999996E-3</v>
      </c>
      <c r="M265">
        <v>0.27108199999999999</v>
      </c>
      <c r="N265">
        <v>2.2490549999999998</v>
      </c>
      <c r="O265">
        <v>2.24193</v>
      </c>
      <c r="P265">
        <v>4.816052</v>
      </c>
      <c r="Q265">
        <v>2.5669970000000002</v>
      </c>
      <c r="R265">
        <v>23.502289000000001</v>
      </c>
      <c r="S265">
        <v>23.576975000000001</v>
      </c>
      <c r="T265">
        <v>50.486961000000001</v>
      </c>
      <c r="U265">
        <v>0.44178600000000001</v>
      </c>
      <c r="V265" t="s">
        <v>780</v>
      </c>
      <c r="W265">
        <v>0</v>
      </c>
      <c r="X265">
        <v>0</v>
      </c>
      <c r="Y265">
        <v>0</v>
      </c>
      <c r="Z265">
        <v>144.41156000000001</v>
      </c>
      <c r="AA265">
        <v>515.78161599999999</v>
      </c>
      <c r="AB265">
        <v>0.72001400000000004</v>
      </c>
      <c r="AC265">
        <v>0.5</v>
      </c>
      <c r="AD265">
        <v>0.8</v>
      </c>
      <c r="AE265">
        <v>16.394665</v>
      </c>
      <c r="AF265">
        <v>45.71</v>
      </c>
      <c r="AG265">
        <v>45.57</v>
      </c>
      <c r="AH265">
        <v>32.53</v>
      </c>
      <c r="AI265">
        <v>32.15</v>
      </c>
      <c r="AJ265">
        <v>95.39</v>
      </c>
      <c r="AK265">
        <v>156.6</v>
      </c>
      <c r="AL265">
        <v>155.80000000000001</v>
      </c>
      <c r="AM265">
        <v>0.5</v>
      </c>
      <c r="AN265">
        <v>57</v>
      </c>
      <c r="AO265">
        <v>3.8929999999999998</v>
      </c>
      <c r="AP265">
        <v>28</v>
      </c>
      <c r="AQ265">
        <v>-2</v>
      </c>
      <c r="AR265">
        <v>145</v>
      </c>
      <c r="AZ265" s="3">
        <v>0</v>
      </c>
      <c r="BA265" t="s">
        <v>513</v>
      </c>
      <c r="BB265" t="s">
        <v>514</v>
      </c>
      <c r="BC265" t="s">
        <v>514</v>
      </c>
      <c r="BD265" t="s">
        <v>514</v>
      </c>
      <c r="BE265">
        <v>0</v>
      </c>
      <c r="BF265" t="s">
        <v>514</v>
      </c>
      <c r="BG265" s="3">
        <v>0.53768518518518515</v>
      </c>
      <c r="BH265" s="1">
        <v>45149</v>
      </c>
      <c r="BI265">
        <v>-0.05</v>
      </c>
      <c r="BJ265">
        <v>0</v>
      </c>
      <c r="BK265">
        <v>-1E-3</v>
      </c>
      <c r="BL265">
        <v>-9999</v>
      </c>
      <c r="BM265">
        <v>-0.51700000000000002</v>
      </c>
      <c r="BN265">
        <v>-1.4450000000000001</v>
      </c>
      <c r="BO265">
        <v>-9999</v>
      </c>
      <c r="BP265">
        <v>1</v>
      </c>
      <c r="BQ265">
        <v>150</v>
      </c>
      <c r="BR265">
        <v>5.0000000000000001E-3</v>
      </c>
      <c r="BS265">
        <v>2</v>
      </c>
      <c r="BT265">
        <v>0</v>
      </c>
      <c r="BU265" t="s">
        <v>200</v>
      </c>
      <c r="BV265">
        <v>7000</v>
      </c>
      <c r="BW265">
        <v>500</v>
      </c>
      <c r="BX265">
        <v>5</v>
      </c>
      <c r="BY265">
        <v>2</v>
      </c>
      <c r="BZ265">
        <v>300</v>
      </c>
      <c r="CA265">
        <v>300</v>
      </c>
      <c r="CB265">
        <v>300</v>
      </c>
      <c r="CC265">
        <v>515.78161599999999</v>
      </c>
      <c r="CD265">
        <v>25</v>
      </c>
      <c r="CE265">
        <v>3.9858739999999999</v>
      </c>
      <c r="CF265">
        <v>519.65441899999996</v>
      </c>
      <c r="CG265">
        <v>521.46765100000005</v>
      </c>
      <c r="CH265">
        <v>-1.813232</v>
      </c>
      <c r="CI265">
        <v>2.5098370000000001</v>
      </c>
      <c r="CJ265">
        <v>2.5184859999999998</v>
      </c>
      <c r="CK265">
        <v>1.665268</v>
      </c>
      <c r="CL265">
        <v>0.94188400000000005</v>
      </c>
      <c r="CM265">
        <v>0.20249600000000001</v>
      </c>
      <c r="CN265">
        <v>-4.0819999999999997E-3</v>
      </c>
      <c r="CO265">
        <v>0.15196399999999999</v>
      </c>
      <c r="CP265">
        <v>0.15709600000000001</v>
      </c>
      <c r="CQ265">
        <v>144.41156000000001</v>
      </c>
      <c r="CR265">
        <v>3.6299999999999999E-4</v>
      </c>
      <c r="CS265">
        <v>2.4333689999999999</v>
      </c>
      <c r="CT265">
        <v>-3.6000000000000001E-5</v>
      </c>
      <c r="CU265">
        <v>1</v>
      </c>
      <c r="CV265">
        <v>2.4396819999999999</v>
      </c>
      <c r="CW265">
        <v>1.1E-5</v>
      </c>
      <c r="CX265">
        <v>1</v>
      </c>
      <c r="CY265">
        <v>0.60025499999999998</v>
      </c>
      <c r="CZ265">
        <v>0.60245199999999999</v>
      </c>
      <c r="DA265">
        <v>0.106742</v>
      </c>
      <c r="DB265">
        <v>0</v>
      </c>
      <c r="DC265" t="s">
        <v>780</v>
      </c>
      <c r="DD265" t="s">
        <v>515</v>
      </c>
      <c r="DE265" t="s">
        <v>516</v>
      </c>
      <c r="DF265" t="s">
        <v>517</v>
      </c>
      <c r="DG265" t="s">
        <v>518</v>
      </c>
      <c r="DH265" t="s">
        <v>205</v>
      </c>
      <c r="DI265" t="s">
        <v>519</v>
      </c>
    </row>
    <row r="266" spans="1:113">
      <c r="A266">
        <v>5</v>
      </c>
      <c r="B266" s="3">
        <v>0.53896990740740736</v>
      </c>
      <c r="C266" s="1">
        <v>45149</v>
      </c>
      <c r="D266" t="s">
        <v>196</v>
      </c>
      <c r="E266" t="s">
        <v>197</v>
      </c>
      <c r="G266">
        <v>5</v>
      </c>
      <c r="J266">
        <v>1.5271E-2</v>
      </c>
      <c r="K266">
        <v>2.9218799999999998</v>
      </c>
      <c r="L266">
        <v>1.5191E-2</v>
      </c>
      <c r="M266">
        <v>0.41470699999999999</v>
      </c>
      <c r="N266">
        <v>2.2162600000000001</v>
      </c>
      <c r="O266">
        <v>2.2053660000000002</v>
      </c>
      <c r="P266">
        <v>4.7261110000000004</v>
      </c>
      <c r="Q266">
        <v>2.5098509999999998</v>
      </c>
      <c r="R266">
        <v>23.114498000000001</v>
      </c>
      <c r="S266">
        <v>23.228684999999999</v>
      </c>
      <c r="T266">
        <v>49.534495999999997</v>
      </c>
      <c r="U266">
        <v>0.44178600000000001</v>
      </c>
      <c r="V266" t="s">
        <v>781</v>
      </c>
      <c r="W266">
        <v>0</v>
      </c>
      <c r="X266">
        <v>0</v>
      </c>
      <c r="Y266">
        <v>0</v>
      </c>
      <c r="Z266">
        <v>109.558578</v>
      </c>
      <c r="AA266">
        <v>289.52459700000003</v>
      </c>
      <c r="AB266">
        <v>0.621591</v>
      </c>
      <c r="AC266">
        <v>0.5</v>
      </c>
      <c r="AD266">
        <v>0.8</v>
      </c>
      <c r="AE266">
        <v>22.595554</v>
      </c>
      <c r="AF266">
        <v>45.12</v>
      </c>
      <c r="AG266">
        <v>44.9</v>
      </c>
      <c r="AH266">
        <v>32.5</v>
      </c>
      <c r="AI266">
        <v>31.82</v>
      </c>
      <c r="AJ266">
        <v>95.41</v>
      </c>
      <c r="AK266">
        <v>156.69999999999999</v>
      </c>
      <c r="AL266">
        <v>155.69999999999999</v>
      </c>
      <c r="AM266">
        <v>0.7</v>
      </c>
      <c r="AN266">
        <v>91</v>
      </c>
      <c r="AO266">
        <v>3.8929999999999998</v>
      </c>
      <c r="AP266">
        <v>38</v>
      </c>
      <c r="AQ266">
        <v>-11</v>
      </c>
      <c r="AR266">
        <v>84</v>
      </c>
      <c r="AS266">
        <v>37.869999999999997</v>
      </c>
      <c r="AT266">
        <v>78.94</v>
      </c>
      <c r="AU266">
        <v>39.33</v>
      </c>
      <c r="AV266">
        <v>101.52</v>
      </c>
      <c r="AW266">
        <v>15.18</v>
      </c>
      <c r="AX266">
        <v>279.36</v>
      </c>
      <c r="AY266">
        <v>77.16</v>
      </c>
      <c r="AZ266" s="3">
        <v>0.74578703703703697</v>
      </c>
      <c r="BA266" s="1">
        <v>45149</v>
      </c>
      <c r="BB266">
        <v>38.492542</v>
      </c>
      <c r="BC266">
        <v>-1.3632979999999999</v>
      </c>
      <c r="BD266">
        <v>601</v>
      </c>
      <c r="BE266">
        <v>5</v>
      </c>
      <c r="BF266">
        <v>1.39</v>
      </c>
      <c r="BG266" s="3">
        <v>0.53768518518518515</v>
      </c>
      <c r="BH266" s="1">
        <v>45149</v>
      </c>
      <c r="BI266">
        <v>-0.05</v>
      </c>
      <c r="BJ266">
        <v>0</v>
      </c>
      <c r="BK266">
        <v>1E-3</v>
      </c>
      <c r="BL266">
        <v>-9999</v>
      </c>
      <c r="BM266">
        <v>-0.29299999999999998</v>
      </c>
      <c r="BN266">
        <v>0.67400000000000004</v>
      </c>
      <c r="BO266">
        <v>-9999</v>
      </c>
      <c r="BP266">
        <v>1</v>
      </c>
      <c r="BQ266">
        <v>150</v>
      </c>
      <c r="BR266">
        <v>5.0000000000000001E-3</v>
      </c>
      <c r="BS266">
        <v>2</v>
      </c>
      <c r="BT266">
        <v>0</v>
      </c>
      <c r="BU266" t="s">
        <v>200</v>
      </c>
      <c r="BV266">
        <v>7000</v>
      </c>
      <c r="BW266">
        <v>500</v>
      </c>
      <c r="BX266">
        <v>5</v>
      </c>
      <c r="BY266">
        <v>2</v>
      </c>
      <c r="BZ266">
        <v>300</v>
      </c>
      <c r="CA266">
        <v>300</v>
      </c>
      <c r="CB266">
        <v>300</v>
      </c>
      <c r="CC266">
        <v>287.677277</v>
      </c>
      <c r="CD266">
        <v>25</v>
      </c>
      <c r="CE266">
        <v>-1.3469249999999999</v>
      </c>
      <c r="CF266">
        <v>294.84664900000001</v>
      </c>
      <c r="CG266">
        <v>287.60314899999997</v>
      </c>
      <c r="CH266">
        <v>7.2435</v>
      </c>
      <c r="CI266">
        <v>2.5088530000000002</v>
      </c>
      <c r="CJ266">
        <v>2.5176099999999999</v>
      </c>
      <c r="CK266">
        <v>1.6665719999999999</v>
      </c>
      <c r="CL266">
        <v>0.94166099999999997</v>
      </c>
      <c r="CM266">
        <v>0.20272699999999999</v>
      </c>
      <c r="CN266">
        <v>-7.7990000000000004E-3</v>
      </c>
      <c r="CO266">
        <v>0.159663</v>
      </c>
      <c r="CP266">
        <v>0.18712899999999999</v>
      </c>
      <c r="CQ266">
        <v>109.558578</v>
      </c>
      <c r="CR266">
        <v>3.6900000000000002E-4</v>
      </c>
      <c r="CS266">
        <v>2.4333689999999999</v>
      </c>
      <c r="CT266">
        <v>-3.6000000000000001E-5</v>
      </c>
      <c r="CU266">
        <v>1</v>
      </c>
      <c r="CV266">
        <v>2.4396819999999999</v>
      </c>
      <c r="CW266">
        <v>1.1E-5</v>
      </c>
      <c r="CX266">
        <v>1</v>
      </c>
      <c r="CY266">
        <v>0.60025499999999998</v>
      </c>
      <c r="CZ266">
        <v>0.60245199999999999</v>
      </c>
      <c r="DA266">
        <v>0.106742</v>
      </c>
      <c r="DB266">
        <v>0</v>
      </c>
      <c r="DC266" t="s">
        <v>781</v>
      </c>
      <c r="DD266" t="s">
        <v>515</v>
      </c>
      <c r="DE266" t="s">
        <v>516</v>
      </c>
      <c r="DF266" t="s">
        <v>517</v>
      </c>
      <c r="DG266" t="s">
        <v>518</v>
      </c>
      <c r="DH266" t="s">
        <v>205</v>
      </c>
      <c r="DI266" t="s">
        <v>519</v>
      </c>
    </row>
    <row r="267" spans="1:113">
      <c r="A267">
        <v>6</v>
      </c>
      <c r="B267" s="3">
        <v>0.53909722222222223</v>
      </c>
      <c r="C267" s="1">
        <v>45149</v>
      </c>
      <c r="D267" t="s">
        <v>196</v>
      </c>
      <c r="E267" t="s">
        <v>197</v>
      </c>
      <c r="G267">
        <v>6</v>
      </c>
      <c r="J267">
        <v>4.471E-2</v>
      </c>
      <c r="K267">
        <v>2.9212229999999999</v>
      </c>
      <c r="L267">
        <v>4.4035999999999999E-2</v>
      </c>
      <c r="M267">
        <v>1.1809369999999999</v>
      </c>
      <c r="N267">
        <v>2.2385459999999999</v>
      </c>
      <c r="O267">
        <v>2.2075149999999999</v>
      </c>
      <c r="P267">
        <v>4.7039780000000002</v>
      </c>
      <c r="Q267">
        <v>2.4654319999999998</v>
      </c>
      <c r="R267">
        <v>23.138361</v>
      </c>
      <c r="S267">
        <v>23.463612000000001</v>
      </c>
      <c r="T267">
        <v>49.305359000000003</v>
      </c>
      <c r="U267">
        <v>0.44178600000000001</v>
      </c>
      <c r="V267" t="s">
        <v>782</v>
      </c>
      <c r="W267">
        <v>0</v>
      </c>
      <c r="X267">
        <v>0</v>
      </c>
      <c r="Y267">
        <v>0</v>
      </c>
      <c r="Z267">
        <v>124.484894</v>
      </c>
      <c r="AA267">
        <v>446.35116599999998</v>
      </c>
      <c r="AB267">
        <v>0.721105</v>
      </c>
      <c r="AC267">
        <v>0.5</v>
      </c>
      <c r="AD267">
        <v>0.8</v>
      </c>
      <c r="AE267">
        <v>46.807434000000001</v>
      </c>
      <c r="AF267">
        <v>45.58</v>
      </c>
      <c r="AG267">
        <v>44.95</v>
      </c>
      <c r="AH267">
        <v>32.5</v>
      </c>
      <c r="AI267">
        <v>31.74</v>
      </c>
      <c r="AJ267">
        <v>95.4</v>
      </c>
      <c r="AK267">
        <v>156.6</v>
      </c>
      <c r="AL267">
        <v>155.69999999999999</v>
      </c>
      <c r="AM267">
        <v>0.6</v>
      </c>
      <c r="AN267">
        <v>162</v>
      </c>
      <c r="AO267">
        <v>3.8919999999999999</v>
      </c>
      <c r="AP267">
        <v>40</v>
      </c>
      <c r="AQ267">
        <v>-5</v>
      </c>
      <c r="AR267">
        <v>116</v>
      </c>
      <c r="AS267">
        <v>42.09</v>
      </c>
      <c r="AT267">
        <v>74.209999999999994</v>
      </c>
      <c r="AU267">
        <v>40.26</v>
      </c>
      <c r="AV267">
        <v>123.75</v>
      </c>
      <c r="AW267">
        <v>15.18</v>
      </c>
      <c r="AX267">
        <v>279.51</v>
      </c>
      <c r="AY267">
        <v>77.349999999999994</v>
      </c>
      <c r="AZ267" s="3">
        <v>0.74591435185185195</v>
      </c>
      <c r="BA267" s="1">
        <v>45149</v>
      </c>
      <c r="BB267">
        <v>38.492621999999997</v>
      </c>
      <c r="BC267">
        <v>-1.3632599999999999</v>
      </c>
      <c r="BD267">
        <v>583.90002400000003</v>
      </c>
      <c r="BE267">
        <v>6</v>
      </c>
      <c r="BF267">
        <v>1.28</v>
      </c>
      <c r="BG267" s="3">
        <v>0.53768518518518515</v>
      </c>
      <c r="BH267" s="1">
        <v>45149</v>
      </c>
      <c r="BI267">
        <v>-0.05</v>
      </c>
      <c r="BJ267">
        <v>1E-3</v>
      </c>
      <c r="BK267">
        <v>3.0000000000000001E-3</v>
      </c>
      <c r="BL267">
        <v>-9999</v>
      </c>
      <c r="BM267">
        <v>0.71799999999999997</v>
      </c>
      <c r="BN267">
        <v>1.2110000000000001</v>
      </c>
      <c r="BO267">
        <v>-9999</v>
      </c>
      <c r="BP267">
        <v>1</v>
      </c>
      <c r="BQ267">
        <v>150</v>
      </c>
      <c r="BR267">
        <v>5.0000000000000001E-3</v>
      </c>
      <c r="BS267">
        <v>2</v>
      </c>
      <c r="BT267">
        <v>0</v>
      </c>
      <c r="BU267" t="s">
        <v>200</v>
      </c>
      <c r="BV267">
        <v>7000</v>
      </c>
      <c r="BW267">
        <v>500</v>
      </c>
      <c r="BX267">
        <v>5</v>
      </c>
      <c r="BY267">
        <v>2</v>
      </c>
      <c r="BZ267">
        <v>300</v>
      </c>
      <c r="CA267">
        <v>300</v>
      </c>
      <c r="CB267">
        <v>300</v>
      </c>
      <c r="CC267">
        <v>432.31845099999998</v>
      </c>
      <c r="CD267">
        <v>25</v>
      </c>
      <c r="CE267">
        <v>-9.8201099999999997</v>
      </c>
      <c r="CF267">
        <v>433.68710299999998</v>
      </c>
      <c r="CG267">
        <v>432.342377</v>
      </c>
      <c r="CH267">
        <v>1.344727</v>
      </c>
      <c r="CI267">
        <v>2.5089269999999999</v>
      </c>
      <c r="CJ267">
        <v>2.518294</v>
      </c>
      <c r="CK267">
        <v>1.6658790000000001</v>
      </c>
      <c r="CL267">
        <v>0.941604</v>
      </c>
      <c r="CM267">
        <v>0.20274600000000001</v>
      </c>
      <c r="CN267">
        <v>-8.7799999999999996E-3</v>
      </c>
      <c r="CO267">
        <v>0.161102</v>
      </c>
      <c r="CP267">
        <v>0.25028600000000001</v>
      </c>
      <c r="CQ267">
        <v>124.484894</v>
      </c>
      <c r="CR267">
        <v>3.7199999999999999E-4</v>
      </c>
      <c r="CS267">
        <v>2.4333689999999999</v>
      </c>
      <c r="CT267">
        <v>-3.6000000000000001E-5</v>
      </c>
      <c r="CU267">
        <v>1</v>
      </c>
      <c r="CV267">
        <v>2.4396819999999999</v>
      </c>
      <c r="CW267">
        <v>1.1E-5</v>
      </c>
      <c r="CX267">
        <v>1</v>
      </c>
      <c r="CY267">
        <v>0.60025499999999998</v>
      </c>
      <c r="CZ267">
        <v>0.60245199999999999</v>
      </c>
      <c r="DA267">
        <v>0.106742</v>
      </c>
      <c r="DB267">
        <v>0</v>
      </c>
      <c r="DC267" t="s">
        <v>782</v>
      </c>
      <c r="DD267" t="s">
        <v>515</v>
      </c>
      <c r="DE267" t="s">
        <v>516</v>
      </c>
      <c r="DF267" t="s">
        <v>517</v>
      </c>
      <c r="DG267" t="s">
        <v>518</v>
      </c>
      <c r="DH267" t="s">
        <v>205</v>
      </c>
      <c r="DI267" t="s">
        <v>519</v>
      </c>
    </row>
    <row r="268" spans="1:113">
      <c r="A268">
        <v>7</v>
      </c>
      <c r="B268" s="3">
        <v>0.53921296296296295</v>
      </c>
      <c r="C268" s="1">
        <v>45149</v>
      </c>
      <c r="D268" t="s">
        <v>196</v>
      </c>
      <c r="E268" t="s">
        <v>197</v>
      </c>
      <c r="G268">
        <v>7</v>
      </c>
      <c r="J268">
        <v>1.8411E-2</v>
      </c>
      <c r="K268">
        <v>2.9216359999999999</v>
      </c>
      <c r="L268">
        <v>1.8296E-2</v>
      </c>
      <c r="M268">
        <v>0.48428700000000002</v>
      </c>
      <c r="N268">
        <v>2.2491759999999998</v>
      </c>
      <c r="O268">
        <v>2.236456</v>
      </c>
      <c r="P268">
        <v>4.6827969999999999</v>
      </c>
      <c r="Q268">
        <v>2.4336220000000002</v>
      </c>
      <c r="R268">
        <v>23.441766999999999</v>
      </c>
      <c r="S268">
        <v>23.575089999999999</v>
      </c>
      <c r="T268">
        <v>49.083485000000003</v>
      </c>
      <c r="U268">
        <v>0.44178600000000001</v>
      </c>
      <c r="V268" t="s">
        <v>783</v>
      </c>
      <c r="W268">
        <v>0</v>
      </c>
      <c r="X268">
        <v>0</v>
      </c>
      <c r="Y268">
        <v>0</v>
      </c>
      <c r="Z268">
        <v>115.397575</v>
      </c>
      <c r="AA268">
        <v>355.76031499999999</v>
      </c>
      <c r="AB268">
        <v>0.67563099999999998</v>
      </c>
      <c r="AC268">
        <v>0.5</v>
      </c>
      <c r="AD268">
        <v>0.8</v>
      </c>
      <c r="AE268">
        <v>16.834202000000001</v>
      </c>
      <c r="AF268">
        <v>45.8</v>
      </c>
      <c r="AG268">
        <v>45.54</v>
      </c>
      <c r="AH268">
        <v>32.5</v>
      </c>
      <c r="AI268">
        <v>31.66</v>
      </c>
      <c r="AJ268">
        <v>95.4</v>
      </c>
      <c r="AK268">
        <v>156.69999999999999</v>
      </c>
      <c r="AL268">
        <v>155.69999999999999</v>
      </c>
      <c r="AM268">
        <v>0.6</v>
      </c>
      <c r="AN268">
        <v>62</v>
      </c>
      <c r="AO268">
        <v>3.89</v>
      </c>
      <c r="AP268">
        <v>9</v>
      </c>
      <c r="AQ268">
        <v>-7</v>
      </c>
      <c r="AR268">
        <v>55</v>
      </c>
      <c r="AS268">
        <v>66.040000000000006</v>
      </c>
      <c r="AT268">
        <v>40.61</v>
      </c>
      <c r="AU268">
        <v>11.38</v>
      </c>
      <c r="AV268">
        <v>93.13</v>
      </c>
      <c r="AW268">
        <v>15.18</v>
      </c>
      <c r="AX268">
        <v>279.51</v>
      </c>
      <c r="AY268">
        <v>77.349999999999994</v>
      </c>
      <c r="AZ268" s="3">
        <v>0.74604166666666671</v>
      </c>
      <c r="BA268" s="1">
        <v>45149</v>
      </c>
      <c r="BB268">
        <v>38.492657000000001</v>
      </c>
      <c r="BC268">
        <v>-1.363213</v>
      </c>
      <c r="BD268">
        <v>579.70001200000002</v>
      </c>
      <c r="BE268">
        <v>7</v>
      </c>
      <c r="BF268">
        <v>1.1399999999999999</v>
      </c>
      <c r="BG268" s="3">
        <v>0.53768518518518515</v>
      </c>
      <c r="BH268" s="1">
        <v>45149</v>
      </c>
      <c r="BI268">
        <v>-0.05</v>
      </c>
      <c r="BJ268">
        <v>2E-3</v>
      </c>
      <c r="BK268">
        <v>1E-3</v>
      </c>
      <c r="BL268">
        <v>-9999</v>
      </c>
      <c r="BM268">
        <v>-0.14399999999999999</v>
      </c>
      <c r="BN268">
        <v>0.28399999999999997</v>
      </c>
      <c r="BO268">
        <v>-9999</v>
      </c>
      <c r="BP268">
        <v>1</v>
      </c>
      <c r="BQ268">
        <v>150</v>
      </c>
      <c r="BR268">
        <v>5.0000000000000001E-3</v>
      </c>
      <c r="BS268">
        <v>2</v>
      </c>
      <c r="BT268">
        <v>0</v>
      </c>
      <c r="BU268" t="s">
        <v>200</v>
      </c>
      <c r="BV268">
        <v>7000</v>
      </c>
      <c r="BW268">
        <v>500</v>
      </c>
      <c r="BX268">
        <v>5</v>
      </c>
      <c r="BY268">
        <v>2</v>
      </c>
      <c r="BZ268">
        <v>300</v>
      </c>
      <c r="CA268">
        <v>300</v>
      </c>
      <c r="CB268">
        <v>300</v>
      </c>
      <c r="CC268">
        <v>351.448059</v>
      </c>
      <c r="CD268">
        <v>25</v>
      </c>
      <c r="CE268">
        <v>-3.0104510000000002</v>
      </c>
      <c r="CF268">
        <v>355.35369900000001</v>
      </c>
      <c r="CG268">
        <v>351.46579000000003</v>
      </c>
      <c r="CH268">
        <v>3.8879090000000001</v>
      </c>
      <c r="CI268">
        <v>2.5097990000000001</v>
      </c>
      <c r="CJ268">
        <v>2.5186160000000002</v>
      </c>
      <c r="CK268">
        <v>1.6663140000000001</v>
      </c>
      <c r="CL268">
        <v>0.94177999999999995</v>
      </c>
      <c r="CM268">
        <v>0.20274800000000001</v>
      </c>
      <c r="CN268">
        <v>-9.7470000000000005E-3</v>
      </c>
      <c r="CO268">
        <v>0.16245599999999999</v>
      </c>
      <c r="CP268">
        <v>0.16184200000000001</v>
      </c>
      <c r="CQ268">
        <v>115.397575</v>
      </c>
      <c r="CR268">
        <v>3.6699999999999998E-4</v>
      </c>
      <c r="CS268">
        <v>2.4333689999999999</v>
      </c>
      <c r="CT268">
        <v>-3.6000000000000001E-5</v>
      </c>
      <c r="CU268">
        <v>1</v>
      </c>
      <c r="CV268">
        <v>2.4396819999999999</v>
      </c>
      <c r="CW268">
        <v>1.1E-5</v>
      </c>
      <c r="CX268">
        <v>1</v>
      </c>
      <c r="CY268">
        <v>0.60025499999999998</v>
      </c>
      <c r="CZ268">
        <v>0.60245199999999999</v>
      </c>
      <c r="DA268">
        <v>0.106742</v>
      </c>
      <c r="DB268">
        <v>0</v>
      </c>
      <c r="DC268" t="s">
        <v>783</v>
      </c>
      <c r="DD268" t="s">
        <v>515</v>
      </c>
      <c r="DE268" t="s">
        <v>516</v>
      </c>
      <c r="DF268" t="s">
        <v>517</v>
      </c>
      <c r="DG268" t="s">
        <v>518</v>
      </c>
      <c r="DH268" t="s">
        <v>205</v>
      </c>
      <c r="DI268" t="s">
        <v>519</v>
      </c>
    </row>
    <row r="269" spans="1:113">
      <c r="A269">
        <v>8</v>
      </c>
      <c r="B269" s="3">
        <v>0.53940972222222217</v>
      </c>
      <c r="C269" s="1">
        <v>45149</v>
      </c>
      <c r="D269" t="s">
        <v>196</v>
      </c>
      <c r="E269" t="s">
        <v>197</v>
      </c>
      <c r="G269">
        <v>8</v>
      </c>
      <c r="J269">
        <v>4.2219E-2</v>
      </c>
      <c r="K269">
        <v>2.9220269999999999</v>
      </c>
      <c r="L269">
        <v>4.1617000000000001E-2</v>
      </c>
      <c r="M269">
        <v>1.069952</v>
      </c>
      <c r="N269">
        <v>2.2524009999999999</v>
      </c>
      <c r="O269">
        <v>2.2243089999999999</v>
      </c>
      <c r="P269">
        <v>4.6169029999999998</v>
      </c>
      <c r="Q269">
        <v>2.3645010000000002</v>
      </c>
      <c r="R269">
        <v>23.314325</v>
      </c>
      <c r="S269">
        <v>23.608778000000001</v>
      </c>
      <c r="T269">
        <v>48.392544000000001</v>
      </c>
      <c r="U269">
        <v>0.44178600000000001</v>
      </c>
      <c r="V269" t="s">
        <v>784</v>
      </c>
      <c r="W269">
        <v>0</v>
      </c>
      <c r="X269">
        <v>0</v>
      </c>
      <c r="Y269">
        <v>0</v>
      </c>
      <c r="Z269">
        <v>100.389359</v>
      </c>
      <c r="AA269">
        <v>412.44003300000003</v>
      </c>
      <c r="AB269">
        <v>0.75659600000000005</v>
      </c>
      <c r="AC269">
        <v>0.5</v>
      </c>
      <c r="AD269">
        <v>0.8</v>
      </c>
      <c r="AE269">
        <v>20.690819000000001</v>
      </c>
      <c r="AF269">
        <v>45.86</v>
      </c>
      <c r="AG269">
        <v>45.29</v>
      </c>
      <c r="AH269">
        <v>32.5</v>
      </c>
      <c r="AI269">
        <v>31.41</v>
      </c>
      <c r="AJ269">
        <v>95.41</v>
      </c>
      <c r="AK269">
        <v>156.69999999999999</v>
      </c>
      <c r="AL269">
        <v>127.3</v>
      </c>
      <c r="AM269">
        <v>18.8</v>
      </c>
      <c r="AN269">
        <v>68</v>
      </c>
      <c r="AO269">
        <v>3.8879999999999999</v>
      </c>
      <c r="AP269">
        <v>14</v>
      </c>
      <c r="AQ269">
        <v>-46</v>
      </c>
      <c r="AR269">
        <v>85</v>
      </c>
      <c r="AS269">
        <v>61.17</v>
      </c>
      <c r="AT269">
        <v>48.22</v>
      </c>
      <c r="AU269">
        <v>47.62</v>
      </c>
      <c r="AV269">
        <v>161.85</v>
      </c>
      <c r="AW269">
        <v>15.18</v>
      </c>
      <c r="AX269">
        <v>279.51</v>
      </c>
      <c r="AY269">
        <v>77.349999999999994</v>
      </c>
      <c r="AZ269" s="3">
        <v>0.74623842592592593</v>
      </c>
      <c r="BA269" s="1">
        <v>45149</v>
      </c>
      <c r="BB269">
        <v>38.493088</v>
      </c>
      <c r="BC269">
        <v>-1.3627370000000001</v>
      </c>
      <c r="BD269">
        <v>579.09997599999997</v>
      </c>
      <c r="BE269">
        <v>7</v>
      </c>
      <c r="BF269">
        <v>1.1399999999999999</v>
      </c>
      <c r="BG269" s="3">
        <v>0.53768518518518515</v>
      </c>
      <c r="BH269" s="1">
        <v>45149</v>
      </c>
      <c r="BI269">
        <v>-0.05</v>
      </c>
      <c r="BJ269">
        <v>1E-3</v>
      </c>
      <c r="BK269">
        <v>2E-3</v>
      </c>
      <c r="BL269">
        <v>-9999</v>
      </c>
      <c r="BM269">
        <v>0.26400000000000001</v>
      </c>
      <c r="BN269">
        <v>0.67700000000000005</v>
      </c>
      <c r="BO269">
        <v>-9999</v>
      </c>
      <c r="BP269">
        <v>1</v>
      </c>
      <c r="BQ269">
        <v>150</v>
      </c>
      <c r="BR269">
        <v>5.0000000000000001E-3</v>
      </c>
      <c r="BS269">
        <v>2</v>
      </c>
      <c r="BT269">
        <v>0</v>
      </c>
      <c r="BU269" t="s">
        <v>200</v>
      </c>
      <c r="BV269">
        <v>7000</v>
      </c>
      <c r="BW269">
        <v>500</v>
      </c>
      <c r="BX269">
        <v>5</v>
      </c>
      <c r="BY269">
        <v>2</v>
      </c>
      <c r="BZ269">
        <v>300</v>
      </c>
      <c r="CA269">
        <v>300</v>
      </c>
      <c r="CB269">
        <v>300</v>
      </c>
      <c r="CC269">
        <v>405.33898900000003</v>
      </c>
      <c r="CD269">
        <v>25</v>
      </c>
      <c r="CE269">
        <v>-4.9045649999999998</v>
      </c>
      <c r="CF269">
        <v>415.62365699999998</v>
      </c>
      <c r="CG269">
        <v>405.44345099999998</v>
      </c>
      <c r="CH269">
        <v>10.180206</v>
      </c>
      <c r="CI269">
        <v>2.5094349999999999</v>
      </c>
      <c r="CJ269">
        <v>2.5187149999999998</v>
      </c>
      <c r="CK269">
        <v>1.6667270000000001</v>
      </c>
      <c r="CL269">
        <v>0.87082999999999999</v>
      </c>
      <c r="CM269">
        <v>0.20275099999999999</v>
      </c>
      <c r="CN269">
        <v>-1.278E-2</v>
      </c>
      <c r="CO269">
        <v>0.164741</v>
      </c>
      <c r="CP269">
        <v>0.16721800000000001</v>
      </c>
      <c r="CQ269">
        <v>100.389359</v>
      </c>
      <c r="CR269">
        <v>3.68E-4</v>
      </c>
      <c r="CS269">
        <v>2.4333689999999999</v>
      </c>
      <c r="CT269">
        <v>-3.6000000000000001E-5</v>
      </c>
      <c r="CU269">
        <v>1</v>
      </c>
      <c r="CV269">
        <v>2.4396819999999999</v>
      </c>
      <c r="CW269">
        <v>1.1E-5</v>
      </c>
      <c r="CX269">
        <v>1</v>
      </c>
      <c r="CY269">
        <v>0.60025499999999998</v>
      </c>
      <c r="CZ269">
        <v>0.60245199999999999</v>
      </c>
      <c r="DA269">
        <v>0.106742</v>
      </c>
      <c r="DB269">
        <v>0</v>
      </c>
      <c r="DC269" t="s">
        <v>784</v>
      </c>
      <c r="DD269" t="s">
        <v>515</v>
      </c>
      <c r="DE269" t="s">
        <v>516</v>
      </c>
      <c r="DF269" t="s">
        <v>517</v>
      </c>
      <c r="DG269" t="s">
        <v>518</v>
      </c>
      <c r="DH269" t="s">
        <v>205</v>
      </c>
      <c r="DI269" t="s">
        <v>519</v>
      </c>
    </row>
    <row r="270" spans="1:113">
      <c r="A270">
        <v>9</v>
      </c>
      <c r="B270" s="3">
        <v>0.54094907407407411</v>
      </c>
      <c r="C270" s="1">
        <v>45149</v>
      </c>
      <c r="D270" t="s">
        <v>196</v>
      </c>
      <c r="E270" t="s">
        <v>197</v>
      </c>
      <c r="G270">
        <v>9</v>
      </c>
      <c r="J270">
        <v>2.1544000000000001E-2</v>
      </c>
      <c r="K270">
        <v>2.9208470000000002</v>
      </c>
      <c r="L270">
        <v>2.1385999999999999E-2</v>
      </c>
      <c r="M270">
        <v>0.58485100000000001</v>
      </c>
      <c r="N270">
        <v>2.2381540000000002</v>
      </c>
      <c r="O270">
        <v>2.2227769999999998</v>
      </c>
      <c r="P270">
        <v>4.7522960000000003</v>
      </c>
      <c r="Q270">
        <v>2.5141420000000001</v>
      </c>
      <c r="R270">
        <v>23.292168</v>
      </c>
      <c r="S270">
        <v>23.453295000000001</v>
      </c>
      <c r="T270">
        <v>49.798630000000003</v>
      </c>
      <c r="U270">
        <v>0.44178600000000001</v>
      </c>
      <c r="V270" t="s">
        <v>785</v>
      </c>
      <c r="W270">
        <v>0</v>
      </c>
      <c r="X270">
        <v>0</v>
      </c>
      <c r="Y270">
        <v>0</v>
      </c>
      <c r="Z270">
        <v>97.125290000000007</v>
      </c>
      <c r="AA270">
        <v>289.69287100000003</v>
      </c>
      <c r="AB270">
        <v>0.66473000000000004</v>
      </c>
      <c r="AC270">
        <v>0.5</v>
      </c>
      <c r="AD270">
        <v>0.8</v>
      </c>
      <c r="AE270">
        <v>15.402343999999999</v>
      </c>
      <c r="AF270">
        <v>45.49</v>
      </c>
      <c r="AG270">
        <v>45.18</v>
      </c>
      <c r="AH270">
        <v>32.53</v>
      </c>
      <c r="AI270">
        <v>31.92</v>
      </c>
      <c r="AJ270">
        <v>95.43</v>
      </c>
      <c r="AK270">
        <v>156.6</v>
      </c>
      <c r="AL270">
        <v>155.69999999999999</v>
      </c>
      <c r="AM270">
        <v>0.6</v>
      </c>
      <c r="AN270">
        <v>58</v>
      </c>
      <c r="AO270">
        <v>3.8879999999999999</v>
      </c>
      <c r="AP270">
        <v>31</v>
      </c>
      <c r="AQ270">
        <v>-10</v>
      </c>
      <c r="AR270">
        <v>280</v>
      </c>
      <c r="AS270">
        <v>108.4</v>
      </c>
      <c r="AT270">
        <v>-9999</v>
      </c>
      <c r="AU270">
        <v>32.42</v>
      </c>
      <c r="AV270">
        <v>-61.1</v>
      </c>
      <c r="AW270">
        <v>15.18</v>
      </c>
      <c r="AX270">
        <v>279.81</v>
      </c>
      <c r="AY270">
        <v>77.73</v>
      </c>
      <c r="AZ270" s="3">
        <v>0.74776620370370372</v>
      </c>
      <c r="BA270" s="1">
        <v>45149</v>
      </c>
      <c r="BB270">
        <v>38.493099000000001</v>
      </c>
      <c r="BC270">
        <v>-1.36273</v>
      </c>
      <c r="BD270">
        <v>579.5</v>
      </c>
      <c r="BE270">
        <v>7</v>
      </c>
      <c r="BF270">
        <v>1.1399999999999999</v>
      </c>
      <c r="BG270" s="3">
        <v>0.53768518518518515</v>
      </c>
      <c r="BH270" s="1">
        <v>45149</v>
      </c>
      <c r="BI270">
        <v>-0.05</v>
      </c>
      <c r="BJ270">
        <v>5.0000000000000001E-3</v>
      </c>
      <c r="BK270">
        <v>2E-3</v>
      </c>
      <c r="BL270">
        <v>-9999</v>
      </c>
      <c r="BM270">
        <v>0.81599999999999995</v>
      </c>
      <c r="BN270">
        <v>1.0149999999999999</v>
      </c>
      <c r="BO270">
        <v>-9999</v>
      </c>
      <c r="BP270">
        <v>1</v>
      </c>
      <c r="BQ270">
        <v>150</v>
      </c>
      <c r="BR270">
        <v>5.0000000000000001E-3</v>
      </c>
      <c r="BS270">
        <v>2</v>
      </c>
      <c r="BT270">
        <v>0</v>
      </c>
      <c r="BU270" t="s">
        <v>200</v>
      </c>
      <c r="BV270">
        <v>7000</v>
      </c>
      <c r="BW270">
        <v>500</v>
      </c>
      <c r="BX270">
        <v>5</v>
      </c>
      <c r="BY270">
        <v>2</v>
      </c>
      <c r="BZ270">
        <v>300</v>
      </c>
      <c r="CA270">
        <v>300</v>
      </c>
      <c r="CB270">
        <v>300</v>
      </c>
      <c r="CC270">
        <v>289.69287100000003</v>
      </c>
      <c r="CD270">
        <v>25</v>
      </c>
      <c r="CE270">
        <v>-100.355087</v>
      </c>
      <c r="CF270">
        <v>483.66271999999998</v>
      </c>
      <c r="CG270">
        <v>146.53215</v>
      </c>
      <c r="CH270">
        <v>337.13055400000002</v>
      </c>
      <c r="CI270">
        <v>2.5092629999999998</v>
      </c>
      <c r="CJ270">
        <v>2.5181580000000001</v>
      </c>
      <c r="CK270">
        <v>1.665483</v>
      </c>
      <c r="CL270">
        <v>0.94171099999999996</v>
      </c>
      <c r="CM270">
        <v>0.20249700000000001</v>
      </c>
      <c r="CN270">
        <v>-6.9639999999999997E-3</v>
      </c>
      <c r="CO270">
        <v>0.18227699999999999</v>
      </c>
      <c r="CP270">
        <v>0.15798200000000001</v>
      </c>
      <c r="CQ270">
        <v>97.125290000000007</v>
      </c>
      <c r="CR270">
        <v>3.7100000000000002E-4</v>
      </c>
      <c r="CS270">
        <v>2.4333689999999999</v>
      </c>
      <c r="CT270">
        <v>-3.6000000000000001E-5</v>
      </c>
      <c r="CU270">
        <v>1</v>
      </c>
      <c r="CV270">
        <v>2.4396819999999999</v>
      </c>
      <c r="CW270">
        <v>1.1E-5</v>
      </c>
      <c r="CX270">
        <v>1</v>
      </c>
      <c r="CY270">
        <v>0.60025499999999998</v>
      </c>
      <c r="CZ270">
        <v>0.60245199999999999</v>
      </c>
      <c r="DA270">
        <v>0.106742</v>
      </c>
      <c r="DB270">
        <v>0</v>
      </c>
      <c r="DC270" t="s">
        <v>785</v>
      </c>
      <c r="DD270" t="s">
        <v>515</v>
      </c>
      <c r="DE270" t="s">
        <v>516</v>
      </c>
      <c r="DF270" t="s">
        <v>517</v>
      </c>
      <c r="DG270" t="s">
        <v>518</v>
      </c>
      <c r="DH270" t="s">
        <v>205</v>
      </c>
      <c r="DI270" t="s">
        <v>519</v>
      </c>
    </row>
    <row r="271" spans="1:113">
      <c r="A271">
        <v>10</v>
      </c>
      <c r="B271" s="3">
        <v>0.54108796296296291</v>
      </c>
      <c r="C271" s="1">
        <v>45149</v>
      </c>
      <c r="D271" t="s">
        <v>196</v>
      </c>
      <c r="E271" t="s">
        <v>197</v>
      </c>
      <c r="G271">
        <v>10</v>
      </c>
      <c r="J271">
        <v>1.6584999999999999E-2</v>
      </c>
      <c r="K271">
        <v>2.9207559999999999</v>
      </c>
      <c r="L271">
        <v>1.6490999999999999E-2</v>
      </c>
      <c r="M271">
        <v>0.442824</v>
      </c>
      <c r="N271">
        <v>2.2504400000000002</v>
      </c>
      <c r="O271">
        <v>2.2387969999999999</v>
      </c>
      <c r="P271">
        <v>4.719576</v>
      </c>
      <c r="Q271">
        <v>2.4691369999999999</v>
      </c>
      <c r="R271">
        <v>23.458563000000002</v>
      </c>
      <c r="S271">
        <v>23.580555</v>
      </c>
      <c r="T271">
        <v>49.452660000000002</v>
      </c>
      <c r="U271">
        <v>0.44178600000000001</v>
      </c>
      <c r="V271" t="s">
        <v>786</v>
      </c>
      <c r="W271">
        <v>0</v>
      </c>
      <c r="X271">
        <v>0</v>
      </c>
      <c r="Y271">
        <v>0</v>
      </c>
      <c r="Z271">
        <v>99.928734000000006</v>
      </c>
      <c r="AA271">
        <v>481.95541400000002</v>
      </c>
      <c r="AB271">
        <v>0.79266000000000003</v>
      </c>
      <c r="AC271">
        <v>0.5</v>
      </c>
      <c r="AD271">
        <v>0.8</v>
      </c>
      <c r="AE271">
        <v>13.039955000000001</v>
      </c>
      <c r="AF271">
        <v>45.73</v>
      </c>
      <c r="AG271">
        <v>45.49</v>
      </c>
      <c r="AH271">
        <v>32.53</v>
      </c>
      <c r="AI271">
        <v>31.79</v>
      </c>
      <c r="AJ271">
        <v>95.44</v>
      </c>
      <c r="AK271">
        <v>156.6</v>
      </c>
      <c r="AL271">
        <v>155.69999999999999</v>
      </c>
      <c r="AM271">
        <v>0.5</v>
      </c>
      <c r="AN271">
        <v>41</v>
      </c>
      <c r="AO271">
        <v>3.8879999999999999</v>
      </c>
      <c r="AP271">
        <v>6</v>
      </c>
      <c r="AQ271">
        <v>-2</v>
      </c>
      <c r="AR271">
        <v>264</v>
      </c>
      <c r="AS271">
        <v>84.24</v>
      </c>
      <c r="AT271">
        <v>10.029999999999999</v>
      </c>
      <c r="AU271">
        <v>6.32</v>
      </c>
      <c r="AV271">
        <v>-77.53</v>
      </c>
      <c r="AW271">
        <v>15.17</v>
      </c>
      <c r="AX271">
        <v>279.95</v>
      </c>
      <c r="AY271">
        <v>77.930000000000007</v>
      </c>
      <c r="AZ271" s="3">
        <v>0.74791666666666667</v>
      </c>
      <c r="BA271" s="1">
        <v>45149</v>
      </c>
      <c r="BB271">
        <v>38.493091999999997</v>
      </c>
      <c r="BC271">
        <v>-1.3627400000000001</v>
      </c>
      <c r="BD271">
        <v>579.5</v>
      </c>
      <c r="BE271">
        <v>7</v>
      </c>
      <c r="BF271">
        <v>1.1399999999999999</v>
      </c>
      <c r="BG271" s="3">
        <v>0.53768518518518515</v>
      </c>
      <c r="BH271" s="1">
        <v>45149</v>
      </c>
      <c r="BI271">
        <v>-0.05</v>
      </c>
      <c r="BJ271">
        <v>0</v>
      </c>
      <c r="BK271">
        <v>1E-3</v>
      </c>
      <c r="BL271">
        <v>-9999</v>
      </c>
      <c r="BM271">
        <v>0.44500000000000001</v>
      </c>
      <c r="BN271">
        <v>0.98899999999999999</v>
      </c>
      <c r="BO271">
        <v>-9999</v>
      </c>
      <c r="BP271">
        <v>1</v>
      </c>
      <c r="BQ271">
        <v>150</v>
      </c>
      <c r="BR271">
        <v>5.0000000000000001E-3</v>
      </c>
      <c r="BS271">
        <v>2</v>
      </c>
      <c r="BT271">
        <v>0</v>
      </c>
      <c r="BU271" t="s">
        <v>200</v>
      </c>
      <c r="BV271">
        <v>7000</v>
      </c>
      <c r="BW271">
        <v>500</v>
      </c>
      <c r="BX271">
        <v>5</v>
      </c>
      <c r="BY271">
        <v>2</v>
      </c>
      <c r="BZ271">
        <v>300</v>
      </c>
      <c r="CA271">
        <v>300</v>
      </c>
      <c r="CB271">
        <v>300</v>
      </c>
      <c r="CC271">
        <v>481.95541400000002</v>
      </c>
      <c r="CD271">
        <v>25</v>
      </c>
      <c r="CE271">
        <v>13.081281000000001</v>
      </c>
      <c r="CF271">
        <v>493.08621199999999</v>
      </c>
      <c r="CG271">
        <v>500.61639400000001</v>
      </c>
      <c r="CH271">
        <v>-7.5301819999999999</v>
      </c>
      <c r="CI271">
        <v>2.509722</v>
      </c>
      <c r="CJ271">
        <v>2.5185070000000001</v>
      </c>
      <c r="CK271">
        <v>1.665387</v>
      </c>
      <c r="CL271">
        <v>0.94178600000000001</v>
      </c>
      <c r="CM271">
        <v>0.20245299999999999</v>
      </c>
      <c r="CN271">
        <v>-8.5220000000000001E-3</v>
      </c>
      <c r="CO271">
        <v>0.183727</v>
      </c>
      <c r="CP271">
        <v>0.143122</v>
      </c>
      <c r="CQ271">
        <v>99.928734000000006</v>
      </c>
      <c r="CR271">
        <v>3.7399999999999998E-4</v>
      </c>
      <c r="CS271">
        <v>2.4333689999999999</v>
      </c>
      <c r="CT271">
        <v>-3.6000000000000001E-5</v>
      </c>
      <c r="CU271">
        <v>1</v>
      </c>
      <c r="CV271">
        <v>2.4396819999999999</v>
      </c>
      <c r="CW271">
        <v>1.1E-5</v>
      </c>
      <c r="CX271">
        <v>1</v>
      </c>
      <c r="CY271">
        <v>0.60025499999999998</v>
      </c>
      <c r="CZ271">
        <v>0.60245199999999999</v>
      </c>
      <c r="DA271">
        <v>0.106742</v>
      </c>
      <c r="DB271">
        <v>0</v>
      </c>
      <c r="DC271" t="s">
        <v>786</v>
      </c>
      <c r="DD271" t="s">
        <v>515</v>
      </c>
      <c r="DE271" t="s">
        <v>516</v>
      </c>
      <c r="DF271" t="s">
        <v>517</v>
      </c>
      <c r="DG271" t="s">
        <v>518</v>
      </c>
      <c r="DH271" t="s">
        <v>205</v>
      </c>
      <c r="DI271" t="s">
        <v>519</v>
      </c>
    </row>
    <row r="272" spans="1:113">
      <c r="A272">
        <v>11</v>
      </c>
      <c r="B272" s="3">
        <v>0.54122685185185182</v>
      </c>
      <c r="C272" s="1">
        <v>45149</v>
      </c>
      <c r="D272" t="s">
        <v>196</v>
      </c>
      <c r="E272" t="s">
        <v>197</v>
      </c>
      <c r="G272">
        <v>11</v>
      </c>
      <c r="J272">
        <v>2.9092E-2</v>
      </c>
      <c r="K272">
        <v>2.9214449999999998</v>
      </c>
      <c r="L272">
        <v>2.8805999999999998E-2</v>
      </c>
      <c r="M272">
        <v>0.77069299999999996</v>
      </c>
      <c r="N272">
        <v>2.269174</v>
      </c>
      <c r="O272">
        <v>2.2489270000000001</v>
      </c>
      <c r="P272">
        <v>4.7288560000000004</v>
      </c>
      <c r="Q272">
        <v>2.4596819999999999</v>
      </c>
      <c r="R272">
        <v>23.565573000000001</v>
      </c>
      <c r="S272">
        <v>23.777730999999999</v>
      </c>
      <c r="T272">
        <v>49.551715999999999</v>
      </c>
      <c r="U272">
        <v>0.44178600000000001</v>
      </c>
      <c r="V272" t="s">
        <v>787</v>
      </c>
      <c r="W272">
        <v>0</v>
      </c>
      <c r="X272">
        <v>0</v>
      </c>
      <c r="Y272">
        <v>0</v>
      </c>
      <c r="Z272">
        <v>104.86972</v>
      </c>
      <c r="AA272">
        <v>398.87380999999999</v>
      </c>
      <c r="AB272">
        <v>0.73708499999999999</v>
      </c>
      <c r="AC272">
        <v>0.5</v>
      </c>
      <c r="AD272">
        <v>0.8</v>
      </c>
      <c r="AE272">
        <v>13.783083</v>
      </c>
      <c r="AF272">
        <v>46.09</v>
      </c>
      <c r="AG272">
        <v>45.68</v>
      </c>
      <c r="AH272">
        <v>32.54</v>
      </c>
      <c r="AI272">
        <v>31.83</v>
      </c>
      <c r="AJ272">
        <v>95.43</v>
      </c>
      <c r="AK272">
        <v>156.69999999999999</v>
      </c>
      <c r="AL272">
        <v>155.69999999999999</v>
      </c>
      <c r="AM272">
        <v>0.6</v>
      </c>
      <c r="AN272">
        <v>47</v>
      </c>
      <c r="AO272">
        <v>3.887</v>
      </c>
      <c r="AP272">
        <v>31</v>
      </c>
      <c r="AQ272">
        <v>2</v>
      </c>
      <c r="AR272">
        <v>247</v>
      </c>
      <c r="AS272">
        <v>102.98</v>
      </c>
      <c r="AT272">
        <v>-9999</v>
      </c>
      <c r="AU272">
        <v>31.06</v>
      </c>
      <c r="AV272">
        <v>-116.88</v>
      </c>
      <c r="AW272">
        <v>15.17</v>
      </c>
      <c r="AX272">
        <v>279.95</v>
      </c>
      <c r="AY272">
        <v>77.930000000000007</v>
      </c>
      <c r="AZ272" s="3">
        <v>0.74804398148148143</v>
      </c>
      <c r="BA272" s="1">
        <v>45149</v>
      </c>
      <c r="BB272">
        <v>38.493113999999998</v>
      </c>
      <c r="BC272">
        <v>-1.362738</v>
      </c>
      <c r="BD272">
        <v>579.20001200000002</v>
      </c>
      <c r="BE272">
        <v>7</v>
      </c>
      <c r="BF272">
        <v>1.1399999999999999</v>
      </c>
      <c r="BG272" s="3">
        <v>0.53768518518518515</v>
      </c>
      <c r="BH272" s="1">
        <v>45149</v>
      </c>
      <c r="BI272">
        <v>-0.05</v>
      </c>
      <c r="BJ272">
        <v>0</v>
      </c>
      <c r="BK272">
        <v>2E-3</v>
      </c>
      <c r="BL272">
        <v>-9999</v>
      </c>
      <c r="BM272">
        <v>-1.012</v>
      </c>
      <c r="BN272">
        <v>-0.52400000000000002</v>
      </c>
      <c r="BO272">
        <v>-9999</v>
      </c>
      <c r="BP272">
        <v>1</v>
      </c>
      <c r="BQ272">
        <v>150</v>
      </c>
      <c r="BR272">
        <v>5.0000000000000001E-3</v>
      </c>
      <c r="BS272">
        <v>2</v>
      </c>
      <c r="BT272">
        <v>0</v>
      </c>
      <c r="BU272" t="s">
        <v>200</v>
      </c>
      <c r="BV272">
        <v>7000</v>
      </c>
      <c r="BW272">
        <v>500</v>
      </c>
      <c r="BX272">
        <v>5</v>
      </c>
      <c r="BY272">
        <v>2</v>
      </c>
      <c r="BZ272">
        <v>300</v>
      </c>
      <c r="CA272">
        <v>300</v>
      </c>
      <c r="CB272">
        <v>300</v>
      </c>
      <c r="CC272">
        <v>396.48736600000001</v>
      </c>
      <c r="CD272">
        <v>25</v>
      </c>
      <c r="CE272">
        <v>-1.804441</v>
      </c>
      <c r="CF272">
        <v>401.16549700000002</v>
      </c>
      <c r="CG272">
        <v>396.299713</v>
      </c>
      <c r="CH272">
        <v>4.8657839999999997</v>
      </c>
      <c r="CI272">
        <v>2.510005</v>
      </c>
      <c r="CJ272">
        <v>2.5190510000000002</v>
      </c>
      <c r="CK272">
        <v>1.666113</v>
      </c>
      <c r="CL272">
        <v>0.94172999999999996</v>
      </c>
      <c r="CM272">
        <v>0.20241300000000001</v>
      </c>
      <c r="CN272">
        <v>-8.1609999999999999E-3</v>
      </c>
      <c r="CO272">
        <v>0.18512700000000001</v>
      </c>
      <c r="CP272">
        <v>0.148094</v>
      </c>
      <c r="CQ272">
        <v>104.86972</v>
      </c>
      <c r="CR272">
        <v>3.6400000000000001E-4</v>
      </c>
      <c r="CS272">
        <v>2.4333689999999999</v>
      </c>
      <c r="CT272">
        <v>-3.6000000000000001E-5</v>
      </c>
      <c r="CU272">
        <v>1</v>
      </c>
      <c r="CV272">
        <v>2.4396819999999999</v>
      </c>
      <c r="CW272">
        <v>1.1E-5</v>
      </c>
      <c r="CX272">
        <v>1</v>
      </c>
      <c r="CY272">
        <v>0.60025499999999998</v>
      </c>
      <c r="CZ272">
        <v>0.60245199999999999</v>
      </c>
      <c r="DA272">
        <v>0.106742</v>
      </c>
      <c r="DB272">
        <v>0</v>
      </c>
      <c r="DC272" t="s">
        <v>787</v>
      </c>
      <c r="DD272" t="s">
        <v>515</v>
      </c>
      <c r="DE272" t="s">
        <v>516</v>
      </c>
      <c r="DF272" t="s">
        <v>517</v>
      </c>
      <c r="DG272" t="s">
        <v>518</v>
      </c>
      <c r="DH272" t="s">
        <v>205</v>
      </c>
      <c r="DI272" t="s">
        <v>519</v>
      </c>
    </row>
    <row r="273" spans="1:113">
      <c r="A273">
        <v>12</v>
      </c>
      <c r="B273" s="3">
        <v>0.54140046296296296</v>
      </c>
      <c r="C273" s="1">
        <v>45149</v>
      </c>
      <c r="D273" t="s">
        <v>196</v>
      </c>
      <c r="E273" t="s">
        <v>197</v>
      </c>
      <c r="G273">
        <v>12</v>
      </c>
      <c r="J273">
        <v>2.5498E-2</v>
      </c>
      <c r="K273">
        <v>2.9212440000000002</v>
      </c>
      <c r="L273">
        <v>2.5277000000000001E-2</v>
      </c>
      <c r="M273">
        <v>0.68126100000000001</v>
      </c>
      <c r="N273">
        <v>2.2856740000000002</v>
      </c>
      <c r="O273">
        <v>2.2677770000000002</v>
      </c>
      <c r="P273">
        <v>4.7627610000000002</v>
      </c>
      <c r="Q273">
        <v>2.477087</v>
      </c>
      <c r="R273">
        <v>23.763027000000001</v>
      </c>
      <c r="S273">
        <v>23.950562000000001</v>
      </c>
      <c r="T273">
        <v>49.906852999999998</v>
      </c>
      <c r="U273">
        <v>0.44178600000000001</v>
      </c>
      <c r="V273" t="s">
        <v>788</v>
      </c>
      <c r="W273">
        <v>0</v>
      </c>
      <c r="X273">
        <v>0</v>
      </c>
      <c r="Y273">
        <v>0</v>
      </c>
      <c r="Z273">
        <v>48.281193000000002</v>
      </c>
      <c r="AA273">
        <v>228.27101099999999</v>
      </c>
      <c r="AB273">
        <v>0.78849199999999997</v>
      </c>
      <c r="AC273">
        <v>0.5</v>
      </c>
      <c r="AD273">
        <v>0.8</v>
      </c>
      <c r="AE273">
        <v>11.513132000000001</v>
      </c>
      <c r="AF273">
        <v>46.41</v>
      </c>
      <c r="AG273">
        <v>46.04</v>
      </c>
      <c r="AH273">
        <v>32.549999999999997</v>
      </c>
      <c r="AI273">
        <v>31.95</v>
      </c>
      <c r="AJ273">
        <v>95.43</v>
      </c>
      <c r="AK273">
        <v>156.6</v>
      </c>
      <c r="AL273">
        <v>155.6</v>
      </c>
      <c r="AM273">
        <v>0.7</v>
      </c>
      <c r="AN273">
        <v>37</v>
      </c>
      <c r="AO273">
        <v>3.8860000000000001</v>
      </c>
      <c r="AP273">
        <v>28</v>
      </c>
      <c r="AQ273">
        <v>-38</v>
      </c>
      <c r="AR273">
        <v>286</v>
      </c>
      <c r="AS273">
        <v>98.67</v>
      </c>
      <c r="AT273">
        <v>-9999</v>
      </c>
      <c r="AU273">
        <v>45.91</v>
      </c>
      <c r="AV273">
        <v>-15</v>
      </c>
      <c r="AW273">
        <v>15.17</v>
      </c>
      <c r="AX273">
        <v>279.95</v>
      </c>
      <c r="AY273">
        <v>77.930000000000007</v>
      </c>
      <c r="AZ273" s="3">
        <v>0.74821759259259257</v>
      </c>
      <c r="BA273" s="1">
        <v>45149</v>
      </c>
      <c r="BB273">
        <v>38.493279000000001</v>
      </c>
      <c r="BC273">
        <v>-1.36249</v>
      </c>
      <c r="BD273">
        <v>582.90002400000003</v>
      </c>
      <c r="BE273">
        <v>7</v>
      </c>
      <c r="BF273">
        <v>1.1399999999999999</v>
      </c>
      <c r="BG273" s="3">
        <v>0.53768518518518515</v>
      </c>
      <c r="BH273" s="1">
        <v>45149</v>
      </c>
      <c r="BI273">
        <v>-0.05</v>
      </c>
      <c r="BJ273">
        <v>0</v>
      </c>
      <c r="BK273">
        <v>2E-3</v>
      </c>
      <c r="BL273">
        <v>6.0000000000000001E-3</v>
      </c>
      <c r="BM273">
        <v>1.0449999999999999</v>
      </c>
      <c r="BN273">
        <v>-3.1080000000000001</v>
      </c>
      <c r="BO273">
        <v>-27.437000000000001</v>
      </c>
      <c r="BP273">
        <v>1</v>
      </c>
      <c r="BQ273">
        <v>150</v>
      </c>
      <c r="BR273">
        <v>5.0000000000000001E-3</v>
      </c>
      <c r="BS273">
        <v>2</v>
      </c>
      <c r="BT273">
        <v>0</v>
      </c>
      <c r="BU273" t="s">
        <v>200</v>
      </c>
      <c r="BV273">
        <v>7000</v>
      </c>
      <c r="BW273">
        <v>500</v>
      </c>
      <c r="BX273">
        <v>5</v>
      </c>
      <c r="BY273">
        <v>2</v>
      </c>
      <c r="BZ273">
        <v>300</v>
      </c>
      <c r="CA273">
        <v>300</v>
      </c>
      <c r="CB273">
        <v>300</v>
      </c>
      <c r="CC273">
        <v>228.27101099999999</v>
      </c>
      <c r="CD273">
        <v>25</v>
      </c>
      <c r="CE273">
        <v>6.4637779999999996</v>
      </c>
      <c r="CF273">
        <v>248.204117</v>
      </c>
      <c r="CG273">
        <v>237.49186700000001</v>
      </c>
      <c r="CH273">
        <v>10.712249999999999</v>
      </c>
      <c r="CI273">
        <v>2.5105339999999998</v>
      </c>
      <c r="CJ273">
        <v>2.5195120000000002</v>
      </c>
      <c r="CK273">
        <v>1.6659010000000001</v>
      </c>
      <c r="CL273">
        <v>0.94139700000000004</v>
      </c>
      <c r="CM273">
        <v>0.20234099999999999</v>
      </c>
      <c r="CN273">
        <v>-6.731E-3</v>
      </c>
      <c r="CO273">
        <v>0.18684200000000001</v>
      </c>
      <c r="CP273">
        <v>0.13903199999999999</v>
      </c>
      <c r="CQ273">
        <v>48.281193000000002</v>
      </c>
      <c r="CR273">
        <v>3.7100000000000002E-4</v>
      </c>
      <c r="CS273">
        <v>2.4333689999999999</v>
      </c>
      <c r="CT273">
        <v>-3.6000000000000001E-5</v>
      </c>
      <c r="CU273">
        <v>1</v>
      </c>
      <c r="CV273">
        <v>2.4396819999999999</v>
      </c>
      <c r="CW273">
        <v>1.1E-5</v>
      </c>
      <c r="CX273">
        <v>1</v>
      </c>
      <c r="CY273">
        <v>0.60025499999999998</v>
      </c>
      <c r="CZ273">
        <v>0.60245199999999999</v>
      </c>
      <c r="DA273">
        <v>0.106742</v>
      </c>
      <c r="DB273">
        <v>0</v>
      </c>
      <c r="DC273" t="s">
        <v>788</v>
      </c>
      <c r="DD273" t="s">
        <v>515</v>
      </c>
      <c r="DE273" t="s">
        <v>516</v>
      </c>
      <c r="DF273" t="s">
        <v>517</v>
      </c>
      <c r="DG273" t="s">
        <v>518</v>
      </c>
      <c r="DH273" t="s">
        <v>205</v>
      </c>
      <c r="DI273" t="s">
        <v>519</v>
      </c>
    </row>
    <row r="274" spans="1:113">
      <c r="A274">
        <v>13</v>
      </c>
      <c r="B274" s="3">
        <v>0.54194444444444445</v>
      </c>
      <c r="C274" s="1">
        <v>45149</v>
      </c>
      <c r="D274" t="s">
        <v>196</v>
      </c>
      <c r="E274" t="s">
        <v>197</v>
      </c>
      <c r="G274">
        <v>13</v>
      </c>
      <c r="J274">
        <v>5.4029999999999998E-3</v>
      </c>
      <c r="K274">
        <v>2.9204859999999999</v>
      </c>
      <c r="L274">
        <v>5.3930000000000002E-3</v>
      </c>
      <c r="M274">
        <v>0.14546999999999999</v>
      </c>
      <c r="N274">
        <v>2.2972769999999998</v>
      </c>
      <c r="O274">
        <v>2.293453</v>
      </c>
      <c r="P274">
        <v>4.7762739999999999</v>
      </c>
      <c r="Q274">
        <v>2.4789970000000001</v>
      </c>
      <c r="R274">
        <v>24.028112</v>
      </c>
      <c r="S274">
        <v>24.068176000000001</v>
      </c>
      <c r="T274">
        <v>50.040191999999998</v>
      </c>
      <c r="U274">
        <v>0.44178600000000001</v>
      </c>
      <c r="V274" t="s">
        <v>789</v>
      </c>
      <c r="W274">
        <v>0</v>
      </c>
      <c r="X274">
        <v>0</v>
      </c>
      <c r="Y274">
        <v>0</v>
      </c>
      <c r="Z274">
        <v>97.434997999999993</v>
      </c>
      <c r="AA274">
        <v>435.20306399999998</v>
      </c>
      <c r="AB274">
        <v>0.77611600000000003</v>
      </c>
      <c r="AC274">
        <v>0.5</v>
      </c>
      <c r="AD274">
        <v>0.8</v>
      </c>
      <c r="AE274">
        <v>14.571547000000001</v>
      </c>
      <c r="AF274">
        <v>46.57</v>
      </c>
      <c r="AG274">
        <v>46.49</v>
      </c>
      <c r="AH274">
        <v>32.58</v>
      </c>
      <c r="AI274">
        <v>32</v>
      </c>
      <c r="AJ274">
        <v>95.45</v>
      </c>
      <c r="AK274">
        <v>156.6</v>
      </c>
      <c r="AL274">
        <v>155.69999999999999</v>
      </c>
      <c r="AM274">
        <v>0.5</v>
      </c>
      <c r="AN274">
        <v>47</v>
      </c>
      <c r="AO274">
        <v>3.8849999999999998</v>
      </c>
      <c r="AP274">
        <v>28</v>
      </c>
      <c r="AQ274">
        <v>-5</v>
      </c>
      <c r="AR274">
        <v>302</v>
      </c>
      <c r="AS274">
        <v>102.22</v>
      </c>
      <c r="AT274">
        <v>-9999</v>
      </c>
      <c r="AU274">
        <v>28.41</v>
      </c>
      <c r="AV274">
        <v>-47.44</v>
      </c>
      <c r="AW274">
        <v>15.17</v>
      </c>
      <c r="AX274">
        <v>280.10000000000002</v>
      </c>
      <c r="AY274">
        <v>78.12</v>
      </c>
      <c r="AZ274" s="3">
        <v>0.74876157407407407</v>
      </c>
      <c r="BA274" s="1">
        <v>45149</v>
      </c>
      <c r="BB274">
        <v>38.493274999999997</v>
      </c>
      <c r="BC274">
        <v>-1.3625100000000001</v>
      </c>
      <c r="BD274">
        <v>582.79998799999998</v>
      </c>
      <c r="BE274">
        <v>7</v>
      </c>
      <c r="BF274">
        <v>1.1399999999999999</v>
      </c>
      <c r="BG274" s="3">
        <v>0.53768518518518515</v>
      </c>
      <c r="BH274" s="1">
        <v>45149</v>
      </c>
      <c r="BI274">
        <v>-0.05</v>
      </c>
      <c r="BJ274">
        <v>0</v>
      </c>
      <c r="BK274">
        <v>-1E-3</v>
      </c>
      <c r="BL274">
        <v>-9999</v>
      </c>
      <c r="BM274">
        <v>-8.4000000000000005E-2</v>
      </c>
      <c r="BN274">
        <v>0.55000000000000004</v>
      </c>
      <c r="BO274">
        <v>-9999</v>
      </c>
      <c r="BP274">
        <v>1</v>
      </c>
      <c r="BQ274">
        <v>150</v>
      </c>
      <c r="BR274">
        <v>5.0000000000000001E-3</v>
      </c>
      <c r="BS274">
        <v>2</v>
      </c>
      <c r="BT274">
        <v>0</v>
      </c>
      <c r="BU274" t="s">
        <v>200</v>
      </c>
      <c r="BV274">
        <v>7000</v>
      </c>
      <c r="BW274">
        <v>500</v>
      </c>
      <c r="BX274">
        <v>5</v>
      </c>
      <c r="BY274">
        <v>2</v>
      </c>
      <c r="BZ274">
        <v>300</v>
      </c>
      <c r="CA274">
        <v>300</v>
      </c>
      <c r="CB274">
        <v>300</v>
      </c>
      <c r="CC274">
        <v>435.20306399999998</v>
      </c>
      <c r="CD274">
        <v>25</v>
      </c>
      <c r="CE274">
        <v>11.921021</v>
      </c>
      <c r="CF274">
        <v>446.30957000000001</v>
      </c>
      <c r="CG274">
        <v>452.20889299999999</v>
      </c>
      <c r="CH274">
        <v>-5.8993229999999999</v>
      </c>
      <c r="CI274">
        <v>2.5111940000000001</v>
      </c>
      <c r="CJ274">
        <v>2.519752</v>
      </c>
      <c r="CK274">
        <v>1.6651020000000001</v>
      </c>
      <c r="CL274">
        <v>0.94167000000000001</v>
      </c>
      <c r="CM274">
        <v>0.202128</v>
      </c>
      <c r="CN274">
        <v>-6.45E-3</v>
      </c>
      <c r="CO274">
        <v>0.19259299999999999</v>
      </c>
      <c r="CP274">
        <v>0.148261</v>
      </c>
      <c r="CQ274">
        <v>97.434997999999993</v>
      </c>
      <c r="CR274">
        <v>3.7300000000000001E-4</v>
      </c>
      <c r="CS274">
        <v>2.4333689999999999</v>
      </c>
      <c r="CT274">
        <v>-3.6000000000000001E-5</v>
      </c>
      <c r="CU274">
        <v>1</v>
      </c>
      <c r="CV274">
        <v>2.4396819999999999</v>
      </c>
      <c r="CW274">
        <v>1.1E-5</v>
      </c>
      <c r="CX274">
        <v>1</v>
      </c>
      <c r="CY274">
        <v>0.60025499999999998</v>
      </c>
      <c r="CZ274">
        <v>0.60245199999999999</v>
      </c>
      <c r="DA274">
        <v>0.106742</v>
      </c>
      <c r="DB274">
        <v>0</v>
      </c>
      <c r="DC274" t="s">
        <v>789</v>
      </c>
      <c r="DD274" t="s">
        <v>515</v>
      </c>
      <c r="DE274" t="s">
        <v>516</v>
      </c>
      <c r="DF274" t="s">
        <v>517</v>
      </c>
      <c r="DG274" t="s">
        <v>518</v>
      </c>
      <c r="DH274" t="s">
        <v>205</v>
      </c>
      <c r="DI274" t="s">
        <v>519</v>
      </c>
    </row>
    <row r="275" spans="1:113">
      <c r="A275">
        <v>14</v>
      </c>
      <c r="B275" s="3">
        <v>0.54211805555555559</v>
      </c>
      <c r="C275" s="1">
        <v>45149</v>
      </c>
      <c r="D275" t="s">
        <v>196</v>
      </c>
      <c r="E275" t="s">
        <v>197</v>
      </c>
      <c r="G275">
        <v>14</v>
      </c>
      <c r="J275">
        <v>8.5210000000000008E-3</v>
      </c>
      <c r="K275">
        <v>2.920032</v>
      </c>
      <c r="L275">
        <v>8.4960000000000001E-3</v>
      </c>
      <c r="M275">
        <v>0.227796</v>
      </c>
      <c r="N275">
        <v>2.3045390000000001</v>
      </c>
      <c r="O275">
        <v>2.2985500000000001</v>
      </c>
      <c r="P275">
        <v>4.7687059999999999</v>
      </c>
      <c r="Q275">
        <v>2.4641670000000002</v>
      </c>
      <c r="R275">
        <v>24.082640000000001</v>
      </c>
      <c r="S275">
        <v>24.145395000000001</v>
      </c>
      <c r="T275">
        <v>49.963256999999999</v>
      </c>
      <c r="U275">
        <v>0.44178600000000001</v>
      </c>
      <c r="V275" t="s">
        <v>790</v>
      </c>
      <c r="W275">
        <v>0</v>
      </c>
      <c r="X275">
        <v>0</v>
      </c>
      <c r="Y275">
        <v>0</v>
      </c>
      <c r="Z275">
        <v>73.237183000000002</v>
      </c>
      <c r="AA275">
        <v>280.99786399999999</v>
      </c>
      <c r="AB275">
        <v>0.739367</v>
      </c>
      <c r="AC275">
        <v>0.5</v>
      </c>
      <c r="AD275">
        <v>0.8</v>
      </c>
      <c r="AE275">
        <v>13.768840000000001</v>
      </c>
      <c r="AF275">
        <v>46.69</v>
      </c>
      <c r="AG275">
        <v>46.57</v>
      </c>
      <c r="AH275">
        <v>32.58</v>
      </c>
      <c r="AI275">
        <v>31.98</v>
      </c>
      <c r="AJ275">
        <v>95.44</v>
      </c>
      <c r="AK275">
        <v>156.5</v>
      </c>
      <c r="AL275">
        <v>155.6</v>
      </c>
      <c r="AM275">
        <v>0.6</v>
      </c>
      <c r="AN275">
        <v>47</v>
      </c>
      <c r="AO275">
        <v>3.8860000000000001</v>
      </c>
      <c r="AP275">
        <v>36</v>
      </c>
      <c r="AQ275">
        <v>-7</v>
      </c>
      <c r="AR275">
        <v>297</v>
      </c>
      <c r="AS275">
        <v>110.26</v>
      </c>
      <c r="AT275">
        <v>-9999</v>
      </c>
      <c r="AU275">
        <v>36.58</v>
      </c>
      <c r="AV275">
        <v>-51.2</v>
      </c>
      <c r="AW275">
        <v>15.17</v>
      </c>
      <c r="AX275">
        <v>280.10000000000002</v>
      </c>
      <c r="AY275">
        <v>78.12</v>
      </c>
      <c r="AZ275" s="3">
        <v>0.74892361111111105</v>
      </c>
      <c r="BA275" s="1">
        <v>45149</v>
      </c>
      <c r="BB275">
        <v>38.493262999999999</v>
      </c>
      <c r="BC275">
        <v>-1.362522</v>
      </c>
      <c r="BD275">
        <v>581.59997599999997</v>
      </c>
      <c r="BE275">
        <v>7</v>
      </c>
      <c r="BF275">
        <v>1.1399999999999999</v>
      </c>
      <c r="BG275" s="3">
        <v>0.53768518518518515</v>
      </c>
      <c r="BH275" s="1">
        <v>45149</v>
      </c>
      <c r="BI275">
        <v>-0.05</v>
      </c>
      <c r="BJ275">
        <v>-1E-3</v>
      </c>
      <c r="BK275">
        <v>-2E-3</v>
      </c>
      <c r="BL275">
        <v>-9999</v>
      </c>
      <c r="BM275">
        <v>2.5169999999999999</v>
      </c>
      <c r="BN275">
        <v>1.835</v>
      </c>
      <c r="BO275">
        <v>-9999</v>
      </c>
      <c r="BP275">
        <v>1</v>
      </c>
      <c r="BQ275">
        <v>150</v>
      </c>
      <c r="BR275">
        <v>5.0000000000000001E-3</v>
      </c>
      <c r="BS275">
        <v>2</v>
      </c>
      <c r="BT275">
        <v>0</v>
      </c>
      <c r="BU275" t="s">
        <v>200</v>
      </c>
      <c r="BV275">
        <v>7000</v>
      </c>
      <c r="BW275">
        <v>500</v>
      </c>
      <c r="BX275">
        <v>5</v>
      </c>
      <c r="BY275">
        <v>2</v>
      </c>
      <c r="BZ275">
        <v>300</v>
      </c>
      <c r="CA275">
        <v>300</v>
      </c>
      <c r="CB275">
        <v>300</v>
      </c>
      <c r="CC275">
        <v>280.99786399999999</v>
      </c>
      <c r="CD275">
        <v>25</v>
      </c>
      <c r="CE275">
        <v>3.6290119999999999</v>
      </c>
      <c r="CF275">
        <v>306.61511200000001</v>
      </c>
      <c r="CG275">
        <v>286.17480499999999</v>
      </c>
      <c r="CH275">
        <v>20.440308000000002</v>
      </c>
      <c r="CI275">
        <v>2.5113089999999998</v>
      </c>
      <c r="CJ275">
        <v>2.5199340000000001</v>
      </c>
      <c r="CK275">
        <v>1.664625</v>
      </c>
      <c r="CL275">
        <v>0.941361</v>
      </c>
      <c r="CM275">
        <v>0.20205699999999999</v>
      </c>
      <c r="CN275">
        <v>-6.9030000000000003E-3</v>
      </c>
      <c r="CO275">
        <v>0.194384</v>
      </c>
      <c r="CP275">
        <v>0.147924</v>
      </c>
      <c r="CQ275">
        <v>73.237183000000002</v>
      </c>
      <c r="CR275">
        <v>3.68E-4</v>
      </c>
      <c r="CS275">
        <v>2.4333689999999999</v>
      </c>
      <c r="CT275">
        <v>-3.6000000000000001E-5</v>
      </c>
      <c r="CU275">
        <v>1</v>
      </c>
      <c r="CV275">
        <v>2.4396819999999999</v>
      </c>
      <c r="CW275">
        <v>1.1E-5</v>
      </c>
      <c r="CX275">
        <v>1</v>
      </c>
      <c r="CY275">
        <v>0.60025499999999998</v>
      </c>
      <c r="CZ275">
        <v>0.60245199999999999</v>
      </c>
      <c r="DA275">
        <v>0.106742</v>
      </c>
      <c r="DB275">
        <v>0</v>
      </c>
      <c r="DC275" t="s">
        <v>790</v>
      </c>
      <c r="DD275" t="s">
        <v>515</v>
      </c>
      <c r="DE275" t="s">
        <v>516</v>
      </c>
      <c r="DF275" t="s">
        <v>517</v>
      </c>
      <c r="DG275" t="s">
        <v>518</v>
      </c>
      <c r="DH275" t="s">
        <v>205</v>
      </c>
      <c r="DI275" t="s">
        <v>519</v>
      </c>
    </row>
    <row r="276" spans="1:113">
      <c r="A276">
        <v>15</v>
      </c>
      <c r="B276" s="3">
        <v>0.54247685185185179</v>
      </c>
      <c r="C276" s="1">
        <v>45149</v>
      </c>
      <c r="D276" t="s">
        <v>196</v>
      </c>
      <c r="E276" t="s">
        <v>197</v>
      </c>
      <c r="G276">
        <v>15</v>
      </c>
      <c r="J276">
        <v>2.1276E-2</v>
      </c>
      <c r="K276">
        <v>2.9203060000000001</v>
      </c>
      <c r="L276">
        <v>2.1121999999999998E-2</v>
      </c>
      <c r="M276">
        <v>0.55740800000000001</v>
      </c>
      <c r="N276">
        <v>2.31223</v>
      </c>
      <c r="O276">
        <v>2.2975780000000001</v>
      </c>
      <c r="P276">
        <v>4.7379670000000003</v>
      </c>
      <c r="Q276">
        <v>2.4257369999999998</v>
      </c>
      <c r="R276">
        <v>24.072019999999998</v>
      </c>
      <c r="S276">
        <v>24.225531</v>
      </c>
      <c r="T276">
        <v>49.640289000000003</v>
      </c>
      <c r="U276">
        <v>0.44178600000000001</v>
      </c>
      <c r="V276" t="s">
        <v>791</v>
      </c>
      <c r="W276">
        <v>0</v>
      </c>
      <c r="X276">
        <v>0</v>
      </c>
      <c r="Y276">
        <v>0</v>
      </c>
      <c r="Z276">
        <v>116.29986599999999</v>
      </c>
      <c r="AA276">
        <v>464.228882</v>
      </c>
      <c r="AB276">
        <v>0.74947699999999995</v>
      </c>
      <c r="AC276">
        <v>0.5</v>
      </c>
      <c r="AD276">
        <v>0.8</v>
      </c>
      <c r="AE276">
        <v>19.615331999999999</v>
      </c>
      <c r="AF276">
        <v>46.8</v>
      </c>
      <c r="AG276">
        <v>46.5</v>
      </c>
      <c r="AH276">
        <v>32.61</v>
      </c>
      <c r="AI276">
        <v>31.86</v>
      </c>
      <c r="AJ276">
        <v>95.45</v>
      </c>
      <c r="AK276">
        <v>156.5</v>
      </c>
      <c r="AL276">
        <v>155.6</v>
      </c>
      <c r="AM276">
        <v>0.6</v>
      </c>
      <c r="AN276">
        <v>65</v>
      </c>
      <c r="AO276">
        <v>3.8849999999999998</v>
      </c>
      <c r="AP276">
        <v>32</v>
      </c>
      <c r="AQ276">
        <v>-15</v>
      </c>
      <c r="AR276">
        <v>306</v>
      </c>
      <c r="AS276">
        <v>100.1</v>
      </c>
      <c r="AT276">
        <v>-9999</v>
      </c>
      <c r="AU276">
        <v>35</v>
      </c>
      <c r="AV276">
        <v>-27.18</v>
      </c>
      <c r="AW276">
        <v>15.17</v>
      </c>
      <c r="AX276">
        <v>280.25</v>
      </c>
      <c r="AY276">
        <v>78.31</v>
      </c>
      <c r="AZ276" s="3">
        <v>0.74930555555555556</v>
      </c>
      <c r="BA276" s="1">
        <v>45149</v>
      </c>
      <c r="BB276">
        <v>38.493262999999999</v>
      </c>
      <c r="BC276">
        <v>-1.3625419999999999</v>
      </c>
      <c r="BD276">
        <v>581.70001200000002</v>
      </c>
      <c r="BE276">
        <v>7</v>
      </c>
      <c r="BF276">
        <v>1.1399999999999999</v>
      </c>
      <c r="BG276" s="3">
        <v>0.53768518518518515</v>
      </c>
      <c r="BH276" s="1">
        <v>45149</v>
      </c>
      <c r="BI276">
        <v>-0.05</v>
      </c>
      <c r="BJ276">
        <v>-1E-3</v>
      </c>
      <c r="BK276">
        <v>0</v>
      </c>
      <c r="BL276">
        <v>-9999</v>
      </c>
      <c r="BM276">
        <v>0.58399999999999996</v>
      </c>
      <c r="BN276">
        <v>2.1800000000000002</v>
      </c>
      <c r="BO276">
        <v>-9999</v>
      </c>
      <c r="BP276">
        <v>1</v>
      </c>
      <c r="BQ276">
        <v>150</v>
      </c>
      <c r="BR276">
        <v>5.0000000000000001E-3</v>
      </c>
      <c r="BS276">
        <v>2</v>
      </c>
      <c r="BT276">
        <v>0</v>
      </c>
      <c r="BU276" t="s">
        <v>200</v>
      </c>
      <c r="BV276">
        <v>7000</v>
      </c>
      <c r="BW276">
        <v>500</v>
      </c>
      <c r="BX276">
        <v>5</v>
      </c>
      <c r="BY276">
        <v>2</v>
      </c>
      <c r="BZ276">
        <v>300</v>
      </c>
      <c r="CA276">
        <v>300</v>
      </c>
      <c r="CB276">
        <v>300</v>
      </c>
      <c r="CC276">
        <v>464.228882</v>
      </c>
      <c r="CD276">
        <v>25</v>
      </c>
      <c r="CE276">
        <v>8.0046890000000008</v>
      </c>
      <c r="CF276">
        <v>468.98495500000001</v>
      </c>
      <c r="CG276">
        <v>475.647919</v>
      </c>
      <c r="CH276">
        <v>-6.6629639999999997</v>
      </c>
      <c r="CI276">
        <v>2.511196</v>
      </c>
      <c r="CJ276">
        <v>2.5200800000000001</v>
      </c>
      <c r="CK276">
        <v>1.6649130000000001</v>
      </c>
      <c r="CL276">
        <v>0.94150299999999998</v>
      </c>
      <c r="CM276">
        <v>0.20189199999999999</v>
      </c>
      <c r="CN276">
        <v>-8.5559999999999994E-3</v>
      </c>
      <c r="CO276">
        <v>0.19811599999999999</v>
      </c>
      <c r="CP276">
        <v>0.16461899999999999</v>
      </c>
      <c r="CQ276">
        <v>116.29986599999999</v>
      </c>
      <c r="CR276">
        <v>3.6699999999999998E-4</v>
      </c>
      <c r="CS276">
        <v>2.4333689999999999</v>
      </c>
      <c r="CT276">
        <v>-3.6000000000000001E-5</v>
      </c>
      <c r="CU276">
        <v>1</v>
      </c>
      <c r="CV276">
        <v>2.4396819999999999</v>
      </c>
      <c r="CW276">
        <v>1.1E-5</v>
      </c>
      <c r="CX276">
        <v>1</v>
      </c>
      <c r="CY276">
        <v>0.60025499999999998</v>
      </c>
      <c r="CZ276">
        <v>0.60245199999999999</v>
      </c>
      <c r="DA276">
        <v>0.106742</v>
      </c>
      <c r="DB276">
        <v>0</v>
      </c>
      <c r="DC276" t="s">
        <v>791</v>
      </c>
      <c r="DD276" t="s">
        <v>515</v>
      </c>
      <c r="DE276" t="s">
        <v>516</v>
      </c>
      <c r="DF276" t="s">
        <v>517</v>
      </c>
      <c r="DG276" t="s">
        <v>518</v>
      </c>
      <c r="DH276" t="s">
        <v>205</v>
      </c>
      <c r="DI276" t="s">
        <v>519</v>
      </c>
    </row>
    <row r="277" spans="1:113">
      <c r="A277">
        <v>16</v>
      </c>
      <c r="B277" s="3">
        <v>0.5426157407407407</v>
      </c>
      <c r="C277" s="1">
        <v>45149</v>
      </c>
      <c r="D277" t="s">
        <v>196</v>
      </c>
      <c r="E277" t="s">
        <v>197</v>
      </c>
      <c r="G277">
        <v>16</v>
      </c>
      <c r="J277">
        <v>3.9953000000000002E-2</v>
      </c>
      <c r="K277">
        <v>2.921332</v>
      </c>
      <c r="L277">
        <v>3.9413999999999998E-2</v>
      </c>
      <c r="M277">
        <v>1.1050789999999999</v>
      </c>
      <c r="N277">
        <v>2.3253249999999999</v>
      </c>
      <c r="O277">
        <v>2.2963019999999998</v>
      </c>
      <c r="P277">
        <v>4.9002939999999997</v>
      </c>
      <c r="Q277">
        <v>2.5749689999999998</v>
      </c>
      <c r="R277">
        <v>24.057013999999999</v>
      </c>
      <c r="S277">
        <v>24.361066999999998</v>
      </c>
      <c r="T277">
        <v>51.337508999999997</v>
      </c>
      <c r="U277">
        <v>0.44178600000000001</v>
      </c>
      <c r="V277" t="s">
        <v>792</v>
      </c>
      <c r="W277">
        <v>0</v>
      </c>
      <c r="X277">
        <v>0</v>
      </c>
      <c r="Y277">
        <v>0</v>
      </c>
      <c r="Z277">
        <v>120.77916</v>
      </c>
      <c r="AA277">
        <v>329.32409699999999</v>
      </c>
      <c r="AB277">
        <v>0.63325100000000001</v>
      </c>
      <c r="AC277">
        <v>0.5</v>
      </c>
      <c r="AD277">
        <v>0.8</v>
      </c>
      <c r="AE277">
        <v>45.721885999999998</v>
      </c>
      <c r="AF277">
        <v>47.03</v>
      </c>
      <c r="AG277">
        <v>46.44</v>
      </c>
      <c r="AH277">
        <v>32.619999999999997</v>
      </c>
      <c r="AI277">
        <v>32.46</v>
      </c>
      <c r="AJ277">
        <v>95.45</v>
      </c>
      <c r="AK277">
        <v>156.69999999999999</v>
      </c>
      <c r="AL277">
        <v>155.69999999999999</v>
      </c>
      <c r="AM277">
        <v>0.6</v>
      </c>
      <c r="AN277">
        <v>181</v>
      </c>
      <c r="AO277">
        <v>3.8839999999999999</v>
      </c>
      <c r="AP277">
        <v>5</v>
      </c>
      <c r="AQ277">
        <v>-20</v>
      </c>
      <c r="AR277">
        <v>341</v>
      </c>
      <c r="AS277">
        <v>63.72</v>
      </c>
      <c r="AT277">
        <v>44.27</v>
      </c>
      <c r="AU277">
        <v>20.59</v>
      </c>
      <c r="AV277">
        <v>57.53</v>
      </c>
      <c r="AW277">
        <v>15.17</v>
      </c>
      <c r="AX277">
        <v>280.25</v>
      </c>
      <c r="AY277">
        <v>78.31</v>
      </c>
      <c r="AZ277" s="3">
        <v>0.74943287037037043</v>
      </c>
      <c r="BA277" s="1">
        <v>45149</v>
      </c>
      <c r="BB277">
        <v>38.493237000000001</v>
      </c>
      <c r="BC277">
        <v>-1.362527</v>
      </c>
      <c r="BD277">
        <v>581.29998799999998</v>
      </c>
      <c r="BE277">
        <v>7</v>
      </c>
      <c r="BF277">
        <v>1.1399999999999999</v>
      </c>
      <c r="BG277" s="3">
        <v>0.53768518518518515</v>
      </c>
      <c r="BH277" s="1">
        <v>45149</v>
      </c>
      <c r="BI277">
        <v>-0.05</v>
      </c>
      <c r="BJ277">
        <v>1E-3</v>
      </c>
      <c r="BK277">
        <v>2E-3</v>
      </c>
      <c r="BL277">
        <v>1E-3</v>
      </c>
      <c r="BM277">
        <v>3.9049999999999998</v>
      </c>
      <c r="BN277">
        <v>2.9980000000000002</v>
      </c>
      <c r="BO277">
        <v>8.0909999999999993</v>
      </c>
      <c r="BP277">
        <v>1</v>
      </c>
      <c r="BQ277">
        <v>150</v>
      </c>
      <c r="BR277">
        <v>5.0000000000000001E-3</v>
      </c>
      <c r="BS277">
        <v>2</v>
      </c>
      <c r="BT277">
        <v>0</v>
      </c>
      <c r="BU277" t="s">
        <v>200</v>
      </c>
      <c r="BV277">
        <v>7000</v>
      </c>
      <c r="BW277">
        <v>500</v>
      </c>
      <c r="BX277">
        <v>5</v>
      </c>
      <c r="BY277">
        <v>2</v>
      </c>
      <c r="BZ277">
        <v>300</v>
      </c>
      <c r="CA277">
        <v>300</v>
      </c>
      <c r="CB277">
        <v>300</v>
      </c>
      <c r="CC277">
        <v>315.45639</v>
      </c>
      <c r="CD277">
        <v>25</v>
      </c>
      <c r="CE277">
        <v>-9.6242940000000008</v>
      </c>
      <c r="CF277">
        <v>315.05297899999999</v>
      </c>
      <c r="CG277">
        <v>315.59463499999998</v>
      </c>
      <c r="CH277">
        <v>-0.54165600000000003</v>
      </c>
      <c r="CI277">
        <v>2.5111110000000001</v>
      </c>
      <c r="CJ277">
        <v>2.5204249999999999</v>
      </c>
      <c r="CK277">
        <v>1.665994</v>
      </c>
      <c r="CL277">
        <v>0.94157199999999996</v>
      </c>
      <c r="CM277">
        <v>0.20180100000000001</v>
      </c>
      <c r="CN277">
        <v>-1.3940000000000001E-3</v>
      </c>
      <c r="CO277">
        <v>0.19938400000000001</v>
      </c>
      <c r="CP277">
        <v>0.26640999999999998</v>
      </c>
      <c r="CQ277">
        <v>120.77916</v>
      </c>
      <c r="CR277">
        <v>3.7100000000000002E-4</v>
      </c>
      <c r="CS277">
        <v>2.4333689999999999</v>
      </c>
      <c r="CT277">
        <v>-3.6000000000000001E-5</v>
      </c>
      <c r="CU277">
        <v>1</v>
      </c>
      <c r="CV277">
        <v>2.4396819999999999</v>
      </c>
      <c r="CW277">
        <v>1.1E-5</v>
      </c>
      <c r="CX277">
        <v>1</v>
      </c>
      <c r="CY277">
        <v>0.60025499999999998</v>
      </c>
      <c r="CZ277">
        <v>0.60245199999999999</v>
      </c>
      <c r="DA277">
        <v>0.106742</v>
      </c>
      <c r="DB277">
        <v>0</v>
      </c>
      <c r="DC277" t="s">
        <v>792</v>
      </c>
      <c r="DD277" t="s">
        <v>515</v>
      </c>
      <c r="DE277" t="s">
        <v>516</v>
      </c>
      <c r="DF277" t="s">
        <v>517</v>
      </c>
      <c r="DG277" t="s">
        <v>518</v>
      </c>
      <c r="DH277" t="s">
        <v>205</v>
      </c>
      <c r="DI277" t="s">
        <v>519</v>
      </c>
    </row>
    <row r="278" spans="1:113">
      <c r="A278">
        <v>1</v>
      </c>
      <c r="B278" s="3">
        <v>0.5548495370370371</v>
      </c>
      <c r="C278" s="1">
        <v>45149</v>
      </c>
      <c r="D278" t="s">
        <v>196</v>
      </c>
      <c r="E278" t="s">
        <v>197</v>
      </c>
      <c r="G278">
        <v>1</v>
      </c>
      <c r="J278">
        <v>2.1059999999999999E-2</v>
      </c>
      <c r="K278">
        <v>2.9218120000000001</v>
      </c>
      <c r="L278">
        <v>2.0909000000000001E-2</v>
      </c>
      <c r="M278">
        <v>0.56052900000000005</v>
      </c>
      <c r="N278">
        <v>2.2547579999999998</v>
      </c>
      <c r="O278">
        <v>2.2400310000000001</v>
      </c>
      <c r="P278">
        <v>4.720237</v>
      </c>
      <c r="Q278">
        <v>2.4654790000000002</v>
      </c>
      <c r="R278">
        <v>23.466449999999998</v>
      </c>
      <c r="S278">
        <v>23.620730999999999</v>
      </c>
      <c r="T278">
        <v>49.448962999999999</v>
      </c>
      <c r="U278">
        <v>0.44178600000000001</v>
      </c>
      <c r="V278" t="s">
        <v>793</v>
      </c>
      <c r="W278">
        <v>0</v>
      </c>
      <c r="X278">
        <v>0</v>
      </c>
      <c r="Y278">
        <v>0</v>
      </c>
      <c r="Z278">
        <v>111.388206</v>
      </c>
      <c r="AA278">
        <v>443.54510499999998</v>
      </c>
      <c r="AB278">
        <v>0.74886799999999998</v>
      </c>
      <c r="AC278">
        <v>0.5</v>
      </c>
      <c r="AD278">
        <v>0.8</v>
      </c>
      <c r="AE278">
        <v>10.735473000000001</v>
      </c>
      <c r="AF278">
        <v>45.01</v>
      </c>
      <c r="AG278">
        <v>44.71</v>
      </c>
      <c r="AH278">
        <v>32.85</v>
      </c>
      <c r="AI278">
        <v>31.8</v>
      </c>
      <c r="AJ278">
        <v>95.46</v>
      </c>
      <c r="AK278">
        <v>156.69999999999999</v>
      </c>
      <c r="AL278">
        <v>155.80000000000001</v>
      </c>
      <c r="AM278">
        <v>0.6</v>
      </c>
      <c r="AN278">
        <v>36</v>
      </c>
      <c r="AO278">
        <v>3.88</v>
      </c>
      <c r="AP278">
        <v>19</v>
      </c>
      <c r="AQ278">
        <v>-8</v>
      </c>
      <c r="AR278">
        <v>93</v>
      </c>
      <c r="AZ278" s="3">
        <v>0</v>
      </c>
      <c r="BA278" t="s">
        <v>513</v>
      </c>
      <c r="BB278" t="s">
        <v>514</v>
      </c>
      <c r="BC278" t="s">
        <v>514</v>
      </c>
      <c r="BD278" t="s">
        <v>514</v>
      </c>
      <c r="BE278">
        <v>0</v>
      </c>
      <c r="BF278" t="s">
        <v>514</v>
      </c>
      <c r="BG278" s="3">
        <v>0.55472222222222223</v>
      </c>
      <c r="BH278" s="1">
        <v>45149</v>
      </c>
      <c r="BI278">
        <v>-0.16</v>
      </c>
      <c r="BJ278">
        <v>1E-3</v>
      </c>
      <c r="BK278">
        <v>1E-3</v>
      </c>
      <c r="BL278">
        <v>-9999</v>
      </c>
      <c r="BM278">
        <v>0.28599999999999998</v>
      </c>
      <c r="BN278">
        <v>0.90800000000000003</v>
      </c>
      <c r="BO278">
        <v>-9999</v>
      </c>
      <c r="BP278">
        <v>1</v>
      </c>
      <c r="BQ278">
        <v>150</v>
      </c>
      <c r="BR278">
        <v>5.0000000000000001E-3</v>
      </c>
      <c r="BS278">
        <v>2</v>
      </c>
      <c r="BT278">
        <v>0</v>
      </c>
      <c r="BU278" t="s">
        <v>200</v>
      </c>
      <c r="BV278">
        <v>7000</v>
      </c>
      <c r="BW278">
        <v>500</v>
      </c>
      <c r="BX278">
        <v>5</v>
      </c>
      <c r="BY278">
        <v>2</v>
      </c>
      <c r="BZ278">
        <v>300</v>
      </c>
      <c r="CA278">
        <v>300</v>
      </c>
      <c r="CB278">
        <v>300</v>
      </c>
      <c r="CC278">
        <v>443.54510499999998</v>
      </c>
      <c r="CD278">
        <v>25</v>
      </c>
      <c r="CE278">
        <v>6.9432539999999996</v>
      </c>
      <c r="CF278">
        <v>454.51818800000001</v>
      </c>
      <c r="CG278">
        <v>453.449951</v>
      </c>
      <c r="CH278">
        <v>1.0682370000000001</v>
      </c>
      <c r="CI278">
        <v>2.5085099999999998</v>
      </c>
      <c r="CJ278">
        <v>2.5175450000000001</v>
      </c>
      <c r="CK278">
        <v>1.6665000000000001</v>
      </c>
      <c r="CL278">
        <v>0.94186199999999998</v>
      </c>
      <c r="CM278">
        <v>0.199962</v>
      </c>
      <c r="CN278">
        <v>-1.2385999999999999E-2</v>
      </c>
      <c r="CO278">
        <v>0.14093600000000001</v>
      </c>
      <c r="CP278">
        <v>0.13844400000000001</v>
      </c>
      <c r="CQ278">
        <v>111.388206</v>
      </c>
      <c r="CR278">
        <v>3.7100000000000002E-4</v>
      </c>
      <c r="CS278">
        <v>2.4333689999999999</v>
      </c>
      <c r="CT278">
        <v>-3.6000000000000001E-5</v>
      </c>
      <c r="CU278">
        <v>1</v>
      </c>
      <c r="CV278">
        <v>2.4396819999999999</v>
      </c>
      <c r="CW278">
        <v>1.1E-5</v>
      </c>
      <c r="CX278">
        <v>1</v>
      </c>
      <c r="CY278">
        <v>0.60025499999999998</v>
      </c>
      <c r="CZ278">
        <v>0.60245199999999999</v>
      </c>
      <c r="DA278">
        <v>0.106742</v>
      </c>
      <c r="DB278">
        <v>0</v>
      </c>
      <c r="DC278" t="s">
        <v>793</v>
      </c>
      <c r="DD278" t="s">
        <v>515</v>
      </c>
      <c r="DE278" t="s">
        <v>516</v>
      </c>
      <c r="DF278" t="s">
        <v>517</v>
      </c>
      <c r="DG278" t="s">
        <v>518</v>
      </c>
      <c r="DH278" t="s">
        <v>205</v>
      </c>
      <c r="DI278" t="s">
        <v>519</v>
      </c>
    </row>
    <row r="279" spans="1:113">
      <c r="A279">
        <v>2</v>
      </c>
      <c r="B279" s="3">
        <v>0.55497685185185186</v>
      </c>
      <c r="C279" s="1">
        <v>45149</v>
      </c>
      <c r="D279" t="s">
        <v>196</v>
      </c>
      <c r="E279" t="s">
        <v>197</v>
      </c>
      <c r="G279">
        <v>2</v>
      </c>
      <c r="J279">
        <v>8.9589999999999999E-3</v>
      </c>
      <c r="K279">
        <v>2.9200270000000002</v>
      </c>
      <c r="L279">
        <v>8.9320000000000007E-3</v>
      </c>
      <c r="M279">
        <v>0.23601</v>
      </c>
      <c r="N279">
        <v>2.269987</v>
      </c>
      <c r="O279">
        <v>2.2637779999999998</v>
      </c>
      <c r="P279">
        <v>4.7002069999999998</v>
      </c>
      <c r="Q279">
        <v>2.4302199999999998</v>
      </c>
      <c r="R279">
        <v>23.715038</v>
      </c>
      <c r="S279">
        <v>23.780079000000001</v>
      </c>
      <c r="T279">
        <v>49.238746999999996</v>
      </c>
      <c r="U279">
        <v>0.44178600000000001</v>
      </c>
      <c r="V279" t="s">
        <v>794</v>
      </c>
      <c r="W279">
        <v>0</v>
      </c>
      <c r="X279">
        <v>0</v>
      </c>
      <c r="Y279">
        <v>0</v>
      </c>
      <c r="Z279">
        <v>104.17950399999999</v>
      </c>
      <c r="AA279">
        <v>384.00470000000001</v>
      </c>
      <c r="AB279">
        <v>0.72870299999999999</v>
      </c>
      <c r="AC279">
        <v>0.5</v>
      </c>
      <c r="AD279">
        <v>0.8</v>
      </c>
      <c r="AE279">
        <v>14.905658000000001</v>
      </c>
      <c r="AF279">
        <v>45.3</v>
      </c>
      <c r="AG279">
        <v>45.18</v>
      </c>
      <c r="AH279">
        <v>32.85</v>
      </c>
      <c r="AI279">
        <v>31.72</v>
      </c>
      <c r="AJ279">
        <v>95.46</v>
      </c>
      <c r="AK279">
        <v>156.5</v>
      </c>
      <c r="AL279">
        <v>155.5</v>
      </c>
      <c r="AM279">
        <v>0.6</v>
      </c>
      <c r="AN279">
        <v>51</v>
      </c>
      <c r="AO279">
        <v>3.8570000000000002</v>
      </c>
      <c r="AP279">
        <v>15</v>
      </c>
      <c r="AQ279">
        <v>-12</v>
      </c>
      <c r="AR279">
        <v>8</v>
      </c>
      <c r="AZ279" s="3">
        <v>0</v>
      </c>
      <c r="BA279" t="s">
        <v>513</v>
      </c>
      <c r="BB279" t="s">
        <v>514</v>
      </c>
      <c r="BC279" t="s">
        <v>514</v>
      </c>
      <c r="BD279" t="s">
        <v>514</v>
      </c>
      <c r="BE279">
        <v>0</v>
      </c>
      <c r="BF279" t="s">
        <v>514</v>
      </c>
      <c r="BG279" s="3">
        <v>0.55472222222222223</v>
      </c>
      <c r="BH279" s="1">
        <v>45149</v>
      </c>
      <c r="BI279">
        <v>-0.16</v>
      </c>
      <c r="BJ279">
        <v>1E-3</v>
      </c>
      <c r="BK279">
        <v>2E-3</v>
      </c>
      <c r="BL279">
        <v>-9999</v>
      </c>
      <c r="BM279">
        <v>7.4999999999999997E-2</v>
      </c>
      <c r="BN279">
        <v>9.9000000000000005E-2</v>
      </c>
      <c r="BO279">
        <v>-9999</v>
      </c>
      <c r="BP279">
        <v>1</v>
      </c>
      <c r="BQ279">
        <v>150</v>
      </c>
      <c r="BR279">
        <v>5.0000000000000001E-3</v>
      </c>
      <c r="BS279">
        <v>2</v>
      </c>
      <c r="BT279">
        <v>0</v>
      </c>
      <c r="BU279" t="s">
        <v>200</v>
      </c>
      <c r="BV279">
        <v>7000</v>
      </c>
      <c r="BW279">
        <v>500</v>
      </c>
      <c r="BX279">
        <v>5</v>
      </c>
      <c r="BY279">
        <v>2</v>
      </c>
      <c r="BZ279">
        <v>300</v>
      </c>
      <c r="CA279">
        <v>300</v>
      </c>
      <c r="CB279">
        <v>300</v>
      </c>
      <c r="CC279">
        <v>384.00470000000001</v>
      </c>
      <c r="CD279">
        <v>25</v>
      </c>
      <c r="CE279">
        <v>4.9924080000000002</v>
      </c>
      <c r="CF279">
        <v>391.24560500000001</v>
      </c>
      <c r="CG279">
        <v>391.12658699999997</v>
      </c>
      <c r="CH279">
        <v>0.119019</v>
      </c>
      <c r="CI279">
        <v>2.5091990000000002</v>
      </c>
      <c r="CJ279">
        <v>2.5179849999999999</v>
      </c>
      <c r="CK279">
        <v>1.66462</v>
      </c>
      <c r="CL279">
        <v>0.941106</v>
      </c>
      <c r="CM279">
        <v>0.19994000000000001</v>
      </c>
      <c r="CN279">
        <v>-1.3335E-2</v>
      </c>
      <c r="CO279">
        <v>0.14281099999999999</v>
      </c>
      <c r="CP279">
        <v>0.151976</v>
      </c>
      <c r="CQ279">
        <v>104.17950399999999</v>
      </c>
      <c r="CR279">
        <v>3.7500000000000001E-4</v>
      </c>
      <c r="CS279">
        <v>2.4333689999999999</v>
      </c>
      <c r="CT279">
        <v>-3.6000000000000001E-5</v>
      </c>
      <c r="CU279">
        <v>1</v>
      </c>
      <c r="CV279">
        <v>2.4396819999999999</v>
      </c>
      <c r="CW279">
        <v>1.1E-5</v>
      </c>
      <c r="CX279">
        <v>1</v>
      </c>
      <c r="CY279">
        <v>0.60025499999999998</v>
      </c>
      <c r="CZ279">
        <v>0.60245199999999999</v>
      </c>
      <c r="DA279">
        <v>0.106742</v>
      </c>
      <c r="DB279">
        <v>0</v>
      </c>
      <c r="DC279" t="s">
        <v>794</v>
      </c>
      <c r="DD279" t="s">
        <v>515</v>
      </c>
      <c r="DE279" t="s">
        <v>516</v>
      </c>
      <c r="DF279" t="s">
        <v>517</v>
      </c>
      <c r="DG279" t="s">
        <v>518</v>
      </c>
      <c r="DH279" t="s">
        <v>205</v>
      </c>
      <c r="DI279" t="s">
        <v>519</v>
      </c>
    </row>
    <row r="280" spans="1:113">
      <c r="A280">
        <v>3</v>
      </c>
      <c r="B280" s="3">
        <v>0.555150462962963</v>
      </c>
      <c r="C280" s="1">
        <v>45149</v>
      </c>
      <c r="D280" t="s">
        <v>196</v>
      </c>
      <c r="E280" t="s">
        <v>197</v>
      </c>
      <c r="G280">
        <v>3</v>
      </c>
      <c r="J280">
        <v>1.8748000000000001E-2</v>
      </c>
      <c r="K280">
        <v>2.9210569999999998</v>
      </c>
      <c r="L280">
        <v>1.8629E-2</v>
      </c>
      <c r="M280">
        <v>0.49902000000000002</v>
      </c>
      <c r="N280">
        <v>2.2785099999999998</v>
      </c>
      <c r="O280">
        <v>2.2653940000000001</v>
      </c>
      <c r="P280">
        <v>4.7415419999999999</v>
      </c>
      <c r="Q280">
        <v>2.4630320000000001</v>
      </c>
      <c r="R280">
        <v>23.732154999999999</v>
      </c>
      <c r="S280">
        <v>23.869554999999998</v>
      </c>
      <c r="T280">
        <v>49.672150000000002</v>
      </c>
      <c r="U280">
        <v>0.44178600000000001</v>
      </c>
      <c r="V280" t="s">
        <v>795</v>
      </c>
      <c r="W280">
        <v>0</v>
      </c>
      <c r="X280">
        <v>0</v>
      </c>
      <c r="Y280">
        <v>0</v>
      </c>
      <c r="Z280">
        <v>97.630981000000006</v>
      </c>
      <c r="AA280">
        <v>393.28945900000002</v>
      </c>
      <c r="AB280">
        <v>0.75175800000000004</v>
      </c>
      <c r="AC280">
        <v>0.5</v>
      </c>
      <c r="AD280">
        <v>0.8</v>
      </c>
      <c r="AE280">
        <v>15.407773000000001</v>
      </c>
      <c r="AF280">
        <v>45.48</v>
      </c>
      <c r="AG280">
        <v>45.22</v>
      </c>
      <c r="AH280">
        <v>32.85</v>
      </c>
      <c r="AI280">
        <v>31.88</v>
      </c>
      <c r="AJ280">
        <v>95.46</v>
      </c>
      <c r="AK280">
        <v>156.6</v>
      </c>
      <c r="AL280">
        <v>155.80000000000001</v>
      </c>
      <c r="AM280">
        <v>0.5</v>
      </c>
      <c r="AN280">
        <v>51</v>
      </c>
      <c r="AO280">
        <v>3.88</v>
      </c>
      <c r="AP280">
        <v>37</v>
      </c>
      <c r="AQ280">
        <v>-31</v>
      </c>
      <c r="AR280">
        <v>37</v>
      </c>
      <c r="AZ280" s="3">
        <v>0</v>
      </c>
      <c r="BA280" t="s">
        <v>513</v>
      </c>
      <c r="BB280">
        <v>38.492401000000001</v>
      </c>
      <c r="BC280">
        <v>-1.3629450000000001</v>
      </c>
      <c r="BD280">
        <v>556.20001200000002</v>
      </c>
      <c r="BE280">
        <v>3</v>
      </c>
      <c r="BF280">
        <v>2.59</v>
      </c>
      <c r="BG280" s="3">
        <v>0.55472222222222223</v>
      </c>
      <c r="BH280" s="1">
        <v>45149</v>
      </c>
      <c r="BI280">
        <v>-0.16</v>
      </c>
      <c r="BJ280">
        <v>1E-3</v>
      </c>
      <c r="BK280">
        <v>1E-3</v>
      </c>
      <c r="BL280">
        <v>-9999</v>
      </c>
      <c r="BM280">
        <v>0.10199999999999999</v>
      </c>
      <c r="BN280">
        <v>0.161</v>
      </c>
      <c r="BO280">
        <v>-9999</v>
      </c>
      <c r="BP280">
        <v>1</v>
      </c>
      <c r="BQ280">
        <v>150</v>
      </c>
      <c r="BR280">
        <v>5.0000000000000001E-3</v>
      </c>
      <c r="BS280">
        <v>2</v>
      </c>
      <c r="BT280">
        <v>0</v>
      </c>
      <c r="BU280" t="s">
        <v>200</v>
      </c>
      <c r="BV280">
        <v>7000</v>
      </c>
      <c r="BW280">
        <v>500</v>
      </c>
      <c r="BX280">
        <v>5</v>
      </c>
      <c r="BY280">
        <v>2</v>
      </c>
      <c r="BZ280">
        <v>300</v>
      </c>
      <c r="CA280">
        <v>300</v>
      </c>
      <c r="CB280">
        <v>300</v>
      </c>
      <c r="CC280">
        <v>393.28945900000002</v>
      </c>
      <c r="CD280">
        <v>25</v>
      </c>
      <c r="CE280">
        <v>2.097251</v>
      </c>
      <c r="CF280">
        <v>403.40029900000002</v>
      </c>
      <c r="CG280">
        <v>396.28128099999998</v>
      </c>
      <c r="CH280">
        <v>7.1190189999999998</v>
      </c>
      <c r="CI280">
        <v>2.5092629999999998</v>
      </c>
      <c r="CJ280">
        <v>2.5182530000000001</v>
      </c>
      <c r="CK280">
        <v>1.6657040000000001</v>
      </c>
      <c r="CL280">
        <v>0.94201699999999999</v>
      </c>
      <c r="CM280">
        <v>0.19997000000000001</v>
      </c>
      <c r="CN280">
        <v>-1.1403E-2</v>
      </c>
      <c r="CO280">
        <v>0.145118</v>
      </c>
      <c r="CP280">
        <v>0.15206600000000001</v>
      </c>
      <c r="CQ280">
        <v>97.630981000000006</v>
      </c>
      <c r="CR280">
        <v>3.6900000000000002E-4</v>
      </c>
      <c r="CS280">
        <v>2.4333689999999999</v>
      </c>
      <c r="CT280">
        <v>-3.6000000000000001E-5</v>
      </c>
      <c r="CU280">
        <v>1</v>
      </c>
      <c r="CV280">
        <v>2.4396819999999999</v>
      </c>
      <c r="CW280">
        <v>1.1E-5</v>
      </c>
      <c r="CX280">
        <v>1</v>
      </c>
      <c r="CY280">
        <v>0.60025499999999998</v>
      </c>
      <c r="CZ280">
        <v>0.60245199999999999</v>
      </c>
      <c r="DA280">
        <v>0.106742</v>
      </c>
      <c r="DB280">
        <v>0</v>
      </c>
      <c r="DC280" t="s">
        <v>795</v>
      </c>
      <c r="DD280" t="s">
        <v>515</v>
      </c>
      <c r="DE280" t="s">
        <v>516</v>
      </c>
      <c r="DF280" t="s">
        <v>517</v>
      </c>
      <c r="DG280" t="s">
        <v>518</v>
      </c>
      <c r="DH280" t="s">
        <v>205</v>
      </c>
      <c r="DI280" t="s">
        <v>519</v>
      </c>
    </row>
    <row r="281" spans="1:113">
      <c r="A281">
        <v>4</v>
      </c>
      <c r="B281" s="3">
        <v>0.55532407407407403</v>
      </c>
      <c r="C281" s="1">
        <v>45149</v>
      </c>
      <c r="D281" t="s">
        <v>196</v>
      </c>
      <c r="E281" t="s">
        <v>197</v>
      </c>
      <c r="G281">
        <v>4</v>
      </c>
      <c r="J281">
        <v>1.5685999999999999E-2</v>
      </c>
      <c r="K281">
        <v>2.921386</v>
      </c>
      <c r="L281">
        <v>1.5602E-2</v>
      </c>
      <c r="M281">
        <v>0.41877900000000001</v>
      </c>
      <c r="N281">
        <v>2.3184119999999999</v>
      </c>
      <c r="O281">
        <v>2.3074129999999999</v>
      </c>
      <c r="P281">
        <v>4.7852050000000004</v>
      </c>
      <c r="Q281">
        <v>2.466793</v>
      </c>
      <c r="R281">
        <v>24.172787</v>
      </c>
      <c r="S281">
        <v>24.288012999999999</v>
      </c>
      <c r="T281">
        <v>50.130477999999997</v>
      </c>
      <c r="U281">
        <v>0.44178600000000001</v>
      </c>
      <c r="V281" t="s">
        <v>796</v>
      </c>
      <c r="W281">
        <v>0</v>
      </c>
      <c r="X281">
        <v>0</v>
      </c>
      <c r="Y281">
        <v>0</v>
      </c>
      <c r="Z281">
        <v>109.45558200000001</v>
      </c>
      <c r="AA281">
        <v>415.80526700000001</v>
      </c>
      <c r="AB281">
        <v>0.73676200000000003</v>
      </c>
      <c r="AC281">
        <v>0.5</v>
      </c>
      <c r="AD281">
        <v>0.8</v>
      </c>
      <c r="AE281">
        <v>12.758436</v>
      </c>
      <c r="AF281">
        <v>46.29</v>
      </c>
      <c r="AG281">
        <v>46.07</v>
      </c>
      <c r="AH281">
        <v>32.840000000000003</v>
      </c>
      <c r="AI281">
        <v>32.04</v>
      </c>
      <c r="AJ281">
        <v>95.46</v>
      </c>
      <c r="AK281">
        <v>156.69999999999999</v>
      </c>
      <c r="AL281">
        <v>155.6</v>
      </c>
      <c r="AM281">
        <v>0.7</v>
      </c>
      <c r="AN281">
        <v>43</v>
      </c>
      <c r="AO281">
        <v>3.8769999999999998</v>
      </c>
      <c r="AP281">
        <v>32</v>
      </c>
      <c r="AQ281">
        <v>-11</v>
      </c>
      <c r="AR281">
        <v>85</v>
      </c>
      <c r="AS281">
        <v>48.12</v>
      </c>
      <c r="AT281">
        <v>66.760000000000005</v>
      </c>
      <c r="AU281">
        <v>33.65</v>
      </c>
      <c r="AV281">
        <v>105.14</v>
      </c>
      <c r="AW281">
        <v>15.17</v>
      </c>
      <c r="AX281">
        <v>282.93</v>
      </c>
      <c r="AY281">
        <v>81.73</v>
      </c>
      <c r="AZ281" s="3">
        <v>0.76215277777777779</v>
      </c>
      <c r="BA281" s="1">
        <v>45149</v>
      </c>
      <c r="BB281">
        <v>38.492195000000002</v>
      </c>
      <c r="BC281">
        <v>-1.363183</v>
      </c>
      <c r="BD281">
        <v>593</v>
      </c>
      <c r="BE281">
        <v>5</v>
      </c>
      <c r="BF281">
        <v>1.41</v>
      </c>
      <c r="BG281" s="3">
        <v>0.55472222222222223</v>
      </c>
      <c r="BH281" s="1">
        <v>45149</v>
      </c>
      <c r="BI281">
        <v>-0.16</v>
      </c>
      <c r="BJ281">
        <v>0</v>
      </c>
      <c r="BK281">
        <v>-1E-3</v>
      </c>
      <c r="BL281">
        <v>-9999</v>
      </c>
      <c r="BM281">
        <v>-0.84899999999999998</v>
      </c>
      <c r="BN281">
        <v>-0.99</v>
      </c>
      <c r="BO281">
        <v>-9999</v>
      </c>
      <c r="BP281">
        <v>1</v>
      </c>
      <c r="BQ281">
        <v>150</v>
      </c>
      <c r="BR281">
        <v>5.0000000000000001E-3</v>
      </c>
      <c r="BS281">
        <v>2</v>
      </c>
      <c r="BT281">
        <v>0</v>
      </c>
      <c r="BU281" t="s">
        <v>200</v>
      </c>
      <c r="BV281">
        <v>7000</v>
      </c>
      <c r="BW281">
        <v>500</v>
      </c>
      <c r="BX281">
        <v>5</v>
      </c>
      <c r="BY281">
        <v>2</v>
      </c>
      <c r="BZ281">
        <v>300</v>
      </c>
      <c r="CA281">
        <v>300</v>
      </c>
      <c r="CB281">
        <v>300</v>
      </c>
      <c r="CC281">
        <v>403.964294</v>
      </c>
      <c r="CD281">
        <v>25</v>
      </c>
      <c r="CE281">
        <v>-7.9607679999999998</v>
      </c>
      <c r="CF281">
        <v>406.66687000000002</v>
      </c>
      <c r="CG281">
        <v>404.448914</v>
      </c>
      <c r="CH281">
        <v>2.2179570000000002</v>
      </c>
      <c r="CI281">
        <v>2.5105240000000002</v>
      </c>
      <c r="CJ281">
        <v>2.5194570000000001</v>
      </c>
      <c r="CK281">
        <v>1.6660509999999999</v>
      </c>
      <c r="CL281">
        <v>0.94145299999999998</v>
      </c>
      <c r="CM281">
        <v>0.200016</v>
      </c>
      <c r="CN281">
        <v>-9.3530000000000002E-3</v>
      </c>
      <c r="CO281">
        <v>0.14756900000000001</v>
      </c>
      <c r="CP281">
        <v>0.145037</v>
      </c>
      <c r="CQ281">
        <v>109.45558200000001</v>
      </c>
      <c r="CR281">
        <v>3.7599999999999998E-4</v>
      </c>
      <c r="CS281">
        <v>2.4333689999999999</v>
      </c>
      <c r="CT281">
        <v>-3.6000000000000001E-5</v>
      </c>
      <c r="CU281">
        <v>1</v>
      </c>
      <c r="CV281">
        <v>2.4396819999999999</v>
      </c>
      <c r="CW281">
        <v>1.1E-5</v>
      </c>
      <c r="CX281">
        <v>1</v>
      </c>
      <c r="CY281">
        <v>0.60025499999999998</v>
      </c>
      <c r="CZ281">
        <v>0.60245199999999999</v>
      </c>
      <c r="DA281">
        <v>0.106742</v>
      </c>
      <c r="DB281">
        <v>0</v>
      </c>
      <c r="DC281" t="s">
        <v>796</v>
      </c>
      <c r="DD281" t="s">
        <v>515</v>
      </c>
      <c r="DE281" t="s">
        <v>516</v>
      </c>
      <c r="DF281" t="s">
        <v>517</v>
      </c>
      <c r="DG281" t="s">
        <v>518</v>
      </c>
      <c r="DH281" t="s">
        <v>205</v>
      </c>
      <c r="DI281" t="s">
        <v>519</v>
      </c>
    </row>
    <row r="282" spans="1:113">
      <c r="A282">
        <v>5</v>
      </c>
      <c r="B282" s="3">
        <v>0.55596064814814816</v>
      </c>
      <c r="C282" s="1">
        <v>45149</v>
      </c>
      <c r="D282" t="s">
        <v>196</v>
      </c>
      <c r="E282" t="s">
        <v>197</v>
      </c>
      <c r="G282">
        <v>5</v>
      </c>
      <c r="J282">
        <v>3.5357E-2</v>
      </c>
      <c r="K282">
        <v>2.921888</v>
      </c>
      <c r="L282">
        <v>3.4934E-2</v>
      </c>
      <c r="M282">
        <v>0.88435799999999998</v>
      </c>
      <c r="N282">
        <v>2.3013759999999999</v>
      </c>
      <c r="O282">
        <v>2.2781560000000001</v>
      </c>
      <c r="P282">
        <v>4.6298209999999997</v>
      </c>
      <c r="Q282">
        <v>2.3284449999999999</v>
      </c>
      <c r="R282">
        <v>23.868721000000001</v>
      </c>
      <c r="S282">
        <v>24.111999999999998</v>
      </c>
      <c r="T282">
        <v>48.50761</v>
      </c>
      <c r="U282">
        <v>0.44178600000000001</v>
      </c>
      <c r="V282" t="s">
        <v>797</v>
      </c>
      <c r="W282">
        <v>0</v>
      </c>
      <c r="X282">
        <v>0</v>
      </c>
      <c r="Y282">
        <v>0</v>
      </c>
      <c r="Z282">
        <v>99.778533999999993</v>
      </c>
      <c r="AA282">
        <v>406.59222399999999</v>
      </c>
      <c r="AB282">
        <v>0.75459799999999999</v>
      </c>
      <c r="AC282">
        <v>0.5</v>
      </c>
      <c r="AD282">
        <v>0.8</v>
      </c>
      <c r="AE282">
        <v>35.965508</v>
      </c>
      <c r="AF282">
        <v>46.05</v>
      </c>
      <c r="AG282">
        <v>45.59</v>
      </c>
      <c r="AH282">
        <v>32.81</v>
      </c>
      <c r="AI282">
        <v>31.46</v>
      </c>
      <c r="AJ282">
        <v>95.45</v>
      </c>
      <c r="AK282">
        <v>156.69999999999999</v>
      </c>
      <c r="AL282">
        <v>155.9</v>
      </c>
      <c r="AM282">
        <v>0.6</v>
      </c>
      <c r="AN282">
        <v>119</v>
      </c>
      <c r="AO282">
        <v>3.8769999999999998</v>
      </c>
      <c r="AP282">
        <v>28</v>
      </c>
      <c r="AQ282">
        <v>-17</v>
      </c>
      <c r="AR282">
        <v>66</v>
      </c>
      <c r="AS282">
        <v>49.62</v>
      </c>
      <c r="AT282">
        <v>64.78</v>
      </c>
      <c r="AU282">
        <v>32.4</v>
      </c>
      <c r="AV282">
        <v>99.07</v>
      </c>
      <c r="AW282">
        <v>15.17</v>
      </c>
      <c r="AX282">
        <v>283.08</v>
      </c>
      <c r="AY282">
        <v>81.92</v>
      </c>
      <c r="AZ282" s="3">
        <v>0.76273148148148151</v>
      </c>
      <c r="BA282" s="1">
        <v>45149</v>
      </c>
      <c r="BB282">
        <v>38.492153000000002</v>
      </c>
      <c r="BC282">
        <v>-1.3631549999999999</v>
      </c>
      <c r="BD282">
        <v>593.09997599999997</v>
      </c>
      <c r="BE282">
        <v>5</v>
      </c>
      <c r="BF282">
        <v>1.41</v>
      </c>
      <c r="BG282" s="3">
        <v>0.55472222222222223</v>
      </c>
      <c r="BH282" s="1">
        <v>45149</v>
      </c>
      <c r="BI282">
        <v>-0.16</v>
      </c>
      <c r="BJ282">
        <v>1E-3</v>
      </c>
      <c r="BK282">
        <v>1E-3</v>
      </c>
      <c r="BL282">
        <v>8.0000000000000002E-3</v>
      </c>
      <c r="BM282">
        <v>0.51900000000000002</v>
      </c>
      <c r="BN282">
        <v>0.71899999999999997</v>
      </c>
      <c r="BO282">
        <v>0.67700000000000005</v>
      </c>
      <c r="BP282">
        <v>1</v>
      </c>
      <c r="BQ282">
        <v>150</v>
      </c>
      <c r="BR282">
        <v>5.0000000000000001E-3</v>
      </c>
      <c r="BS282">
        <v>2</v>
      </c>
      <c r="BT282">
        <v>0</v>
      </c>
      <c r="BU282" t="s">
        <v>200</v>
      </c>
      <c r="BV282">
        <v>7000</v>
      </c>
      <c r="BW282">
        <v>500</v>
      </c>
      <c r="BX282">
        <v>5</v>
      </c>
      <c r="BY282">
        <v>2</v>
      </c>
      <c r="BZ282">
        <v>300</v>
      </c>
      <c r="CA282">
        <v>300</v>
      </c>
      <c r="CB282">
        <v>300</v>
      </c>
      <c r="CC282">
        <v>391.27780200000001</v>
      </c>
      <c r="CD282">
        <v>25</v>
      </c>
      <c r="CE282">
        <v>-11.247559000000001</v>
      </c>
      <c r="CF282">
        <v>393.20968599999998</v>
      </c>
      <c r="CG282">
        <v>390.54711900000001</v>
      </c>
      <c r="CH282">
        <v>2.6625670000000001</v>
      </c>
      <c r="CI282">
        <v>2.5098159999999998</v>
      </c>
      <c r="CJ282">
        <v>2.5191080000000001</v>
      </c>
      <c r="CK282">
        <v>1.66658</v>
      </c>
      <c r="CL282">
        <v>0.94207200000000002</v>
      </c>
      <c r="CM282">
        <v>0.200319</v>
      </c>
      <c r="CN282">
        <v>-1.5973000000000001E-2</v>
      </c>
      <c r="CO282">
        <v>0.155635</v>
      </c>
      <c r="CP282">
        <v>0.212142</v>
      </c>
      <c r="CQ282">
        <v>99.778533999999993</v>
      </c>
      <c r="CR282">
        <v>3.6499999999999998E-4</v>
      </c>
      <c r="CS282">
        <v>2.4333689999999999</v>
      </c>
      <c r="CT282">
        <v>-3.6000000000000001E-5</v>
      </c>
      <c r="CU282">
        <v>1</v>
      </c>
      <c r="CV282">
        <v>2.4396819999999999</v>
      </c>
      <c r="CW282">
        <v>1.1E-5</v>
      </c>
      <c r="CX282">
        <v>1</v>
      </c>
      <c r="CY282">
        <v>0.60025499999999998</v>
      </c>
      <c r="CZ282">
        <v>0.60245199999999999</v>
      </c>
      <c r="DA282">
        <v>0.106742</v>
      </c>
      <c r="DB282">
        <v>0</v>
      </c>
      <c r="DC282" t="s">
        <v>797</v>
      </c>
      <c r="DD282" t="s">
        <v>515</v>
      </c>
      <c r="DE282" t="s">
        <v>516</v>
      </c>
      <c r="DF282" t="s">
        <v>517</v>
      </c>
      <c r="DG282" t="s">
        <v>518</v>
      </c>
      <c r="DH282" t="s">
        <v>205</v>
      </c>
      <c r="DI282" t="s">
        <v>519</v>
      </c>
    </row>
    <row r="283" spans="1:113">
      <c r="A283">
        <v>6</v>
      </c>
      <c r="B283" s="3">
        <v>0.55608796296296303</v>
      </c>
      <c r="C283" s="1">
        <v>45149</v>
      </c>
      <c r="D283" t="s">
        <v>196</v>
      </c>
      <c r="E283" t="s">
        <v>197</v>
      </c>
      <c r="G283">
        <v>6</v>
      </c>
      <c r="J283">
        <v>1.2933E-2</v>
      </c>
      <c r="K283">
        <v>2.9212750000000001</v>
      </c>
      <c r="L283">
        <v>1.2876E-2</v>
      </c>
      <c r="M283">
        <v>0.31184499999999998</v>
      </c>
      <c r="N283">
        <v>2.2794530000000002</v>
      </c>
      <c r="O283">
        <v>2.2712590000000001</v>
      </c>
      <c r="P283">
        <v>4.5089449999999998</v>
      </c>
      <c r="Q283">
        <v>2.229492</v>
      </c>
      <c r="R283">
        <v>23.795649000000001</v>
      </c>
      <c r="S283">
        <v>23.881495999999999</v>
      </c>
      <c r="T283">
        <v>47.239555000000003</v>
      </c>
      <c r="U283">
        <v>0.44178600000000001</v>
      </c>
      <c r="V283" t="s">
        <v>798</v>
      </c>
      <c r="W283">
        <v>0</v>
      </c>
      <c r="X283">
        <v>0</v>
      </c>
      <c r="Y283">
        <v>0</v>
      </c>
      <c r="Z283">
        <v>105.845688</v>
      </c>
      <c r="AA283">
        <v>396.76254299999999</v>
      </c>
      <c r="AB283">
        <v>0.73322699999999996</v>
      </c>
      <c r="AC283">
        <v>0.5</v>
      </c>
      <c r="AD283">
        <v>0.8</v>
      </c>
      <c r="AE283">
        <v>12.543532000000001</v>
      </c>
      <c r="AF283">
        <v>45.64</v>
      </c>
      <c r="AG283">
        <v>45.48</v>
      </c>
      <c r="AH283">
        <v>32.79</v>
      </c>
      <c r="AI283">
        <v>30.99</v>
      </c>
      <c r="AJ283">
        <v>95.45</v>
      </c>
      <c r="AK283">
        <v>156.6</v>
      </c>
      <c r="AL283">
        <v>155.6</v>
      </c>
      <c r="AM283">
        <v>0.7</v>
      </c>
      <c r="AN283">
        <v>43</v>
      </c>
      <c r="AO283">
        <v>3.8769999999999998</v>
      </c>
      <c r="AP283">
        <v>-2</v>
      </c>
      <c r="AQ283">
        <v>-6</v>
      </c>
      <c r="AR283">
        <v>60</v>
      </c>
      <c r="AS283">
        <v>79.319999999999993</v>
      </c>
      <c r="AT283">
        <v>18.53</v>
      </c>
      <c r="AU283">
        <v>6.32</v>
      </c>
      <c r="AV283">
        <v>168.37</v>
      </c>
      <c r="AW283">
        <v>15.17</v>
      </c>
      <c r="AX283">
        <v>283.08</v>
      </c>
      <c r="AY283">
        <v>81.92</v>
      </c>
      <c r="AZ283" s="3">
        <v>0.76290509259259265</v>
      </c>
      <c r="BA283" s="1">
        <v>45149</v>
      </c>
      <c r="BB283">
        <v>38.492167999999999</v>
      </c>
      <c r="BC283">
        <v>-1.363175</v>
      </c>
      <c r="BD283">
        <v>593.29998799999998</v>
      </c>
      <c r="BE283">
        <v>5</v>
      </c>
      <c r="BF283">
        <v>1.41</v>
      </c>
      <c r="BG283" s="3">
        <v>0.55472222222222223</v>
      </c>
      <c r="BH283" s="1">
        <v>45149</v>
      </c>
      <c r="BI283">
        <v>-0.16</v>
      </c>
      <c r="BJ283">
        <v>0</v>
      </c>
      <c r="BK283">
        <v>-1E-3</v>
      </c>
      <c r="BL283">
        <v>-9999</v>
      </c>
      <c r="BM283">
        <v>0.36399999999999999</v>
      </c>
      <c r="BN283">
        <v>0.93</v>
      </c>
      <c r="BO283">
        <v>-9999</v>
      </c>
      <c r="BP283">
        <v>1</v>
      </c>
      <c r="BQ283">
        <v>150</v>
      </c>
      <c r="BR283">
        <v>5.0000000000000001E-3</v>
      </c>
      <c r="BS283">
        <v>2</v>
      </c>
      <c r="BT283">
        <v>0</v>
      </c>
      <c r="BU283" t="s">
        <v>200</v>
      </c>
      <c r="BV283">
        <v>7000</v>
      </c>
      <c r="BW283">
        <v>500</v>
      </c>
      <c r="BX283">
        <v>5</v>
      </c>
      <c r="BY283">
        <v>2</v>
      </c>
      <c r="BZ283">
        <v>300</v>
      </c>
      <c r="CA283">
        <v>300</v>
      </c>
      <c r="CB283">
        <v>300</v>
      </c>
      <c r="CC283">
        <v>384.82333399999999</v>
      </c>
      <c r="CD283">
        <v>25</v>
      </c>
      <c r="CE283">
        <v>-8.4805060000000001</v>
      </c>
      <c r="CF283">
        <v>384.22143599999998</v>
      </c>
      <c r="CG283">
        <v>384.66473400000001</v>
      </c>
      <c r="CH283">
        <v>-0.44329800000000003</v>
      </c>
      <c r="CI283">
        <v>2.5096560000000001</v>
      </c>
      <c r="CJ283">
        <v>2.5185010000000001</v>
      </c>
      <c r="CK283">
        <v>1.6659330000000001</v>
      </c>
      <c r="CL283">
        <v>0.94145800000000002</v>
      </c>
      <c r="CM283">
        <v>0.200406</v>
      </c>
      <c r="CN283">
        <v>-2.147E-2</v>
      </c>
      <c r="CO283">
        <v>0.15706500000000001</v>
      </c>
      <c r="CP283">
        <v>0.14457300000000001</v>
      </c>
      <c r="CQ283">
        <v>105.845688</v>
      </c>
      <c r="CR283">
        <v>3.7399999999999998E-4</v>
      </c>
      <c r="CS283">
        <v>2.4333689999999999</v>
      </c>
      <c r="CT283">
        <v>-3.6000000000000001E-5</v>
      </c>
      <c r="CU283">
        <v>1</v>
      </c>
      <c r="CV283">
        <v>2.4396819999999999</v>
      </c>
      <c r="CW283">
        <v>1.1E-5</v>
      </c>
      <c r="CX283">
        <v>1</v>
      </c>
      <c r="CY283">
        <v>0.60025499999999998</v>
      </c>
      <c r="CZ283">
        <v>0.60245199999999999</v>
      </c>
      <c r="DA283">
        <v>0.106742</v>
      </c>
      <c r="DB283">
        <v>0</v>
      </c>
      <c r="DC283" t="s">
        <v>798</v>
      </c>
      <c r="DD283" t="s">
        <v>515</v>
      </c>
      <c r="DE283" t="s">
        <v>516</v>
      </c>
      <c r="DF283" t="s">
        <v>517</v>
      </c>
      <c r="DG283" t="s">
        <v>518</v>
      </c>
      <c r="DH283" t="s">
        <v>205</v>
      </c>
      <c r="DI283" t="s">
        <v>519</v>
      </c>
    </row>
    <row r="284" spans="1:113">
      <c r="A284">
        <v>7</v>
      </c>
      <c r="B284" s="3">
        <v>0.55622685185185183</v>
      </c>
      <c r="C284" s="1">
        <v>45149</v>
      </c>
      <c r="D284" t="s">
        <v>196</v>
      </c>
      <c r="E284" t="s">
        <v>197</v>
      </c>
      <c r="G284">
        <v>7</v>
      </c>
      <c r="J284">
        <v>1.2836999999999999E-2</v>
      </c>
      <c r="K284">
        <v>2.9206569999999998</v>
      </c>
      <c r="L284">
        <v>1.2781000000000001E-2</v>
      </c>
      <c r="M284">
        <v>0.33085100000000001</v>
      </c>
      <c r="N284">
        <v>2.2829860000000002</v>
      </c>
      <c r="O284">
        <v>2.274289</v>
      </c>
      <c r="P284">
        <v>4.663875</v>
      </c>
      <c r="Q284">
        <v>2.3808889999999998</v>
      </c>
      <c r="R284">
        <v>23.827950999999999</v>
      </c>
      <c r="S284">
        <v>23.919070999999999</v>
      </c>
      <c r="T284">
        <v>48.863892</v>
      </c>
      <c r="U284">
        <v>0.44178600000000001</v>
      </c>
      <c r="V284" t="s">
        <v>799</v>
      </c>
      <c r="W284">
        <v>0</v>
      </c>
      <c r="X284">
        <v>0</v>
      </c>
      <c r="Y284">
        <v>0</v>
      </c>
      <c r="Z284">
        <v>96.039176999999995</v>
      </c>
      <c r="AA284">
        <v>428.74789399999997</v>
      </c>
      <c r="AB284">
        <v>0.77600100000000005</v>
      </c>
      <c r="AC284">
        <v>0.5</v>
      </c>
      <c r="AD284">
        <v>0.8</v>
      </c>
      <c r="AE284">
        <v>10.902056</v>
      </c>
      <c r="AF284">
        <v>45.74</v>
      </c>
      <c r="AG284">
        <v>45.57</v>
      </c>
      <c r="AH284">
        <v>32.78</v>
      </c>
      <c r="AI284">
        <v>31.58</v>
      </c>
      <c r="AJ284">
        <v>95.45</v>
      </c>
      <c r="AK284">
        <v>156.6</v>
      </c>
      <c r="AL284">
        <v>155.80000000000001</v>
      </c>
      <c r="AM284">
        <v>0.5</v>
      </c>
      <c r="AN284">
        <v>35</v>
      </c>
      <c r="AO284">
        <v>3.8769999999999998</v>
      </c>
      <c r="AP284">
        <v>-5</v>
      </c>
      <c r="AQ284">
        <v>-13</v>
      </c>
      <c r="AR284">
        <v>111</v>
      </c>
      <c r="AS284">
        <v>88.71</v>
      </c>
      <c r="AT284">
        <v>2.2400000000000002</v>
      </c>
      <c r="AU284">
        <v>13.91</v>
      </c>
      <c r="AV284">
        <v>-138.32</v>
      </c>
      <c r="AW284">
        <v>15.17</v>
      </c>
      <c r="AX284">
        <v>283.08</v>
      </c>
      <c r="AY284">
        <v>81.92</v>
      </c>
      <c r="AZ284" s="3">
        <v>0.76305555555555549</v>
      </c>
      <c r="BA284" s="1">
        <v>45149</v>
      </c>
      <c r="BB284">
        <v>38.492190999999998</v>
      </c>
      <c r="BC284">
        <v>-1.3631869999999999</v>
      </c>
      <c r="BD284">
        <v>592.5</v>
      </c>
      <c r="BE284">
        <v>4</v>
      </c>
      <c r="BF284">
        <v>1.65</v>
      </c>
      <c r="BG284" s="3">
        <v>0.55472222222222223</v>
      </c>
      <c r="BH284" s="1">
        <v>45149</v>
      </c>
      <c r="BI284">
        <v>-0.16</v>
      </c>
      <c r="BJ284">
        <v>0</v>
      </c>
      <c r="BK284">
        <v>0</v>
      </c>
      <c r="BL284">
        <v>-9999</v>
      </c>
      <c r="BM284">
        <v>0.85499999999999998</v>
      </c>
      <c r="BN284">
        <v>1.157</v>
      </c>
      <c r="BO284">
        <v>-9999</v>
      </c>
      <c r="BP284">
        <v>1</v>
      </c>
      <c r="BQ284">
        <v>150</v>
      </c>
      <c r="BR284">
        <v>5.0000000000000001E-3</v>
      </c>
      <c r="BS284">
        <v>2</v>
      </c>
      <c r="BT284">
        <v>0</v>
      </c>
      <c r="BU284" t="s">
        <v>200</v>
      </c>
      <c r="BV284">
        <v>7000</v>
      </c>
      <c r="BW284">
        <v>500</v>
      </c>
      <c r="BX284">
        <v>5</v>
      </c>
      <c r="BY284">
        <v>2</v>
      </c>
      <c r="BZ284">
        <v>300</v>
      </c>
      <c r="CA284">
        <v>300</v>
      </c>
      <c r="CB284">
        <v>300</v>
      </c>
      <c r="CC284">
        <v>428.74789399999997</v>
      </c>
      <c r="CD284">
        <v>25</v>
      </c>
      <c r="CE284">
        <v>16.294868000000001</v>
      </c>
      <c r="CF284">
        <v>442.89209</v>
      </c>
      <c r="CG284">
        <v>451.99319500000001</v>
      </c>
      <c r="CH284">
        <v>-9.1011050000000004</v>
      </c>
      <c r="CI284">
        <v>2.5097909999999999</v>
      </c>
      <c r="CJ284">
        <v>2.5186510000000002</v>
      </c>
      <c r="CK284">
        <v>1.6652830000000001</v>
      </c>
      <c r="CL284">
        <v>0.94201199999999996</v>
      </c>
      <c r="CM284">
        <v>0.20049500000000001</v>
      </c>
      <c r="CN284">
        <v>-1.4128E-2</v>
      </c>
      <c r="CO284">
        <v>0.158668</v>
      </c>
      <c r="CP284">
        <v>0.13780999999999999</v>
      </c>
      <c r="CQ284">
        <v>96.039176999999995</v>
      </c>
      <c r="CR284">
        <v>3.68E-4</v>
      </c>
      <c r="CS284">
        <v>2.4333689999999999</v>
      </c>
      <c r="CT284">
        <v>-3.6000000000000001E-5</v>
      </c>
      <c r="CU284">
        <v>1</v>
      </c>
      <c r="CV284">
        <v>2.4396819999999999</v>
      </c>
      <c r="CW284">
        <v>1.1E-5</v>
      </c>
      <c r="CX284">
        <v>1</v>
      </c>
      <c r="CY284">
        <v>0.60025499999999998</v>
      </c>
      <c r="CZ284">
        <v>0.60245199999999999</v>
      </c>
      <c r="DA284">
        <v>0.106742</v>
      </c>
      <c r="DB284">
        <v>0</v>
      </c>
      <c r="DC284" t="s">
        <v>799</v>
      </c>
      <c r="DD284" t="s">
        <v>515</v>
      </c>
      <c r="DE284" t="s">
        <v>516</v>
      </c>
      <c r="DF284" t="s">
        <v>517</v>
      </c>
      <c r="DG284" t="s">
        <v>518</v>
      </c>
      <c r="DH284" t="s">
        <v>205</v>
      </c>
      <c r="DI284" t="s">
        <v>519</v>
      </c>
    </row>
    <row r="285" spans="1:113">
      <c r="A285">
        <v>8</v>
      </c>
      <c r="B285" s="3">
        <v>0.55635416666666659</v>
      </c>
      <c r="C285" s="1">
        <v>45149</v>
      </c>
      <c r="D285" t="s">
        <v>196</v>
      </c>
      <c r="E285" t="s">
        <v>197</v>
      </c>
      <c r="G285">
        <v>8</v>
      </c>
      <c r="J285">
        <v>-6.4099999999999997E-4</v>
      </c>
      <c r="K285">
        <v>2.9217219999999999</v>
      </c>
      <c r="L285">
        <v>-6.4099999999999997E-4</v>
      </c>
      <c r="M285">
        <v>-1.6119999999999999E-2</v>
      </c>
      <c r="N285">
        <v>2.304586</v>
      </c>
      <c r="O285">
        <v>2.3050099999999998</v>
      </c>
      <c r="P285">
        <v>4.6188320000000003</v>
      </c>
      <c r="Q285">
        <v>2.3142450000000001</v>
      </c>
      <c r="R285">
        <v>24.150324000000001</v>
      </c>
      <c r="S285">
        <v>24.145886999999998</v>
      </c>
      <c r="T285">
        <v>48.392978999999997</v>
      </c>
      <c r="U285">
        <v>0.44178600000000001</v>
      </c>
      <c r="V285" t="s">
        <v>800</v>
      </c>
      <c r="W285">
        <v>0</v>
      </c>
      <c r="X285">
        <v>0</v>
      </c>
      <c r="Y285">
        <v>0</v>
      </c>
      <c r="Z285">
        <v>95.576408000000001</v>
      </c>
      <c r="AA285">
        <v>410.25674400000003</v>
      </c>
      <c r="AB285">
        <v>0.76703299999999996</v>
      </c>
      <c r="AC285">
        <v>0.5</v>
      </c>
      <c r="AD285">
        <v>0.8</v>
      </c>
      <c r="AE285">
        <v>18.896248</v>
      </c>
      <c r="AF285">
        <v>46.2</v>
      </c>
      <c r="AG285">
        <v>46.21</v>
      </c>
      <c r="AH285">
        <v>32.770000000000003</v>
      </c>
      <c r="AI285">
        <v>31.41</v>
      </c>
      <c r="AJ285">
        <v>95.44</v>
      </c>
      <c r="AK285">
        <v>156.69999999999999</v>
      </c>
      <c r="AL285">
        <v>155.5</v>
      </c>
      <c r="AM285">
        <v>0.8</v>
      </c>
      <c r="AN285">
        <v>62</v>
      </c>
      <c r="AO285">
        <v>3.8759999999999999</v>
      </c>
      <c r="AP285">
        <v>31</v>
      </c>
      <c r="AQ285">
        <v>-18</v>
      </c>
      <c r="AR285">
        <v>70</v>
      </c>
      <c r="AS285">
        <v>46.53</v>
      </c>
      <c r="AT285">
        <v>68.790000000000006</v>
      </c>
      <c r="AU285">
        <v>35.39</v>
      </c>
      <c r="AV285">
        <v>102.25</v>
      </c>
      <c r="AW285">
        <v>15.17</v>
      </c>
      <c r="AX285">
        <v>283.08</v>
      </c>
      <c r="AY285">
        <v>81.92</v>
      </c>
      <c r="AZ285" s="3">
        <v>0.76318287037037036</v>
      </c>
      <c r="BA285" s="1">
        <v>45149</v>
      </c>
      <c r="BB285">
        <v>38.492213999999997</v>
      </c>
      <c r="BC285">
        <v>-1.363165</v>
      </c>
      <c r="BD285">
        <v>593.09997599999997</v>
      </c>
      <c r="BE285">
        <v>5</v>
      </c>
      <c r="BF285">
        <v>1.41</v>
      </c>
      <c r="BG285" s="3">
        <v>0.55472222222222223</v>
      </c>
      <c r="BH285" s="1">
        <v>45149</v>
      </c>
      <c r="BI285">
        <v>-0.16</v>
      </c>
      <c r="BJ285">
        <v>-3.0000000000000001E-3</v>
      </c>
      <c r="BK285">
        <v>-3.0000000000000001E-3</v>
      </c>
      <c r="BL285">
        <v>-9999</v>
      </c>
      <c r="BM285">
        <v>0.22500000000000001</v>
      </c>
      <c r="BN285">
        <v>0.46300000000000002</v>
      </c>
      <c r="BO285">
        <v>-9999</v>
      </c>
      <c r="BP285">
        <v>1</v>
      </c>
      <c r="BQ285">
        <v>150</v>
      </c>
      <c r="BR285">
        <v>5.0000000000000001E-3</v>
      </c>
      <c r="BS285">
        <v>2</v>
      </c>
      <c r="BT285">
        <v>0</v>
      </c>
      <c r="BU285" t="s">
        <v>200</v>
      </c>
      <c r="BV285">
        <v>7000</v>
      </c>
      <c r="BW285">
        <v>500</v>
      </c>
      <c r="BX285">
        <v>5</v>
      </c>
      <c r="BY285">
        <v>2</v>
      </c>
      <c r="BZ285">
        <v>300</v>
      </c>
      <c r="CA285">
        <v>300</v>
      </c>
      <c r="CB285">
        <v>300</v>
      </c>
      <c r="CC285">
        <v>410.25674400000003</v>
      </c>
      <c r="CD285">
        <v>25</v>
      </c>
      <c r="CE285">
        <v>17.733297</v>
      </c>
      <c r="CF285">
        <v>422.04452500000002</v>
      </c>
      <c r="CG285">
        <v>435.55404700000003</v>
      </c>
      <c r="CH285">
        <v>-13.509520999999999</v>
      </c>
      <c r="CI285">
        <v>2.5107370000000002</v>
      </c>
      <c r="CJ285">
        <v>2.5193310000000002</v>
      </c>
      <c r="CK285">
        <v>1.6664049999999999</v>
      </c>
      <c r="CL285">
        <v>0.94119799999999998</v>
      </c>
      <c r="CM285">
        <v>0.20057</v>
      </c>
      <c r="CN285">
        <v>-1.6088999999999999E-2</v>
      </c>
      <c r="CO285">
        <v>0.16003500000000001</v>
      </c>
      <c r="CP285">
        <v>0.161221</v>
      </c>
      <c r="CQ285">
        <v>95.576408000000001</v>
      </c>
      <c r="CR285">
        <v>3.7399999999999998E-4</v>
      </c>
      <c r="CS285">
        <v>2.4333689999999999</v>
      </c>
      <c r="CT285">
        <v>-3.6000000000000001E-5</v>
      </c>
      <c r="CU285">
        <v>1</v>
      </c>
      <c r="CV285">
        <v>2.4396819999999999</v>
      </c>
      <c r="CW285">
        <v>1.1E-5</v>
      </c>
      <c r="CX285">
        <v>1</v>
      </c>
      <c r="CY285">
        <v>0.60025499999999998</v>
      </c>
      <c r="CZ285">
        <v>0.60245199999999999</v>
      </c>
      <c r="DA285">
        <v>0.106742</v>
      </c>
      <c r="DB285">
        <v>0</v>
      </c>
      <c r="DC285" t="s">
        <v>800</v>
      </c>
      <c r="DD285" t="s">
        <v>515</v>
      </c>
      <c r="DE285" t="s">
        <v>516</v>
      </c>
      <c r="DF285" t="s">
        <v>517</v>
      </c>
      <c r="DG285" t="s">
        <v>518</v>
      </c>
      <c r="DH285" t="s">
        <v>205</v>
      </c>
      <c r="DI285" t="s">
        <v>519</v>
      </c>
    </row>
    <row r="286" spans="1:113">
      <c r="A286">
        <v>9</v>
      </c>
      <c r="B286" s="3">
        <v>0.5564930555555555</v>
      </c>
      <c r="C286" s="1">
        <v>45149</v>
      </c>
      <c r="D286" t="s">
        <v>196</v>
      </c>
      <c r="E286" t="s">
        <v>197</v>
      </c>
      <c r="G286">
        <v>9</v>
      </c>
      <c r="J286">
        <v>2.43E-4</v>
      </c>
      <c r="K286">
        <v>2.9198010000000001</v>
      </c>
      <c r="L286">
        <v>2.43E-4</v>
      </c>
      <c r="M286">
        <v>6.267E-3</v>
      </c>
      <c r="N286">
        <v>2.3082829999999999</v>
      </c>
      <c r="O286">
        <v>2.308119</v>
      </c>
      <c r="P286">
        <v>4.680466</v>
      </c>
      <c r="Q286">
        <v>2.372182</v>
      </c>
      <c r="R286">
        <v>24.183150999999999</v>
      </c>
      <c r="S286">
        <v>24.184877</v>
      </c>
      <c r="T286">
        <v>49.039253000000002</v>
      </c>
      <c r="U286">
        <v>0.44178600000000001</v>
      </c>
      <c r="V286" t="s">
        <v>801</v>
      </c>
      <c r="W286">
        <v>0</v>
      </c>
      <c r="X286">
        <v>0</v>
      </c>
      <c r="Y286">
        <v>0</v>
      </c>
      <c r="Z286">
        <v>103.35159299999999</v>
      </c>
      <c r="AA286">
        <v>356.88330100000002</v>
      </c>
      <c r="AB286">
        <v>0.71040499999999995</v>
      </c>
      <c r="AC286">
        <v>0.5</v>
      </c>
      <c r="AD286">
        <v>0.8</v>
      </c>
      <c r="AE286">
        <v>21.810701000000002</v>
      </c>
      <c r="AF286">
        <v>46.3</v>
      </c>
      <c r="AG286">
        <v>46.3</v>
      </c>
      <c r="AH286">
        <v>32.76</v>
      </c>
      <c r="AI286">
        <v>31.65</v>
      </c>
      <c r="AJ286">
        <v>95.44</v>
      </c>
      <c r="AK286">
        <v>156.5</v>
      </c>
      <c r="AL286">
        <v>155.69999999999999</v>
      </c>
      <c r="AM286">
        <v>0.5</v>
      </c>
      <c r="AN286">
        <v>77</v>
      </c>
      <c r="AO286">
        <v>3.8759999999999999</v>
      </c>
      <c r="AP286">
        <v>35</v>
      </c>
      <c r="AQ286">
        <v>-39</v>
      </c>
      <c r="AR286">
        <v>24</v>
      </c>
      <c r="AS286">
        <v>38.53</v>
      </c>
      <c r="AT286">
        <v>78.23</v>
      </c>
      <c r="AU286">
        <v>50.46</v>
      </c>
      <c r="AV286">
        <v>78.69</v>
      </c>
      <c r="AW286">
        <v>15.17</v>
      </c>
      <c r="AX286">
        <v>283.23</v>
      </c>
      <c r="AY286">
        <v>82.11</v>
      </c>
      <c r="AZ286" s="3">
        <v>0.76332175925925927</v>
      </c>
      <c r="BA286" s="1">
        <v>45149</v>
      </c>
      <c r="BB286">
        <v>38.492198999999999</v>
      </c>
      <c r="BC286">
        <v>-1.3631599999999999</v>
      </c>
      <c r="BD286">
        <v>593.09997599999997</v>
      </c>
      <c r="BE286">
        <v>5</v>
      </c>
      <c r="BF286">
        <v>1.41</v>
      </c>
      <c r="BG286" s="3">
        <v>0.55472222222222223</v>
      </c>
      <c r="BH286" s="1">
        <v>45149</v>
      </c>
      <c r="BI286">
        <v>-0.16</v>
      </c>
      <c r="BJ286">
        <v>0</v>
      </c>
      <c r="BK286">
        <v>-1E-3</v>
      </c>
      <c r="BL286">
        <v>-9999</v>
      </c>
      <c r="BM286">
        <v>5.2999999999999999E-2</v>
      </c>
      <c r="BN286">
        <v>0.14699999999999999</v>
      </c>
      <c r="BO286">
        <v>-9999</v>
      </c>
      <c r="BP286">
        <v>1</v>
      </c>
      <c r="BQ286">
        <v>150</v>
      </c>
      <c r="BR286">
        <v>5.0000000000000001E-3</v>
      </c>
      <c r="BS286">
        <v>2</v>
      </c>
      <c r="BT286">
        <v>0</v>
      </c>
      <c r="BU286" t="s">
        <v>200</v>
      </c>
      <c r="BV286">
        <v>7000</v>
      </c>
      <c r="BW286">
        <v>500</v>
      </c>
      <c r="BX286">
        <v>5</v>
      </c>
      <c r="BY286">
        <v>2</v>
      </c>
      <c r="BZ286">
        <v>300</v>
      </c>
      <c r="CA286">
        <v>300</v>
      </c>
      <c r="CB286">
        <v>300</v>
      </c>
      <c r="CC286">
        <v>356.88330100000002</v>
      </c>
      <c r="CD286">
        <v>25</v>
      </c>
      <c r="CE286">
        <v>1.6433949999999999</v>
      </c>
      <c r="CF286">
        <v>360.60726899999997</v>
      </c>
      <c r="CG286">
        <v>359.22766100000001</v>
      </c>
      <c r="CH286">
        <v>1.3796079999999999</v>
      </c>
      <c r="CI286">
        <v>2.5108670000000002</v>
      </c>
      <c r="CJ286">
        <v>2.5194779999999999</v>
      </c>
      <c r="CK286">
        <v>1.6643829999999999</v>
      </c>
      <c r="CL286">
        <v>0.94178600000000001</v>
      </c>
      <c r="CM286">
        <v>0.20064199999999999</v>
      </c>
      <c r="CN286">
        <v>-1.3135000000000001E-2</v>
      </c>
      <c r="CO286">
        <v>0.16162299999999999</v>
      </c>
      <c r="CP286">
        <v>0.17463600000000001</v>
      </c>
      <c r="CQ286">
        <v>103.35159299999999</v>
      </c>
      <c r="CR286">
        <v>3.6400000000000001E-4</v>
      </c>
      <c r="CS286">
        <v>2.4333689999999999</v>
      </c>
      <c r="CT286">
        <v>-3.6000000000000001E-5</v>
      </c>
      <c r="CU286">
        <v>1</v>
      </c>
      <c r="CV286">
        <v>2.4396819999999999</v>
      </c>
      <c r="CW286">
        <v>1.1E-5</v>
      </c>
      <c r="CX286">
        <v>1</v>
      </c>
      <c r="CY286">
        <v>0.60025499999999998</v>
      </c>
      <c r="CZ286">
        <v>0.60245199999999999</v>
      </c>
      <c r="DA286">
        <v>0.106742</v>
      </c>
      <c r="DB286">
        <v>0</v>
      </c>
      <c r="DC286" t="s">
        <v>801</v>
      </c>
      <c r="DD286" t="s">
        <v>515</v>
      </c>
      <c r="DE286" t="s">
        <v>516</v>
      </c>
      <c r="DF286" t="s">
        <v>517</v>
      </c>
      <c r="DG286" t="s">
        <v>518</v>
      </c>
      <c r="DH286" t="s">
        <v>205</v>
      </c>
      <c r="DI286" t="s">
        <v>519</v>
      </c>
    </row>
    <row r="287" spans="1:113">
      <c r="A287">
        <v>1</v>
      </c>
      <c r="B287" s="3">
        <v>0.56512731481481482</v>
      </c>
      <c r="C287" s="1">
        <v>45149</v>
      </c>
      <c r="D287" t="s">
        <v>196</v>
      </c>
      <c r="E287" t="s">
        <v>197</v>
      </c>
      <c r="G287">
        <v>1</v>
      </c>
      <c r="J287">
        <v>2.1320000000000002E-3</v>
      </c>
      <c r="K287">
        <v>2.9220730000000001</v>
      </c>
      <c r="L287">
        <v>2.1299999999999999E-3</v>
      </c>
      <c r="M287">
        <v>5.6175999999999997E-2</v>
      </c>
      <c r="N287">
        <v>2.1676160000000002</v>
      </c>
      <c r="O287">
        <v>2.1661410000000001</v>
      </c>
      <c r="P287">
        <v>4.5929479999999998</v>
      </c>
      <c r="Q287">
        <v>2.425332</v>
      </c>
      <c r="R287">
        <v>22.718858999999998</v>
      </c>
      <c r="S287">
        <v>22.734331000000001</v>
      </c>
      <c r="T287">
        <v>48.171635000000002</v>
      </c>
      <c r="U287">
        <v>0.44178600000000001</v>
      </c>
      <c r="V287" t="s">
        <v>802</v>
      </c>
      <c r="W287">
        <v>0</v>
      </c>
      <c r="X287">
        <v>0</v>
      </c>
      <c r="Y287">
        <v>0</v>
      </c>
      <c r="Z287">
        <v>60.646534000000003</v>
      </c>
      <c r="AA287">
        <v>236.47427400000001</v>
      </c>
      <c r="AB287">
        <v>0.74353899999999995</v>
      </c>
      <c r="AC287">
        <v>0.5</v>
      </c>
      <c r="AD287">
        <v>0.8</v>
      </c>
      <c r="AE287">
        <v>11.934142</v>
      </c>
      <c r="AF287">
        <v>44.53</v>
      </c>
      <c r="AG287">
        <v>44.5</v>
      </c>
      <c r="AH287">
        <v>32.340000000000003</v>
      </c>
      <c r="AI287">
        <v>31.31</v>
      </c>
      <c r="AJ287">
        <v>95.35</v>
      </c>
      <c r="AK287">
        <v>156.69999999999999</v>
      </c>
      <c r="AL287">
        <v>155.80000000000001</v>
      </c>
      <c r="AM287">
        <v>0.6</v>
      </c>
      <c r="AN287">
        <v>40</v>
      </c>
      <c r="AO287">
        <v>3.8820000000000001</v>
      </c>
      <c r="AP287">
        <v>32</v>
      </c>
      <c r="AQ287">
        <v>-14</v>
      </c>
      <c r="AR287">
        <v>115</v>
      </c>
      <c r="AZ287" s="3">
        <v>0</v>
      </c>
      <c r="BA287" t="s">
        <v>513</v>
      </c>
      <c r="BB287" t="s">
        <v>514</v>
      </c>
      <c r="BC287" t="s">
        <v>514</v>
      </c>
      <c r="BD287" t="s">
        <v>514</v>
      </c>
      <c r="BE287">
        <v>0</v>
      </c>
      <c r="BF287" t="s">
        <v>514</v>
      </c>
      <c r="BG287" s="3">
        <v>0.56497685185185187</v>
      </c>
      <c r="BH287" s="1">
        <v>45149</v>
      </c>
      <c r="BI287">
        <v>-0.2</v>
      </c>
      <c r="BJ287">
        <v>0</v>
      </c>
      <c r="BK287">
        <v>-1E-3</v>
      </c>
      <c r="BL287">
        <v>1E-3</v>
      </c>
      <c r="BM287">
        <v>-1.972</v>
      </c>
      <c r="BN287">
        <v>-2.1779999999999999</v>
      </c>
      <c r="BO287">
        <v>-25.73</v>
      </c>
      <c r="BP287">
        <v>1</v>
      </c>
      <c r="BQ287">
        <v>150</v>
      </c>
      <c r="BR287">
        <v>5.0000000000000001E-3</v>
      </c>
      <c r="BS287">
        <v>2</v>
      </c>
      <c r="BT287">
        <v>0</v>
      </c>
      <c r="BU287" t="s">
        <v>200</v>
      </c>
      <c r="BV287">
        <v>7000</v>
      </c>
      <c r="BW287">
        <v>500</v>
      </c>
      <c r="BX287">
        <v>5</v>
      </c>
      <c r="BY287">
        <v>2</v>
      </c>
      <c r="BZ287">
        <v>300</v>
      </c>
      <c r="CA287">
        <v>300</v>
      </c>
      <c r="CB287">
        <v>300</v>
      </c>
      <c r="CC287">
        <v>236.47427400000001</v>
      </c>
      <c r="CD287">
        <v>25</v>
      </c>
      <c r="CE287">
        <v>64.355948999999995</v>
      </c>
      <c r="CF287">
        <v>349.228973</v>
      </c>
      <c r="CG287">
        <v>328.280731</v>
      </c>
      <c r="CH287">
        <v>20.948242</v>
      </c>
      <c r="CI287">
        <v>2.5082879999999999</v>
      </c>
      <c r="CJ287">
        <v>2.5169679999999999</v>
      </c>
      <c r="CK287">
        <v>1.6667749999999999</v>
      </c>
      <c r="CL287">
        <v>0.94201500000000005</v>
      </c>
      <c r="CM287">
        <v>0.20399100000000001</v>
      </c>
      <c r="CN287">
        <v>-1.1981E-2</v>
      </c>
      <c r="CO287">
        <v>0.15615599999999999</v>
      </c>
      <c r="CP287">
        <v>0.142236</v>
      </c>
      <c r="CQ287">
        <v>60.646534000000003</v>
      </c>
      <c r="CR287">
        <v>3.68E-4</v>
      </c>
      <c r="CS287">
        <v>2.4333689999999999</v>
      </c>
      <c r="CT287">
        <v>-3.6000000000000001E-5</v>
      </c>
      <c r="CU287">
        <v>1</v>
      </c>
      <c r="CV287">
        <v>2.4396819999999999</v>
      </c>
      <c r="CW287">
        <v>1.1E-5</v>
      </c>
      <c r="CX287">
        <v>1</v>
      </c>
      <c r="CY287">
        <v>0.60025499999999998</v>
      </c>
      <c r="CZ287">
        <v>0.60245199999999999</v>
      </c>
      <c r="DA287">
        <v>0.106742</v>
      </c>
      <c r="DB287">
        <v>0</v>
      </c>
      <c r="DC287" t="s">
        <v>802</v>
      </c>
      <c r="DD287" t="s">
        <v>515</v>
      </c>
      <c r="DE287" t="s">
        <v>516</v>
      </c>
      <c r="DF287" t="s">
        <v>517</v>
      </c>
      <c r="DG287" t="s">
        <v>518</v>
      </c>
      <c r="DH287" t="s">
        <v>205</v>
      </c>
      <c r="DI287" t="s">
        <v>519</v>
      </c>
    </row>
    <row r="288" spans="1:113">
      <c r="A288">
        <v>2</v>
      </c>
      <c r="B288" s="3">
        <v>0.56527777777777777</v>
      </c>
      <c r="C288" s="1">
        <v>45149</v>
      </c>
      <c r="D288" t="s">
        <v>196</v>
      </c>
      <c r="E288" t="s">
        <v>197</v>
      </c>
      <c r="G288">
        <v>2</v>
      </c>
      <c r="J288">
        <v>1.0205000000000001E-2</v>
      </c>
      <c r="K288">
        <v>2.9222320000000002</v>
      </c>
      <c r="L288">
        <v>1.0168999999999999E-2</v>
      </c>
      <c r="M288">
        <v>0.27433099999999999</v>
      </c>
      <c r="N288">
        <v>2.1986159999999999</v>
      </c>
      <c r="O288">
        <v>2.1914150000000001</v>
      </c>
      <c r="P288">
        <v>4.6780249999999999</v>
      </c>
      <c r="Q288">
        <v>2.479409</v>
      </c>
      <c r="R288">
        <v>22.983395000000002</v>
      </c>
      <c r="S288">
        <v>23.058921999999999</v>
      </c>
      <c r="T288">
        <v>49.062770999999998</v>
      </c>
      <c r="U288">
        <v>0.44178600000000001</v>
      </c>
      <c r="V288" t="s">
        <v>803</v>
      </c>
      <c r="W288">
        <v>0</v>
      </c>
      <c r="X288">
        <v>0</v>
      </c>
      <c r="Y288">
        <v>0</v>
      </c>
      <c r="Z288">
        <v>114.20452899999999</v>
      </c>
      <c r="AA288">
        <v>451.06243899999998</v>
      </c>
      <c r="AB288">
        <v>0.74680999999999997</v>
      </c>
      <c r="AC288">
        <v>0.5</v>
      </c>
      <c r="AD288">
        <v>0.8</v>
      </c>
      <c r="AE288">
        <v>7.0438599999999996</v>
      </c>
      <c r="AF288">
        <v>45.19</v>
      </c>
      <c r="AG288">
        <v>45.05</v>
      </c>
      <c r="AH288">
        <v>32.33</v>
      </c>
      <c r="AI288">
        <v>31.64</v>
      </c>
      <c r="AJ288">
        <v>95.35</v>
      </c>
      <c r="AK288">
        <v>156.80000000000001</v>
      </c>
      <c r="AL288">
        <v>155.80000000000001</v>
      </c>
      <c r="AM288">
        <v>0.6</v>
      </c>
      <c r="AN288">
        <v>24</v>
      </c>
      <c r="AO288">
        <v>3.88</v>
      </c>
      <c r="AP288">
        <v>51</v>
      </c>
      <c r="AQ288">
        <v>-29</v>
      </c>
      <c r="AR288">
        <v>152</v>
      </c>
      <c r="AZ288" s="3">
        <v>0.77209490740740738</v>
      </c>
      <c r="BA288" s="1">
        <v>45149</v>
      </c>
      <c r="BB288" t="s">
        <v>514</v>
      </c>
      <c r="BC288" t="s">
        <v>514</v>
      </c>
      <c r="BD288" t="s">
        <v>514</v>
      </c>
      <c r="BE288">
        <v>0</v>
      </c>
      <c r="BF288" t="s">
        <v>514</v>
      </c>
      <c r="BG288" s="3">
        <v>0.56497685185185187</v>
      </c>
      <c r="BH288" s="1">
        <v>45149</v>
      </c>
      <c r="BI288">
        <v>-0.2</v>
      </c>
      <c r="BJ288">
        <v>1E-3</v>
      </c>
      <c r="BK288">
        <v>1E-3</v>
      </c>
      <c r="BL288">
        <v>-9999</v>
      </c>
      <c r="BM288">
        <v>0.33500000000000002</v>
      </c>
      <c r="BN288">
        <v>0.31900000000000001</v>
      </c>
      <c r="BO288">
        <v>-9999</v>
      </c>
      <c r="BP288">
        <v>1</v>
      </c>
      <c r="BQ288">
        <v>150</v>
      </c>
      <c r="BR288">
        <v>5.0000000000000001E-3</v>
      </c>
      <c r="BS288">
        <v>2</v>
      </c>
      <c r="BT288">
        <v>0</v>
      </c>
      <c r="BU288" t="s">
        <v>200</v>
      </c>
      <c r="BV288">
        <v>7000</v>
      </c>
      <c r="BW288">
        <v>500</v>
      </c>
      <c r="BX288">
        <v>5</v>
      </c>
      <c r="BY288">
        <v>2</v>
      </c>
      <c r="BZ288">
        <v>300</v>
      </c>
      <c r="CA288">
        <v>300</v>
      </c>
      <c r="CB288">
        <v>300</v>
      </c>
      <c r="CC288">
        <v>451.06243899999998</v>
      </c>
      <c r="CD288">
        <v>25</v>
      </c>
      <c r="CE288">
        <v>32.245685999999999</v>
      </c>
      <c r="CF288">
        <v>465.73019399999998</v>
      </c>
      <c r="CG288">
        <v>497.06225599999999</v>
      </c>
      <c r="CH288">
        <v>-31.332062000000001</v>
      </c>
      <c r="CI288">
        <v>2.5091039999999998</v>
      </c>
      <c r="CJ288">
        <v>2.517963</v>
      </c>
      <c r="CK288">
        <v>1.666944</v>
      </c>
      <c r="CL288">
        <v>0.94200099999999998</v>
      </c>
      <c r="CM288">
        <v>0.20408699999999999</v>
      </c>
      <c r="CN288">
        <v>-7.9030000000000003E-3</v>
      </c>
      <c r="CO288">
        <v>0.158328</v>
      </c>
      <c r="CP288">
        <v>0.12759999999999999</v>
      </c>
      <c r="CQ288">
        <v>114.20452899999999</v>
      </c>
      <c r="CR288">
        <v>3.6900000000000002E-4</v>
      </c>
      <c r="CS288">
        <v>2.4333689999999999</v>
      </c>
      <c r="CT288">
        <v>-3.6000000000000001E-5</v>
      </c>
      <c r="CU288">
        <v>1</v>
      </c>
      <c r="CV288">
        <v>2.4396819999999999</v>
      </c>
      <c r="CW288">
        <v>1.1E-5</v>
      </c>
      <c r="CX288">
        <v>1</v>
      </c>
      <c r="CY288">
        <v>0.60025499999999998</v>
      </c>
      <c r="CZ288">
        <v>0.60245199999999999</v>
      </c>
      <c r="DA288">
        <v>0.106742</v>
      </c>
      <c r="DB288">
        <v>0</v>
      </c>
      <c r="DC288" t="s">
        <v>803</v>
      </c>
      <c r="DD288" t="s">
        <v>515</v>
      </c>
      <c r="DE288" t="s">
        <v>516</v>
      </c>
      <c r="DF288" t="s">
        <v>517</v>
      </c>
      <c r="DG288" t="s">
        <v>518</v>
      </c>
      <c r="DH288" t="s">
        <v>205</v>
      </c>
      <c r="DI288" t="s">
        <v>519</v>
      </c>
    </row>
    <row r="289" spans="1:113">
      <c r="A289">
        <v>3</v>
      </c>
      <c r="B289" s="3">
        <v>0.56547453703703698</v>
      </c>
      <c r="C289" s="1">
        <v>45149</v>
      </c>
      <c r="D289" t="s">
        <v>196</v>
      </c>
      <c r="E289" t="s">
        <v>197</v>
      </c>
      <c r="G289">
        <v>3</v>
      </c>
      <c r="J289">
        <v>4.7489999999999997E-3</v>
      </c>
      <c r="K289">
        <v>2.9217050000000002</v>
      </c>
      <c r="L289">
        <v>4.7419999999999997E-3</v>
      </c>
      <c r="M289">
        <v>0.118961</v>
      </c>
      <c r="N289">
        <v>2.2123650000000001</v>
      </c>
      <c r="O289">
        <v>2.209241</v>
      </c>
      <c r="P289">
        <v>4.5202489999999997</v>
      </c>
      <c r="Q289">
        <v>2.307884</v>
      </c>
      <c r="R289">
        <v>23.167925</v>
      </c>
      <c r="S289">
        <v>23.200686000000001</v>
      </c>
      <c r="T289">
        <v>47.403064999999998</v>
      </c>
      <c r="U289">
        <v>0.44178600000000001</v>
      </c>
      <c r="V289" t="s">
        <v>804</v>
      </c>
      <c r="W289">
        <v>0</v>
      </c>
      <c r="X289">
        <v>0</v>
      </c>
      <c r="Y289">
        <v>0</v>
      </c>
      <c r="Z289">
        <v>106.604218</v>
      </c>
      <c r="AA289">
        <v>446.75732399999998</v>
      </c>
      <c r="AB289">
        <v>0.761382</v>
      </c>
      <c r="AC289">
        <v>0.5</v>
      </c>
      <c r="AD289">
        <v>0.8</v>
      </c>
      <c r="AE289">
        <v>14.31179</v>
      </c>
      <c r="AF289">
        <v>45.54</v>
      </c>
      <c r="AG289">
        <v>45.48</v>
      </c>
      <c r="AH289">
        <v>32.299999999999997</v>
      </c>
      <c r="AI289">
        <v>31.03</v>
      </c>
      <c r="AJ289">
        <v>95.36</v>
      </c>
      <c r="AK289">
        <v>156.69999999999999</v>
      </c>
      <c r="AL289">
        <v>155.6</v>
      </c>
      <c r="AM289">
        <v>0.7</v>
      </c>
      <c r="AN289">
        <v>47</v>
      </c>
      <c r="AO289">
        <v>3.8809999999999998</v>
      </c>
      <c r="AP289">
        <v>21</v>
      </c>
      <c r="AQ289">
        <v>-18</v>
      </c>
      <c r="AR289">
        <v>75</v>
      </c>
      <c r="AZ289" s="3">
        <v>0</v>
      </c>
      <c r="BA289" t="s">
        <v>513</v>
      </c>
      <c r="BB289">
        <v>38.493037999999999</v>
      </c>
      <c r="BC289">
        <v>-1.3652580000000001</v>
      </c>
      <c r="BD289">
        <v>611.29998799999998</v>
      </c>
      <c r="BE289">
        <v>4</v>
      </c>
      <c r="BF289">
        <v>2.0499999999999998</v>
      </c>
      <c r="BG289" s="3">
        <v>0.56497685185185187</v>
      </c>
      <c r="BH289" s="1">
        <v>45149</v>
      </c>
      <c r="BI289">
        <v>-0.2</v>
      </c>
      <c r="BJ289">
        <v>-2E-3</v>
      </c>
      <c r="BK289">
        <v>0</v>
      </c>
      <c r="BL289">
        <v>-9999</v>
      </c>
      <c r="BM289">
        <v>0.223</v>
      </c>
      <c r="BN289">
        <v>0.41</v>
      </c>
      <c r="BO289">
        <v>-9999</v>
      </c>
      <c r="BP289">
        <v>1</v>
      </c>
      <c r="BQ289">
        <v>150</v>
      </c>
      <c r="BR289">
        <v>5.0000000000000001E-3</v>
      </c>
      <c r="BS289">
        <v>2</v>
      </c>
      <c r="BT289">
        <v>0</v>
      </c>
      <c r="BU289" t="s">
        <v>200</v>
      </c>
      <c r="BV289">
        <v>7000</v>
      </c>
      <c r="BW289">
        <v>500</v>
      </c>
      <c r="BX289">
        <v>5</v>
      </c>
      <c r="BY289">
        <v>2</v>
      </c>
      <c r="BZ289">
        <v>300</v>
      </c>
      <c r="CA289">
        <v>300</v>
      </c>
      <c r="CB289">
        <v>300</v>
      </c>
      <c r="CC289">
        <v>446.75732399999998</v>
      </c>
      <c r="CD289">
        <v>25</v>
      </c>
      <c r="CE289">
        <v>12.836052</v>
      </c>
      <c r="CF289">
        <v>455.05499300000002</v>
      </c>
      <c r="CG289">
        <v>465.06848100000002</v>
      </c>
      <c r="CH289">
        <v>-10.013489</v>
      </c>
      <c r="CI289">
        <v>2.509747</v>
      </c>
      <c r="CJ289">
        <v>2.5184829999999998</v>
      </c>
      <c r="CK289">
        <v>1.6663870000000001</v>
      </c>
      <c r="CL289">
        <v>0.94148500000000002</v>
      </c>
      <c r="CM289">
        <v>0.204289</v>
      </c>
      <c r="CN289">
        <v>-1.4919999999999999E-2</v>
      </c>
      <c r="CO289">
        <v>0.16114000000000001</v>
      </c>
      <c r="CP289">
        <v>0.14831</v>
      </c>
      <c r="CQ289">
        <v>106.604218</v>
      </c>
      <c r="CR289">
        <v>3.6499999999999998E-4</v>
      </c>
      <c r="CS289">
        <v>2.4333689999999999</v>
      </c>
      <c r="CT289">
        <v>-3.6000000000000001E-5</v>
      </c>
      <c r="CU289">
        <v>1</v>
      </c>
      <c r="CV289">
        <v>2.4396819999999999</v>
      </c>
      <c r="CW289">
        <v>1.1E-5</v>
      </c>
      <c r="CX289">
        <v>1</v>
      </c>
      <c r="CY289">
        <v>0.60025499999999998</v>
      </c>
      <c r="CZ289">
        <v>0.60245199999999999</v>
      </c>
      <c r="DA289">
        <v>0.106742</v>
      </c>
      <c r="DB289">
        <v>0</v>
      </c>
      <c r="DC289" t="s">
        <v>804</v>
      </c>
      <c r="DD289" t="s">
        <v>515</v>
      </c>
      <c r="DE289" t="s">
        <v>516</v>
      </c>
      <c r="DF289" t="s">
        <v>517</v>
      </c>
      <c r="DG289" t="s">
        <v>518</v>
      </c>
      <c r="DH289" t="s">
        <v>205</v>
      </c>
      <c r="DI289" t="s">
        <v>519</v>
      </c>
    </row>
    <row r="290" spans="1:113">
      <c r="A290">
        <v>4</v>
      </c>
      <c r="B290" s="3">
        <v>0.56568287037037035</v>
      </c>
      <c r="C290" s="1">
        <v>45149</v>
      </c>
      <c r="D290" t="s">
        <v>196</v>
      </c>
      <c r="E290" t="s">
        <v>197</v>
      </c>
      <c r="G290">
        <v>4</v>
      </c>
      <c r="J290">
        <v>1.1180000000000001E-3</v>
      </c>
      <c r="K290">
        <v>2.9221520000000001</v>
      </c>
      <c r="L290">
        <v>1.1169999999999999E-3</v>
      </c>
      <c r="M290">
        <v>2.9184999999999999E-2</v>
      </c>
      <c r="N290">
        <v>2.2222050000000002</v>
      </c>
      <c r="O290">
        <v>2.2214390000000002</v>
      </c>
      <c r="P290">
        <v>4.623583</v>
      </c>
      <c r="Q290">
        <v>2.4013779999999998</v>
      </c>
      <c r="R290">
        <v>23.294008000000002</v>
      </c>
      <c r="S290">
        <v>23.302040000000002</v>
      </c>
      <c r="T290">
        <v>48.482886999999998</v>
      </c>
      <c r="U290">
        <v>0.44178600000000001</v>
      </c>
      <c r="V290" t="s">
        <v>805</v>
      </c>
      <c r="W290">
        <v>0</v>
      </c>
      <c r="X290">
        <v>0</v>
      </c>
      <c r="Y290">
        <v>0</v>
      </c>
      <c r="Z290">
        <v>102.421043</v>
      </c>
      <c r="AA290">
        <v>434.44992100000002</v>
      </c>
      <c r="AB290">
        <v>0.76425100000000001</v>
      </c>
      <c r="AC290">
        <v>0.5</v>
      </c>
      <c r="AD290">
        <v>0.8</v>
      </c>
      <c r="AE290">
        <v>7.3673070000000003</v>
      </c>
      <c r="AF290">
        <v>45.83</v>
      </c>
      <c r="AG290">
        <v>45.81</v>
      </c>
      <c r="AH290">
        <v>32.270000000000003</v>
      </c>
      <c r="AI290">
        <v>31.43</v>
      </c>
      <c r="AJ290">
        <v>95.37</v>
      </c>
      <c r="AK290">
        <v>156.80000000000001</v>
      </c>
      <c r="AL290">
        <v>155.69999999999999</v>
      </c>
      <c r="AM290">
        <v>0.6</v>
      </c>
      <c r="AN290">
        <v>24</v>
      </c>
      <c r="AO290">
        <v>3.8809999999999998</v>
      </c>
      <c r="AP290">
        <v>-19</v>
      </c>
      <c r="AQ290">
        <v>-19</v>
      </c>
      <c r="AR290">
        <v>82</v>
      </c>
      <c r="AS290">
        <v>93.96</v>
      </c>
      <c r="AT290">
        <v>-9999</v>
      </c>
      <c r="AU290">
        <v>26.62</v>
      </c>
      <c r="AV290">
        <v>-144.6</v>
      </c>
      <c r="AW290">
        <v>15.17</v>
      </c>
      <c r="AX290">
        <v>285.17</v>
      </c>
      <c r="AY290">
        <v>84.53</v>
      </c>
      <c r="AZ290" s="3">
        <v>0.77251157407407411</v>
      </c>
      <c r="BA290" s="1">
        <v>45149</v>
      </c>
      <c r="BB290">
        <v>38.493015</v>
      </c>
      <c r="BC290">
        <v>-1.365292</v>
      </c>
      <c r="BD290">
        <v>608.40002400000003</v>
      </c>
      <c r="BE290">
        <v>5</v>
      </c>
      <c r="BF290">
        <v>1.48</v>
      </c>
      <c r="BG290" s="3">
        <v>0.56497685185185187</v>
      </c>
      <c r="BH290" s="1">
        <v>45149</v>
      </c>
      <c r="BI290">
        <v>-0.2</v>
      </c>
      <c r="BJ290">
        <v>0</v>
      </c>
      <c r="BK290">
        <v>0</v>
      </c>
      <c r="BL290">
        <v>-9999</v>
      </c>
      <c r="BM290">
        <v>0.16900000000000001</v>
      </c>
      <c r="BN290">
        <v>0.39200000000000002</v>
      </c>
      <c r="BO290">
        <v>-9999</v>
      </c>
      <c r="BP290">
        <v>1</v>
      </c>
      <c r="BQ290">
        <v>150</v>
      </c>
      <c r="BR290">
        <v>5.0000000000000001E-3</v>
      </c>
      <c r="BS290">
        <v>2</v>
      </c>
      <c r="BT290">
        <v>0</v>
      </c>
      <c r="BU290" t="s">
        <v>200</v>
      </c>
      <c r="BV290">
        <v>7000</v>
      </c>
      <c r="BW290">
        <v>500</v>
      </c>
      <c r="BX290">
        <v>5</v>
      </c>
      <c r="BY290">
        <v>2</v>
      </c>
      <c r="BZ290">
        <v>300</v>
      </c>
      <c r="CA290">
        <v>300</v>
      </c>
      <c r="CB290">
        <v>300</v>
      </c>
      <c r="CC290">
        <v>434.44992100000002</v>
      </c>
      <c r="CD290">
        <v>25</v>
      </c>
      <c r="CE290">
        <v>16.430294</v>
      </c>
      <c r="CF290">
        <v>448.69708300000002</v>
      </c>
      <c r="CG290">
        <v>457.88842799999998</v>
      </c>
      <c r="CH290">
        <v>-9.1913450000000001</v>
      </c>
      <c r="CI290">
        <v>2.5102470000000001</v>
      </c>
      <c r="CJ290">
        <v>2.5189110000000001</v>
      </c>
      <c r="CK290">
        <v>1.6668590000000001</v>
      </c>
      <c r="CL290">
        <v>0.941778</v>
      </c>
      <c r="CM290">
        <v>0.20454600000000001</v>
      </c>
      <c r="CN290">
        <v>-9.7090000000000006E-3</v>
      </c>
      <c r="CO290">
        <v>0.16388900000000001</v>
      </c>
      <c r="CP290">
        <v>0.12806000000000001</v>
      </c>
      <c r="CQ290">
        <v>102.421043</v>
      </c>
      <c r="CR290">
        <v>3.7500000000000001E-4</v>
      </c>
      <c r="CS290">
        <v>2.4333689999999999</v>
      </c>
      <c r="CT290">
        <v>-3.6000000000000001E-5</v>
      </c>
      <c r="CU290">
        <v>1</v>
      </c>
      <c r="CV290">
        <v>2.4396819999999999</v>
      </c>
      <c r="CW290">
        <v>1.1E-5</v>
      </c>
      <c r="CX290">
        <v>1</v>
      </c>
      <c r="CY290">
        <v>0.60025499999999998</v>
      </c>
      <c r="CZ290">
        <v>0.60245199999999999</v>
      </c>
      <c r="DA290">
        <v>0.106742</v>
      </c>
      <c r="DB290">
        <v>0</v>
      </c>
      <c r="DC290" t="s">
        <v>805</v>
      </c>
      <c r="DD290" t="s">
        <v>515</v>
      </c>
      <c r="DE290" t="s">
        <v>516</v>
      </c>
      <c r="DF290" t="s">
        <v>517</v>
      </c>
      <c r="DG290" t="s">
        <v>518</v>
      </c>
      <c r="DH290" t="s">
        <v>205</v>
      </c>
      <c r="DI290" t="s">
        <v>519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60"/>
  <sheetViews>
    <sheetView zoomScale="55" zoomScaleNormal="55" workbookViewId="0">
      <pane ySplit="1" topLeftCell="A2" activePane="bottomLeft" state="frozen"/>
      <selection pane="bottomLeft" activeCell="F26" sqref="F26"/>
    </sheetView>
  </sheetViews>
  <sheetFormatPr defaultColWidth="11.42578125" defaultRowHeight="15"/>
  <sheetData>
    <row r="1" spans="1:21">
      <c r="A1" t="s">
        <v>806</v>
      </c>
      <c r="B1" t="s">
        <v>488</v>
      </c>
      <c r="C1" t="s">
        <v>447</v>
      </c>
      <c r="D1" t="s">
        <v>448</v>
      </c>
      <c r="E1" t="s">
        <v>449</v>
      </c>
      <c r="F1" t="s">
        <v>448</v>
      </c>
      <c r="G1" t="s">
        <v>450</v>
      </c>
      <c r="H1" t="s">
        <v>448</v>
      </c>
      <c r="K1" t="s">
        <v>453</v>
      </c>
      <c r="L1" t="s">
        <v>454</v>
      </c>
      <c r="M1" t="s">
        <v>455</v>
      </c>
      <c r="N1" t="s">
        <v>456</v>
      </c>
      <c r="O1" t="s">
        <v>457</v>
      </c>
      <c r="Q1" t="s">
        <v>460</v>
      </c>
      <c r="R1" t="s">
        <v>461</v>
      </c>
      <c r="S1" t="s">
        <v>462</v>
      </c>
      <c r="T1" t="s">
        <v>463</v>
      </c>
      <c r="U1" t="s">
        <v>464</v>
      </c>
    </row>
    <row r="2" spans="1:21">
      <c r="A2">
        <v>2.1</v>
      </c>
      <c r="B2">
        <v>1</v>
      </c>
      <c r="C2">
        <v>9</v>
      </c>
      <c r="D2" s="2">
        <v>0.33333333333333331</v>
      </c>
      <c r="E2">
        <v>9</v>
      </c>
      <c r="F2" s="2">
        <v>0.33402777777777781</v>
      </c>
      <c r="G2">
        <v>9</v>
      </c>
      <c r="H2" s="2">
        <v>0.3347222222222222</v>
      </c>
      <c r="K2">
        <v>-3.0950000000000001E-3</v>
      </c>
      <c r="L2">
        <v>-1.0208E-2</v>
      </c>
      <c r="M2">
        <v>-1.8585000000000001E-2</v>
      </c>
      <c r="N2">
        <v>3.4710000000000001E-3</v>
      </c>
      <c r="O2">
        <v>-5.3629999999999997E-3</v>
      </c>
      <c r="Q2">
        <v>1.3318209999999999</v>
      </c>
      <c r="R2">
        <v>1.4031400000000001</v>
      </c>
      <c r="S2">
        <v>1.1977100000000001</v>
      </c>
      <c r="T2">
        <v>1.1621790000000001</v>
      </c>
      <c r="U2">
        <v>1.477651</v>
      </c>
    </row>
    <row r="3" spans="1:21">
      <c r="A3">
        <v>1.2</v>
      </c>
      <c r="B3">
        <v>1</v>
      </c>
      <c r="C3">
        <v>9.5</v>
      </c>
      <c r="D3" s="2">
        <v>0.33819444444444446</v>
      </c>
      <c r="E3">
        <v>9.5</v>
      </c>
      <c r="F3" s="2">
        <v>0.33888888888888885</v>
      </c>
      <c r="G3">
        <v>9.8000000000000007</v>
      </c>
      <c r="H3" s="2">
        <v>0.34027777777777773</v>
      </c>
      <c r="K3">
        <v>2.4257999999999998E-2</v>
      </c>
      <c r="L3">
        <v>2.1156000000000001E-2</v>
      </c>
      <c r="M3">
        <v>2.362E-3</v>
      </c>
      <c r="N3">
        <v>1.485E-2</v>
      </c>
      <c r="Q3">
        <v>1.213986</v>
      </c>
      <c r="R3">
        <v>1.3344039999999999</v>
      </c>
      <c r="S3">
        <v>1.2568710000000001</v>
      </c>
      <c r="T3">
        <v>1.2957939999999999</v>
      </c>
    </row>
    <row r="4" spans="1:21">
      <c r="A4">
        <v>1.1000000000000001</v>
      </c>
      <c r="B4">
        <v>1</v>
      </c>
      <c r="C4">
        <v>8</v>
      </c>
      <c r="D4" s="2">
        <v>0.34375</v>
      </c>
      <c r="E4">
        <v>9.5</v>
      </c>
      <c r="F4" s="2">
        <v>0.3444444444444445</v>
      </c>
      <c r="G4">
        <v>9.5</v>
      </c>
      <c r="H4" s="2">
        <v>0.34513888888888888</v>
      </c>
      <c r="K4">
        <v>5.6085999999999997E-2</v>
      </c>
      <c r="L4">
        <v>1.9982E-2</v>
      </c>
      <c r="M4">
        <v>3.8275999999999998E-2</v>
      </c>
      <c r="N4">
        <v>-1.5372E-2</v>
      </c>
      <c r="Q4">
        <v>1.2778389999999999</v>
      </c>
      <c r="R4">
        <v>1.377567</v>
      </c>
      <c r="S4">
        <v>1.4711909999999999</v>
      </c>
      <c r="T4">
        <v>1.36978</v>
      </c>
    </row>
    <row r="5" spans="1:21">
      <c r="A5">
        <v>2.2000000000000002</v>
      </c>
      <c r="B5">
        <v>1</v>
      </c>
      <c r="C5">
        <v>9.5</v>
      </c>
      <c r="D5" s="2">
        <v>0.34722222222222227</v>
      </c>
      <c r="E5">
        <v>8.5</v>
      </c>
      <c r="F5" s="2">
        <v>0.34791666666666665</v>
      </c>
      <c r="G5">
        <v>9.5</v>
      </c>
      <c r="H5" s="2">
        <v>0.34930555555555554</v>
      </c>
      <c r="K5">
        <v>4.5531000000000002E-2</v>
      </c>
      <c r="L5">
        <v>0.277812</v>
      </c>
      <c r="M5">
        <v>0.149893</v>
      </c>
      <c r="N5">
        <v>5.4511999999999998E-2</v>
      </c>
      <c r="O5">
        <v>4.1607999999999999E-2</v>
      </c>
      <c r="Q5">
        <v>1.128115</v>
      </c>
      <c r="R5">
        <v>0.91766999999999999</v>
      </c>
      <c r="S5">
        <v>1.039172</v>
      </c>
      <c r="T5">
        <v>1.108733</v>
      </c>
      <c r="U5">
        <v>1.0713999999999999</v>
      </c>
    </row>
    <row r="6" spans="1:21">
      <c r="A6">
        <v>4.2</v>
      </c>
      <c r="B6">
        <v>1</v>
      </c>
      <c r="C6">
        <v>9.5</v>
      </c>
      <c r="D6" s="2">
        <v>0.3527777777777778</v>
      </c>
      <c r="E6">
        <v>9</v>
      </c>
      <c r="F6" s="2">
        <v>0.35347222222222219</v>
      </c>
      <c r="G6">
        <v>9.5</v>
      </c>
      <c r="H6" s="2">
        <v>0.35416666666666669</v>
      </c>
      <c r="K6">
        <v>6.8838999999999997E-2</v>
      </c>
      <c r="L6">
        <v>2.4834999999999999E-2</v>
      </c>
      <c r="M6">
        <v>4.2601E-2</v>
      </c>
      <c r="N6">
        <v>3.4055000000000002E-2</v>
      </c>
      <c r="Q6">
        <v>1.1632279999999999</v>
      </c>
      <c r="R6">
        <v>1.207273</v>
      </c>
      <c r="S6">
        <v>1.239876</v>
      </c>
      <c r="T6">
        <v>1.2814460000000001</v>
      </c>
    </row>
    <row r="7" spans="1:21">
      <c r="A7">
        <v>3.2</v>
      </c>
      <c r="B7">
        <v>1</v>
      </c>
      <c r="C7">
        <v>9.5</v>
      </c>
      <c r="D7" s="2">
        <v>0.35694444444444445</v>
      </c>
      <c r="E7">
        <v>9</v>
      </c>
      <c r="F7" s="2">
        <v>0.3576388888888889</v>
      </c>
      <c r="G7">
        <v>8</v>
      </c>
      <c r="H7" s="2">
        <v>0.35833333333333334</v>
      </c>
      <c r="K7">
        <v>0.10506</v>
      </c>
      <c r="L7">
        <v>4.7302999999999998E-2</v>
      </c>
      <c r="M7">
        <v>6.1539000000000003E-2</v>
      </c>
      <c r="N7">
        <v>3.7613000000000001E-2</v>
      </c>
      <c r="O7">
        <v>7.7881000000000006E-2</v>
      </c>
      <c r="Q7">
        <v>1.135151</v>
      </c>
      <c r="R7">
        <v>1.4034230000000001</v>
      </c>
      <c r="S7">
        <v>1.3654040000000001</v>
      </c>
      <c r="T7">
        <v>1.5156890000000001</v>
      </c>
      <c r="U7">
        <v>1.0435479999999999</v>
      </c>
    </row>
    <row r="8" spans="1:21">
      <c r="A8">
        <v>3.1</v>
      </c>
      <c r="B8">
        <v>1</v>
      </c>
      <c r="C8">
        <v>9.8000000000000007</v>
      </c>
      <c r="D8" s="2">
        <v>0.36249999999999999</v>
      </c>
      <c r="E8">
        <v>9</v>
      </c>
      <c r="F8" s="2">
        <v>0.36319444444444443</v>
      </c>
      <c r="G8">
        <v>9.1999999999999993</v>
      </c>
      <c r="H8" s="2">
        <v>0.36180555555555555</v>
      </c>
      <c r="K8">
        <v>5.0278999999999997E-2</v>
      </c>
      <c r="L8">
        <v>0.101498</v>
      </c>
      <c r="M8">
        <v>7.9555000000000001E-2</v>
      </c>
      <c r="N8">
        <v>1.3636000000000001E-2</v>
      </c>
      <c r="Q8">
        <v>1.2731460000000001</v>
      </c>
      <c r="R8">
        <v>1.1340790000000001</v>
      </c>
      <c r="S8">
        <v>1.129019</v>
      </c>
      <c r="T8">
        <v>1.1394839999999999</v>
      </c>
    </row>
    <row r="9" spans="1:21">
      <c r="A9">
        <v>4.0999999999999996</v>
      </c>
      <c r="B9">
        <v>1</v>
      </c>
      <c r="C9">
        <v>10.199999999999999</v>
      </c>
      <c r="D9" s="2">
        <v>0.3659722222222222</v>
      </c>
      <c r="E9">
        <v>10.5</v>
      </c>
      <c r="F9" s="2">
        <v>0.3666666666666667</v>
      </c>
      <c r="G9">
        <v>11</v>
      </c>
      <c r="H9" s="2">
        <v>0.36736111111111108</v>
      </c>
      <c r="K9">
        <v>0.13963300000000001</v>
      </c>
      <c r="L9">
        <v>0.106583</v>
      </c>
      <c r="M9">
        <v>0.18943199999999999</v>
      </c>
      <c r="N9">
        <v>0.174342</v>
      </c>
      <c r="Q9">
        <v>1.254078</v>
      </c>
      <c r="R9">
        <v>1.019269</v>
      </c>
      <c r="S9">
        <v>1.1761170000000001</v>
      </c>
      <c r="T9">
        <v>1.2281899999999999</v>
      </c>
    </row>
    <row r="10" spans="1:21">
      <c r="A10" t="s">
        <v>807</v>
      </c>
      <c r="B10">
        <v>1</v>
      </c>
      <c r="C10">
        <v>11</v>
      </c>
      <c r="D10" s="2">
        <v>0.37152777777777773</v>
      </c>
      <c r="E10">
        <v>12</v>
      </c>
      <c r="F10" s="2">
        <v>0.37291666666666662</v>
      </c>
      <c r="G10">
        <v>12.5</v>
      </c>
      <c r="H10" s="2">
        <v>0.37361111111111112</v>
      </c>
      <c r="K10">
        <v>0.11230900000000001</v>
      </c>
      <c r="L10">
        <v>2.8962000000000002E-2</v>
      </c>
      <c r="M10">
        <v>8.9838000000000001E-2</v>
      </c>
      <c r="N10">
        <v>2.3341000000000001E-2</v>
      </c>
      <c r="Q10">
        <v>1.3167310000000001</v>
      </c>
      <c r="R10">
        <v>1.239752</v>
      </c>
      <c r="S10">
        <v>1.4972829999999999</v>
      </c>
      <c r="T10">
        <v>1.991725</v>
      </c>
    </row>
    <row r="11" spans="1:21">
      <c r="A11" t="s">
        <v>808</v>
      </c>
      <c r="B11">
        <v>1</v>
      </c>
      <c r="C11">
        <v>12</v>
      </c>
      <c r="D11" s="2">
        <v>0.375</v>
      </c>
      <c r="E11">
        <v>12.5</v>
      </c>
      <c r="F11" s="2">
        <v>0.3756944444444445</v>
      </c>
      <c r="G11">
        <v>13</v>
      </c>
      <c r="H11" s="2">
        <v>0.37638888888888888</v>
      </c>
      <c r="K11">
        <v>9.3630000000000005E-2</v>
      </c>
      <c r="L11">
        <v>3.9618E-2</v>
      </c>
      <c r="M11">
        <v>3.4844E-2</v>
      </c>
      <c r="N11">
        <v>1.9831000000000001E-2</v>
      </c>
      <c r="Q11">
        <v>1.1825829999999999</v>
      </c>
      <c r="R11">
        <v>1.602749</v>
      </c>
      <c r="S11">
        <v>1.9442159999999999</v>
      </c>
      <c r="T11">
        <v>1.9869790000000001</v>
      </c>
    </row>
    <row r="12" spans="1:21">
      <c r="A12" t="s">
        <v>809</v>
      </c>
      <c r="B12">
        <v>1</v>
      </c>
      <c r="C12">
        <v>12</v>
      </c>
      <c r="D12" s="2">
        <v>0.37777777777777777</v>
      </c>
      <c r="E12">
        <v>12.5</v>
      </c>
      <c r="F12" s="2">
        <v>0.37847222222222227</v>
      </c>
      <c r="G12">
        <v>14</v>
      </c>
      <c r="H12" s="2">
        <v>0.37986111111111115</v>
      </c>
      <c r="K12">
        <v>4.3312999999999997E-2</v>
      </c>
      <c r="L12">
        <v>6.1062999999999999E-2</v>
      </c>
      <c r="M12">
        <v>2.5083999999999999E-2</v>
      </c>
      <c r="N12">
        <v>5.0863999999999999E-2</v>
      </c>
      <c r="Q12">
        <v>1.591817</v>
      </c>
      <c r="R12">
        <v>1.4026780000000001</v>
      </c>
      <c r="S12">
        <v>1.556057</v>
      </c>
      <c r="T12">
        <v>1.9353819999999999</v>
      </c>
    </row>
    <row r="14" spans="1:21">
      <c r="A14">
        <v>2.1</v>
      </c>
      <c r="B14">
        <v>2</v>
      </c>
      <c r="C14">
        <v>13.5</v>
      </c>
      <c r="D14" s="2">
        <v>0.46111111111111108</v>
      </c>
      <c r="E14">
        <v>13</v>
      </c>
      <c r="F14" s="2">
        <v>0.46180555555555558</v>
      </c>
      <c r="G14">
        <v>13</v>
      </c>
      <c r="H14" s="2">
        <v>0.46249999999999997</v>
      </c>
      <c r="K14">
        <v>5.9882999999999999E-2</v>
      </c>
      <c r="L14">
        <v>9.8743999999999998E-2</v>
      </c>
      <c r="M14">
        <v>0.107614</v>
      </c>
      <c r="N14">
        <v>0.122947</v>
      </c>
      <c r="Q14">
        <v>1.871421</v>
      </c>
      <c r="R14">
        <v>2.4627370000000002</v>
      </c>
      <c r="S14">
        <v>2.626261</v>
      </c>
      <c r="T14">
        <v>2.2306530000000002</v>
      </c>
    </row>
    <row r="15" spans="1:21">
      <c r="A15">
        <v>1.2</v>
      </c>
      <c r="B15">
        <v>2</v>
      </c>
      <c r="C15">
        <v>13</v>
      </c>
      <c r="D15" s="2">
        <v>0.46458333333333335</v>
      </c>
      <c r="E15">
        <v>12.2</v>
      </c>
      <c r="F15" s="2">
        <v>0.46527777777777773</v>
      </c>
      <c r="G15">
        <v>12.5</v>
      </c>
      <c r="H15" s="2">
        <v>0.46597222222222223</v>
      </c>
      <c r="K15">
        <v>0.130106</v>
      </c>
      <c r="L15">
        <v>7.7604999999999993E-2</v>
      </c>
      <c r="M15">
        <v>0.15897800000000001</v>
      </c>
      <c r="N15">
        <v>0.104532</v>
      </c>
      <c r="Q15">
        <v>2.4120879999999998</v>
      </c>
      <c r="R15">
        <v>3.115462</v>
      </c>
      <c r="S15">
        <v>2.628431</v>
      </c>
      <c r="T15">
        <v>3.018157</v>
      </c>
    </row>
    <row r="16" spans="1:21">
      <c r="A16">
        <v>1.1000000000000001</v>
      </c>
      <c r="B16">
        <v>2</v>
      </c>
      <c r="C16">
        <v>14.5</v>
      </c>
      <c r="D16" s="2">
        <v>0.47083333333333338</v>
      </c>
      <c r="E16">
        <v>13.5</v>
      </c>
      <c r="F16" s="2">
        <v>0.47152777777777777</v>
      </c>
      <c r="G16">
        <v>14.5</v>
      </c>
      <c r="H16" s="2">
        <v>0.47222222222222227</v>
      </c>
      <c r="K16">
        <v>0.13348199999999999</v>
      </c>
      <c r="L16">
        <v>8.6862999999999996E-2</v>
      </c>
      <c r="M16">
        <v>0.166717</v>
      </c>
      <c r="N16">
        <v>0.213033</v>
      </c>
      <c r="O16">
        <v>6.7995E-2</v>
      </c>
      <c r="Q16">
        <v>2.639421</v>
      </c>
      <c r="R16">
        <v>2.9635069999999999</v>
      </c>
      <c r="S16">
        <v>2.9030209999999999</v>
      </c>
      <c r="T16">
        <v>2.7840859999999998</v>
      </c>
      <c r="U16">
        <v>3.143084</v>
      </c>
    </row>
    <row r="17" spans="1:21">
      <c r="A17">
        <v>2.2000000000000002</v>
      </c>
      <c r="B17">
        <v>2</v>
      </c>
      <c r="C17">
        <v>14.8</v>
      </c>
      <c r="D17" s="2">
        <v>0.47361111111111115</v>
      </c>
      <c r="E17">
        <v>13.5</v>
      </c>
      <c r="F17" s="2">
        <v>0.47430555555555554</v>
      </c>
      <c r="G17">
        <v>14.5</v>
      </c>
      <c r="H17" s="2">
        <v>0.47500000000000003</v>
      </c>
      <c r="K17">
        <v>0.19805500000000001</v>
      </c>
      <c r="L17">
        <v>8.5754999999999998E-2</v>
      </c>
      <c r="M17">
        <v>0.219916</v>
      </c>
      <c r="N17">
        <v>0.14258100000000001</v>
      </c>
      <c r="Q17">
        <v>2.5170279999999998</v>
      </c>
      <c r="R17">
        <v>2.999098</v>
      </c>
      <c r="S17">
        <v>2.63184</v>
      </c>
      <c r="T17">
        <v>3.2988680000000001</v>
      </c>
    </row>
    <row r="18" spans="1:21">
      <c r="A18">
        <v>4.2</v>
      </c>
      <c r="B18">
        <v>2</v>
      </c>
      <c r="C18">
        <v>12</v>
      </c>
      <c r="D18" s="2">
        <v>0.4770833333333333</v>
      </c>
      <c r="E18">
        <v>12.5</v>
      </c>
      <c r="F18" s="2">
        <v>0.47847222222222219</v>
      </c>
      <c r="G18">
        <v>14.5</v>
      </c>
      <c r="H18" s="2">
        <v>0.47916666666666669</v>
      </c>
      <c r="K18">
        <v>0.191853</v>
      </c>
      <c r="L18">
        <v>0.208228</v>
      </c>
      <c r="M18">
        <v>5.7716999999999997E-2</v>
      </c>
      <c r="N18">
        <v>9.0418999999999999E-2</v>
      </c>
      <c r="Q18">
        <v>2.8714119999999999</v>
      </c>
      <c r="R18">
        <v>2.9303490000000001</v>
      </c>
      <c r="S18">
        <v>3.3129240000000002</v>
      </c>
      <c r="T18">
        <v>3.3848639999999999</v>
      </c>
    </row>
    <row r="19" spans="1:21">
      <c r="A19">
        <v>3.2</v>
      </c>
      <c r="B19">
        <v>2</v>
      </c>
      <c r="C19">
        <v>13</v>
      </c>
      <c r="D19" s="2">
        <v>0.48125000000000001</v>
      </c>
      <c r="E19">
        <v>13.5</v>
      </c>
      <c r="F19" s="2">
        <v>0.48194444444444445</v>
      </c>
      <c r="G19">
        <v>13.5</v>
      </c>
      <c r="H19" s="2">
        <v>0.4826388888888889</v>
      </c>
      <c r="K19">
        <v>5.1812999999999998E-2</v>
      </c>
      <c r="L19">
        <v>0.17929300000000001</v>
      </c>
      <c r="M19">
        <v>0.17754700000000001</v>
      </c>
      <c r="N19">
        <v>0.17194499999999999</v>
      </c>
      <c r="Q19">
        <v>3.934736</v>
      </c>
      <c r="R19">
        <v>2.5204490000000002</v>
      </c>
      <c r="S19">
        <v>2.9191389999999999</v>
      </c>
      <c r="T19">
        <v>2.6464989999999999</v>
      </c>
    </row>
    <row r="20" spans="1:21">
      <c r="A20">
        <v>3.1</v>
      </c>
      <c r="B20">
        <v>2</v>
      </c>
      <c r="C20">
        <v>16</v>
      </c>
      <c r="D20" s="2">
        <v>0.48680555555555555</v>
      </c>
      <c r="E20">
        <v>15</v>
      </c>
      <c r="F20" s="2">
        <v>0.48749999999999999</v>
      </c>
      <c r="G20">
        <v>16</v>
      </c>
      <c r="H20" s="2">
        <v>0.48819444444444443</v>
      </c>
      <c r="K20">
        <v>0.19444900000000001</v>
      </c>
      <c r="L20">
        <v>0.16255800000000001</v>
      </c>
      <c r="M20">
        <v>0.102741</v>
      </c>
      <c r="N20">
        <v>9.4866000000000006E-2</v>
      </c>
      <c r="Q20">
        <v>2.6407690000000001</v>
      </c>
      <c r="R20">
        <v>3.4050159999999998</v>
      </c>
      <c r="S20">
        <v>3.7415949999999998</v>
      </c>
      <c r="T20">
        <v>3.8893499999999999</v>
      </c>
    </row>
    <row r="21" spans="1:21">
      <c r="A21">
        <v>4.0999999999999996</v>
      </c>
      <c r="B21">
        <v>2</v>
      </c>
      <c r="C21">
        <v>14</v>
      </c>
      <c r="D21" s="2">
        <v>0.49027777777777781</v>
      </c>
      <c r="E21">
        <v>14.8</v>
      </c>
      <c r="F21" s="2">
        <v>0.4909722222222222</v>
      </c>
      <c r="G21">
        <v>15</v>
      </c>
      <c r="H21" s="2">
        <v>0.4916666666666667</v>
      </c>
      <c r="K21">
        <v>0.15797700000000001</v>
      </c>
      <c r="L21">
        <v>5.8889999999999998E-2</v>
      </c>
      <c r="M21">
        <v>0.200794</v>
      </c>
      <c r="N21">
        <v>0.181009</v>
      </c>
      <c r="Q21">
        <v>2.9123459999999999</v>
      </c>
      <c r="R21">
        <v>3.9142100000000002</v>
      </c>
      <c r="S21">
        <v>3.3808250000000002</v>
      </c>
      <c r="T21">
        <v>3.475422</v>
      </c>
    </row>
    <row r="22" spans="1:21">
      <c r="A22" t="s">
        <v>807</v>
      </c>
      <c r="B22">
        <v>2</v>
      </c>
      <c r="C22">
        <v>20</v>
      </c>
      <c r="D22" s="2">
        <v>0.49791666666666662</v>
      </c>
      <c r="E22">
        <v>20</v>
      </c>
      <c r="F22" s="2">
        <v>0.49861111111111112</v>
      </c>
      <c r="G22">
        <v>22</v>
      </c>
      <c r="H22" s="2">
        <v>0.5</v>
      </c>
      <c r="K22">
        <v>7.2788000000000005E-2</v>
      </c>
      <c r="L22">
        <v>4.8452000000000002E-2</v>
      </c>
      <c r="M22">
        <v>2.6912999999999999E-2</v>
      </c>
      <c r="N22">
        <v>4.3761000000000001E-2</v>
      </c>
      <c r="Q22">
        <v>4.9146710000000002</v>
      </c>
      <c r="R22">
        <v>4.8538699999999997</v>
      </c>
      <c r="S22">
        <v>5.0219800000000001</v>
      </c>
      <c r="T22">
        <v>5.1844840000000003</v>
      </c>
    </row>
    <row r="23" spans="1:21">
      <c r="A23" t="s">
        <v>808</v>
      </c>
      <c r="B23">
        <v>2</v>
      </c>
      <c r="C23">
        <v>21.8</v>
      </c>
      <c r="D23" s="2">
        <v>0.50069444444444444</v>
      </c>
      <c r="E23">
        <v>20</v>
      </c>
      <c r="F23" s="2">
        <v>0.50138888888888888</v>
      </c>
      <c r="G23">
        <v>20</v>
      </c>
      <c r="H23" s="2">
        <v>0.50208333333333333</v>
      </c>
      <c r="K23">
        <v>7.4607000000000007E-2</v>
      </c>
      <c r="L23">
        <v>5.8278999999999997E-2</v>
      </c>
      <c r="M23">
        <v>6.1867999999999999E-2</v>
      </c>
      <c r="N23">
        <v>4.4192000000000002E-2</v>
      </c>
      <c r="Q23">
        <v>4.2864430000000002</v>
      </c>
      <c r="R23">
        <v>4.9837959999999999</v>
      </c>
      <c r="S23">
        <v>4.3625509999999998</v>
      </c>
      <c r="T23">
        <v>5.0126619999999997</v>
      </c>
    </row>
    <row r="24" spans="1:21">
      <c r="A24" t="s">
        <v>809</v>
      </c>
      <c r="B24">
        <v>2</v>
      </c>
      <c r="C24">
        <v>22.3</v>
      </c>
      <c r="D24" s="2">
        <v>0.50347222222222221</v>
      </c>
      <c r="E24">
        <v>22</v>
      </c>
      <c r="F24" s="2">
        <v>0.50416666666666665</v>
      </c>
      <c r="G24">
        <v>24</v>
      </c>
      <c r="H24" s="2">
        <v>0.50555555555555554</v>
      </c>
      <c r="K24">
        <v>1.3717999999999999E-2</v>
      </c>
      <c r="L24">
        <v>7.3769999999999999E-3</v>
      </c>
      <c r="M24">
        <v>5.5596E-2</v>
      </c>
      <c r="N24">
        <v>3.7179999999999998E-2</v>
      </c>
      <c r="Q24">
        <v>5.5485129999999998</v>
      </c>
      <c r="R24">
        <v>5.1992960000000004</v>
      </c>
      <c r="S24">
        <v>5.0291110000000003</v>
      </c>
      <c r="T24">
        <v>5.6510740000000004</v>
      </c>
    </row>
    <row r="26" spans="1:21">
      <c r="A26">
        <v>2.1</v>
      </c>
      <c r="B26">
        <v>3</v>
      </c>
      <c r="C26">
        <v>17.5</v>
      </c>
      <c r="D26" s="2">
        <v>0.56874999999999998</v>
      </c>
      <c r="E26">
        <v>15</v>
      </c>
      <c r="F26" s="2">
        <v>0.56944444444444442</v>
      </c>
      <c r="G26">
        <v>16.5</v>
      </c>
      <c r="H26" s="2">
        <v>0.57013888888888886</v>
      </c>
      <c r="K26">
        <v>6.2861E-2</v>
      </c>
      <c r="L26">
        <v>0.130574</v>
      </c>
      <c r="M26">
        <v>8.1153000000000003E-2</v>
      </c>
      <c r="N26">
        <v>0.13542899999999999</v>
      </c>
      <c r="Q26">
        <v>4.524794</v>
      </c>
      <c r="R26">
        <v>3.7847170000000001</v>
      </c>
      <c r="S26">
        <v>4.908201</v>
      </c>
      <c r="T26">
        <v>3.2792140000000001</v>
      </c>
    </row>
    <row r="27" spans="1:21">
      <c r="A27">
        <v>1.2</v>
      </c>
      <c r="B27">
        <v>3</v>
      </c>
      <c r="C27">
        <v>17.5</v>
      </c>
      <c r="D27" s="2">
        <v>0.57222222222222219</v>
      </c>
      <c r="E27">
        <v>17.5</v>
      </c>
      <c r="F27" s="2">
        <v>0.57291666666666663</v>
      </c>
      <c r="G27">
        <v>19</v>
      </c>
      <c r="H27" s="2">
        <v>0.57361111111111118</v>
      </c>
      <c r="K27">
        <v>4.7098000000000001E-2</v>
      </c>
      <c r="L27">
        <v>3.4469E-2</v>
      </c>
      <c r="M27">
        <v>3.1725999999999997E-2</v>
      </c>
      <c r="N27">
        <v>6.2052000000000003E-2</v>
      </c>
      <c r="Q27">
        <v>4.5834210000000004</v>
      </c>
      <c r="R27">
        <v>5.3347550000000004</v>
      </c>
      <c r="S27">
        <v>3.7701220000000002</v>
      </c>
      <c r="T27">
        <v>3.7895270000000001</v>
      </c>
    </row>
    <row r="28" spans="1:21">
      <c r="A28">
        <v>1.1000000000000001</v>
      </c>
      <c r="B28">
        <v>3</v>
      </c>
      <c r="C28">
        <v>18</v>
      </c>
      <c r="D28" s="2">
        <v>0.57638888888888895</v>
      </c>
      <c r="E28">
        <v>18</v>
      </c>
      <c r="F28" s="2">
        <v>0.57777777777777783</v>
      </c>
      <c r="G28">
        <v>17.5</v>
      </c>
      <c r="H28" s="2">
        <v>0.57847222222222217</v>
      </c>
      <c r="K28">
        <v>3.3204999999999998E-2</v>
      </c>
      <c r="L28">
        <v>1.3913999999999999E-2</v>
      </c>
      <c r="M28">
        <v>1.5743E-2</v>
      </c>
      <c r="N28">
        <v>6.1316000000000002E-2</v>
      </c>
      <c r="Q28">
        <v>5.8757659999999996</v>
      </c>
      <c r="R28">
        <v>5.8910679999999997</v>
      </c>
      <c r="S28">
        <v>6.6245159999999998</v>
      </c>
      <c r="T28">
        <v>4.5347020000000002</v>
      </c>
    </row>
    <row r="29" spans="1:21">
      <c r="A29">
        <v>2.2000000000000002</v>
      </c>
      <c r="B29">
        <v>3</v>
      </c>
      <c r="C29">
        <v>20.5</v>
      </c>
      <c r="D29" s="2">
        <v>0.5805555555555556</v>
      </c>
      <c r="E29">
        <v>18.5</v>
      </c>
      <c r="F29" s="2">
        <v>0.58124999999999993</v>
      </c>
      <c r="G29">
        <v>19</v>
      </c>
      <c r="H29" s="2">
        <v>0.58194444444444449</v>
      </c>
      <c r="K29">
        <v>6.2432000000000001E-2</v>
      </c>
      <c r="L29">
        <v>0.15010999999999999</v>
      </c>
      <c r="M29">
        <v>0.143181</v>
      </c>
      <c r="N29">
        <v>7.6872999999999997E-2</v>
      </c>
      <c r="Q29">
        <v>5.3955549999999999</v>
      </c>
      <c r="R29">
        <v>4.6166330000000002</v>
      </c>
      <c r="S29">
        <v>3.69611</v>
      </c>
      <c r="T29">
        <v>5.3196560000000002</v>
      </c>
    </row>
    <row r="30" spans="1:21">
      <c r="A30">
        <v>4.2</v>
      </c>
      <c r="B30">
        <v>3</v>
      </c>
      <c r="C30">
        <v>18.5</v>
      </c>
      <c r="D30" s="2">
        <v>0.58402777777777781</v>
      </c>
      <c r="E30">
        <v>18.5</v>
      </c>
      <c r="F30" s="2">
        <v>0.58472222222222225</v>
      </c>
      <c r="G30">
        <v>21.5</v>
      </c>
      <c r="H30" s="2">
        <v>0.58611111111111114</v>
      </c>
      <c r="K30">
        <v>4.4288000000000001E-2</v>
      </c>
      <c r="L30">
        <v>0.20768500000000001</v>
      </c>
      <c r="M30">
        <v>2.8856E-2</v>
      </c>
      <c r="N30">
        <v>0.19191</v>
      </c>
      <c r="O30">
        <v>8.1081E-2</v>
      </c>
      <c r="Q30">
        <v>4.9857950000000004</v>
      </c>
      <c r="R30">
        <v>3.4022950000000001</v>
      </c>
      <c r="S30">
        <v>5.1429729999999996</v>
      </c>
      <c r="T30">
        <v>4.4970800000000004</v>
      </c>
      <c r="U30">
        <v>5.2416049999999998</v>
      </c>
    </row>
    <row r="31" spans="1:21">
      <c r="A31">
        <v>3.2</v>
      </c>
      <c r="B31">
        <v>3</v>
      </c>
      <c r="C31">
        <v>17.2</v>
      </c>
      <c r="D31" s="2">
        <v>0.58819444444444446</v>
      </c>
      <c r="E31">
        <v>17</v>
      </c>
      <c r="F31" s="2">
        <v>0.58888888888888891</v>
      </c>
      <c r="G31">
        <v>16.2</v>
      </c>
      <c r="H31" s="2">
        <v>0.59027777777777779</v>
      </c>
      <c r="K31">
        <v>4.4755999999999997E-2</v>
      </c>
      <c r="L31">
        <v>0.120713</v>
      </c>
      <c r="M31">
        <v>0.17655799999999999</v>
      </c>
      <c r="N31">
        <v>0.147643</v>
      </c>
      <c r="Q31">
        <v>6.2301760000000002</v>
      </c>
      <c r="R31">
        <v>4.580667</v>
      </c>
      <c r="S31">
        <v>3.974745</v>
      </c>
      <c r="T31">
        <v>4.5698489999999996</v>
      </c>
    </row>
    <row r="32" spans="1:21">
      <c r="A32">
        <v>3.1</v>
      </c>
      <c r="B32">
        <v>3</v>
      </c>
      <c r="C32">
        <v>19</v>
      </c>
      <c r="D32" s="2">
        <v>0.59375</v>
      </c>
      <c r="E32">
        <v>20</v>
      </c>
      <c r="F32" s="2">
        <v>0.51111111111111118</v>
      </c>
      <c r="G32">
        <v>19</v>
      </c>
      <c r="H32" s="2">
        <v>0.59513888888888888</v>
      </c>
      <c r="K32">
        <v>0.10542700000000001</v>
      </c>
      <c r="L32">
        <v>0.11340500000000001</v>
      </c>
      <c r="M32">
        <v>0.140429</v>
      </c>
      <c r="N32">
        <v>6.2969999999999998E-2</v>
      </c>
      <c r="O32">
        <v>6.4156000000000005E-2</v>
      </c>
      <c r="Q32">
        <v>4.7005150000000002</v>
      </c>
      <c r="R32">
        <v>5.597683</v>
      </c>
      <c r="S32">
        <v>4.3801639999999997</v>
      </c>
      <c r="T32">
        <v>6.0965540000000003</v>
      </c>
      <c r="U32">
        <v>5.8884889999999999</v>
      </c>
    </row>
    <row r="33" spans="1:21">
      <c r="A33">
        <v>4.0999999999999996</v>
      </c>
      <c r="B33">
        <v>3</v>
      </c>
      <c r="C33">
        <v>19.5</v>
      </c>
      <c r="D33" s="2">
        <v>0.59791666666666665</v>
      </c>
      <c r="E33">
        <v>18</v>
      </c>
      <c r="F33" s="2">
        <v>0.51527777777777783</v>
      </c>
      <c r="G33">
        <v>19</v>
      </c>
      <c r="H33" s="2">
        <v>0.59930555555555554</v>
      </c>
      <c r="K33">
        <v>6.4417000000000002E-2</v>
      </c>
      <c r="L33">
        <v>0.16609299999999999</v>
      </c>
      <c r="M33">
        <v>0.150001</v>
      </c>
      <c r="N33">
        <v>9.3419000000000002E-2</v>
      </c>
      <c r="Q33">
        <v>5.5515600000000003</v>
      </c>
      <c r="R33">
        <v>4.7321160000000004</v>
      </c>
      <c r="S33">
        <v>4.2870359999999996</v>
      </c>
      <c r="T33">
        <v>4.8001950000000004</v>
      </c>
    </row>
    <row r="34" spans="1:21">
      <c r="A34" t="s">
        <v>807</v>
      </c>
      <c r="B34">
        <v>3</v>
      </c>
      <c r="C34">
        <v>19.5</v>
      </c>
      <c r="D34" s="2">
        <v>0.60486111111111118</v>
      </c>
      <c r="E34">
        <v>19</v>
      </c>
      <c r="F34" s="2">
        <v>0.60555555555555551</v>
      </c>
      <c r="G34">
        <v>19</v>
      </c>
      <c r="H34" s="2">
        <v>0.6069444444444444</v>
      </c>
      <c r="K34">
        <v>3.9680000000000002E-3</v>
      </c>
      <c r="L34">
        <v>7.5435000000000002E-2</v>
      </c>
      <c r="M34">
        <v>1.2997E-2</v>
      </c>
      <c r="N34">
        <v>2.5819999999999999E-2</v>
      </c>
      <c r="Q34">
        <v>7.4580950000000001</v>
      </c>
      <c r="R34">
        <v>6.0607340000000001</v>
      </c>
      <c r="S34">
        <v>7.0963560000000001</v>
      </c>
      <c r="T34">
        <v>7.1952689999999997</v>
      </c>
    </row>
    <row r="35" spans="1:21">
      <c r="A35" t="s">
        <v>808</v>
      </c>
      <c r="B35">
        <v>3</v>
      </c>
      <c r="C35">
        <v>16</v>
      </c>
      <c r="D35" s="2">
        <v>0.60763888888888895</v>
      </c>
      <c r="E35">
        <v>18.2</v>
      </c>
      <c r="F35" s="2">
        <v>0.60902777777777783</v>
      </c>
      <c r="G35">
        <v>18.5</v>
      </c>
      <c r="H35" s="2">
        <v>0.60972222222222217</v>
      </c>
      <c r="K35">
        <v>4.4926000000000001E-2</v>
      </c>
      <c r="L35">
        <v>3.0714000000000002E-2</v>
      </c>
      <c r="M35">
        <v>6.2881000000000006E-2</v>
      </c>
      <c r="N35">
        <v>5.0458000000000003E-2</v>
      </c>
      <c r="Q35">
        <v>5.9558710000000001</v>
      </c>
      <c r="R35">
        <v>7.4515209999999996</v>
      </c>
      <c r="S35">
        <v>6.9999349999999998</v>
      </c>
      <c r="T35">
        <v>4.9689360000000002</v>
      </c>
    </row>
    <row r="36" spans="1:21">
      <c r="A36" t="s">
        <v>809</v>
      </c>
      <c r="B36">
        <v>3</v>
      </c>
      <c r="C36">
        <v>17.5</v>
      </c>
      <c r="D36" s="2">
        <v>0.61041666666666672</v>
      </c>
      <c r="E36">
        <v>17</v>
      </c>
      <c r="F36" s="2">
        <v>0.61111111111111105</v>
      </c>
      <c r="G36">
        <v>17.5</v>
      </c>
      <c r="H36" s="2">
        <v>0.6118055555555556</v>
      </c>
      <c r="K36">
        <v>4.3550999999999999E-2</v>
      </c>
      <c r="L36">
        <v>7.3178000000000007E-2</v>
      </c>
      <c r="M36">
        <v>8.4336999999999995E-2</v>
      </c>
      <c r="N36">
        <v>9.7549999999999998E-3</v>
      </c>
      <c r="Q36">
        <v>6.9746740000000003</v>
      </c>
      <c r="R36">
        <v>6.2454710000000002</v>
      </c>
      <c r="S36">
        <v>6.7162119999999996</v>
      </c>
      <c r="T36">
        <v>6.7097850000000001</v>
      </c>
    </row>
    <row r="38" spans="1:21">
      <c r="A38">
        <v>2.1</v>
      </c>
      <c r="B38">
        <v>4</v>
      </c>
      <c r="C38">
        <v>21.5</v>
      </c>
      <c r="D38" s="2">
        <v>0.73333333333333339</v>
      </c>
      <c r="E38">
        <v>23</v>
      </c>
      <c r="F38" s="2">
        <v>0.73402777777777783</v>
      </c>
      <c r="G38">
        <v>22.5</v>
      </c>
      <c r="H38" s="2">
        <v>0.73541666666666661</v>
      </c>
      <c r="K38">
        <v>2.7089999999999999E-2</v>
      </c>
      <c r="L38">
        <v>1.6636999999999999E-2</v>
      </c>
      <c r="M38">
        <v>1.261E-2</v>
      </c>
      <c r="N38">
        <v>1.7791000000000001E-2</v>
      </c>
      <c r="Q38">
        <v>5.473001</v>
      </c>
      <c r="R38">
        <v>5.4361009999999998</v>
      </c>
      <c r="S38">
        <v>6.0173579999999998</v>
      </c>
      <c r="T38">
        <v>6.760383</v>
      </c>
    </row>
    <row r="39" spans="1:21">
      <c r="A39">
        <v>1.2</v>
      </c>
      <c r="B39">
        <v>4</v>
      </c>
      <c r="C39">
        <v>22</v>
      </c>
      <c r="D39" s="2">
        <v>0.73749999999999993</v>
      </c>
      <c r="E39">
        <v>21</v>
      </c>
      <c r="F39" s="2">
        <v>0.73819444444444438</v>
      </c>
      <c r="G39">
        <v>22.5</v>
      </c>
      <c r="H39" s="2">
        <v>0.73958333333333337</v>
      </c>
      <c r="K39">
        <v>8.2054000000000002E-2</v>
      </c>
      <c r="L39">
        <v>7.5649999999999997E-3</v>
      </c>
      <c r="M39">
        <v>8.3699999999999996E-4</v>
      </c>
      <c r="N39">
        <v>8.4080000000000005E-3</v>
      </c>
      <c r="Q39">
        <v>4.472645</v>
      </c>
      <c r="R39">
        <v>5.9440929999999996</v>
      </c>
      <c r="S39">
        <v>5.6310979999999997</v>
      </c>
      <c r="T39">
        <v>4.9518810000000002</v>
      </c>
    </row>
    <row r="40" spans="1:21">
      <c r="A40">
        <v>1.1000000000000001</v>
      </c>
      <c r="B40">
        <v>4</v>
      </c>
      <c r="C40">
        <v>20</v>
      </c>
      <c r="D40" s="2">
        <v>0.74375000000000002</v>
      </c>
      <c r="E40">
        <v>19.5</v>
      </c>
      <c r="F40" s="2">
        <v>0.74444444444444446</v>
      </c>
      <c r="G40">
        <v>19</v>
      </c>
      <c r="H40" s="2">
        <v>0.74513888888888891</v>
      </c>
      <c r="K40">
        <v>3.6806999999999999E-2</v>
      </c>
      <c r="L40">
        <v>1.7895000000000001E-2</v>
      </c>
      <c r="M40">
        <v>9.3951000000000007E-2</v>
      </c>
      <c r="N40">
        <v>2.5080999999999999E-2</v>
      </c>
      <c r="O40">
        <v>2.9357999999999999E-2</v>
      </c>
      <c r="Q40">
        <v>4.7681019999999998</v>
      </c>
      <c r="R40">
        <v>4.1701059999999996</v>
      </c>
      <c r="S40">
        <v>4.3873139999999999</v>
      </c>
      <c r="T40">
        <v>4.0934900000000001</v>
      </c>
      <c r="U40">
        <v>4.1064860000000003</v>
      </c>
    </row>
    <row r="41" spans="1:21">
      <c r="A41">
        <v>2.2000000000000002</v>
      </c>
      <c r="B41">
        <v>4</v>
      </c>
      <c r="C41">
        <v>20</v>
      </c>
      <c r="D41" s="2">
        <v>0.74722222222222223</v>
      </c>
      <c r="E41">
        <v>21</v>
      </c>
      <c r="F41" s="2">
        <v>0.74791666666666667</v>
      </c>
      <c r="G41">
        <v>19.5</v>
      </c>
      <c r="H41" s="2">
        <v>0.74861111111111101</v>
      </c>
      <c r="K41">
        <v>7.5291999999999998E-2</v>
      </c>
      <c r="L41">
        <v>4.7058000000000003E-2</v>
      </c>
      <c r="M41">
        <v>3.0471000000000002E-2</v>
      </c>
      <c r="N41">
        <v>7.2385000000000005E-2</v>
      </c>
      <c r="Q41">
        <v>4.5175099999999997</v>
      </c>
      <c r="R41">
        <v>6.0065920000000004</v>
      </c>
      <c r="S41">
        <v>4.3377509999999999</v>
      </c>
      <c r="T41">
        <v>4.430974</v>
      </c>
    </row>
    <row r="42" spans="1:21">
      <c r="A42">
        <v>4.2</v>
      </c>
      <c r="B42">
        <v>4</v>
      </c>
      <c r="C42">
        <v>20</v>
      </c>
      <c r="D42" s="2">
        <v>0.75208333333333333</v>
      </c>
      <c r="E42">
        <v>20</v>
      </c>
      <c r="F42" s="2">
        <v>0.75277777777777777</v>
      </c>
      <c r="G42">
        <v>23</v>
      </c>
      <c r="H42" s="2">
        <v>0.75347222222222221</v>
      </c>
      <c r="K42">
        <v>1.5107000000000001E-2</v>
      </c>
      <c r="L42">
        <v>7.7340000000000006E-2</v>
      </c>
      <c r="M42">
        <v>9.8499999999999994E-3</v>
      </c>
      <c r="N42">
        <v>6.9071999999999995E-2</v>
      </c>
      <c r="O42">
        <v>7.4755000000000002E-2</v>
      </c>
      <c r="Q42">
        <v>4.1691630000000002</v>
      </c>
      <c r="R42">
        <v>4.8239989999999997</v>
      </c>
      <c r="S42">
        <v>4.9998379999999996</v>
      </c>
      <c r="T42">
        <v>3.9537040000000001</v>
      </c>
      <c r="U42">
        <v>5.000013</v>
      </c>
    </row>
    <row r="43" spans="1:21">
      <c r="A43">
        <v>3.2</v>
      </c>
      <c r="B43">
        <v>4</v>
      </c>
      <c r="C43">
        <v>19.5</v>
      </c>
      <c r="D43" s="2">
        <v>0.75624999999999998</v>
      </c>
      <c r="E43">
        <v>21</v>
      </c>
      <c r="F43" s="2">
        <v>0.75763888888888886</v>
      </c>
      <c r="G43">
        <v>23.5</v>
      </c>
      <c r="H43" s="2">
        <v>0.7583333333333333</v>
      </c>
      <c r="K43">
        <v>1.2015E-2</v>
      </c>
      <c r="L43">
        <v>4.0390000000000002E-2</v>
      </c>
      <c r="M43">
        <v>3.0391000000000001E-2</v>
      </c>
      <c r="N43">
        <v>4.3027999999999997E-2</v>
      </c>
      <c r="Q43">
        <v>3.9786709999999998</v>
      </c>
      <c r="R43">
        <v>4.112501</v>
      </c>
      <c r="S43">
        <v>4.1168480000000001</v>
      </c>
      <c r="T43">
        <v>4.0930429999999998</v>
      </c>
    </row>
    <row r="44" spans="1:21">
      <c r="A44">
        <v>3.1</v>
      </c>
      <c r="B44">
        <v>4</v>
      </c>
      <c r="C44">
        <v>21.5</v>
      </c>
      <c r="D44" s="2">
        <v>0.76250000000000007</v>
      </c>
      <c r="E44">
        <v>25</v>
      </c>
      <c r="F44" s="2">
        <v>0.76388888888888884</v>
      </c>
      <c r="G44">
        <v>23.5</v>
      </c>
      <c r="H44" s="2">
        <v>0.76458333333333339</v>
      </c>
      <c r="K44">
        <v>1.2749E-2</v>
      </c>
      <c r="L44">
        <v>2.9173999999999999E-2</v>
      </c>
      <c r="M44">
        <v>7.9631999999999994E-2</v>
      </c>
      <c r="N44">
        <v>5.5619000000000002E-2</v>
      </c>
      <c r="Q44">
        <v>3.9595989999999999</v>
      </c>
      <c r="R44">
        <v>3.840049</v>
      </c>
      <c r="S44">
        <v>4.4548579999999998</v>
      </c>
      <c r="T44">
        <v>3.9653269999999998</v>
      </c>
    </row>
    <row r="45" spans="1:21">
      <c r="A45">
        <v>4.0999999999999996</v>
      </c>
      <c r="B45">
        <v>4</v>
      </c>
      <c r="C45">
        <v>20</v>
      </c>
      <c r="D45" s="2">
        <v>0.76666666666666661</v>
      </c>
      <c r="E45">
        <v>21.5</v>
      </c>
      <c r="F45" s="2">
        <v>0.76736111111111116</v>
      </c>
      <c r="G45">
        <v>21.5</v>
      </c>
      <c r="H45" s="2">
        <v>0.76874999999999993</v>
      </c>
      <c r="K45">
        <v>1.8086999999999999E-2</v>
      </c>
      <c r="L45">
        <v>2.4421999999999999E-2</v>
      </c>
      <c r="M45">
        <v>4.6829999999999997E-2</v>
      </c>
      <c r="N45">
        <v>2.266E-2</v>
      </c>
      <c r="Q45">
        <v>3.545893</v>
      </c>
      <c r="R45">
        <v>4.8304460000000002</v>
      </c>
      <c r="S45">
        <v>4.0116959999999997</v>
      </c>
      <c r="T45">
        <v>3.689975</v>
      </c>
    </row>
    <row r="46" spans="1:21">
      <c r="A46" t="s">
        <v>807</v>
      </c>
      <c r="B46">
        <v>4</v>
      </c>
      <c r="C46">
        <v>22.5</v>
      </c>
      <c r="D46" s="2">
        <v>0.77569444444444446</v>
      </c>
      <c r="E46">
        <v>24.5</v>
      </c>
      <c r="F46" s="2">
        <v>0.77708333333333324</v>
      </c>
      <c r="G46">
        <v>24.5</v>
      </c>
      <c r="H46" s="2">
        <v>0.77777777777777779</v>
      </c>
      <c r="K46">
        <v>2.8136000000000001E-2</v>
      </c>
      <c r="L46">
        <v>3.9718000000000003E-2</v>
      </c>
      <c r="M46">
        <v>5.4900000000000001E-4</v>
      </c>
      <c r="N46">
        <v>1.3446E-2</v>
      </c>
      <c r="O46">
        <v>8.1601999999999994E-2</v>
      </c>
      <c r="Q46">
        <v>3.4617879999999999</v>
      </c>
      <c r="R46">
        <v>4.1301310000000004</v>
      </c>
      <c r="S46">
        <v>4.7797559999999999</v>
      </c>
      <c r="T46">
        <v>3.4997660000000002</v>
      </c>
      <c r="U46">
        <v>3.089391</v>
      </c>
    </row>
    <row r="47" spans="1:21">
      <c r="A47" t="s">
        <v>808</v>
      </c>
      <c r="B47">
        <v>4</v>
      </c>
      <c r="C47">
        <v>27</v>
      </c>
      <c r="D47" s="2">
        <v>0.77916666666666667</v>
      </c>
      <c r="E47">
        <v>26.5</v>
      </c>
      <c r="F47" s="2">
        <v>0.77986111111111101</v>
      </c>
      <c r="G47">
        <v>23</v>
      </c>
      <c r="H47" s="2">
        <v>0.78194444444444444</v>
      </c>
      <c r="K47">
        <v>4.6760999999999997E-2</v>
      </c>
      <c r="L47">
        <v>8.3540000000000003E-3</v>
      </c>
      <c r="M47">
        <v>1.5443E-2</v>
      </c>
      <c r="N47">
        <v>6.7390000000000002E-3</v>
      </c>
      <c r="O47">
        <v>2.0163E-2</v>
      </c>
      <c r="Q47">
        <v>3.2633350000000001</v>
      </c>
      <c r="R47">
        <v>3.4775309999999999</v>
      </c>
      <c r="S47">
        <v>3.6249859999999998</v>
      </c>
      <c r="T47">
        <v>3.8328000000000002</v>
      </c>
      <c r="U47">
        <v>3.3231630000000001</v>
      </c>
    </row>
    <row r="48" spans="1:21">
      <c r="A48" t="s">
        <v>809</v>
      </c>
      <c r="B48">
        <v>4</v>
      </c>
      <c r="C48">
        <v>24</v>
      </c>
      <c r="D48" s="2">
        <v>0.78263888888888899</v>
      </c>
      <c r="E48">
        <v>22</v>
      </c>
      <c r="F48" s="2">
        <v>0.78402777777777777</v>
      </c>
      <c r="G48">
        <v>23.5</v>
      </c>
      <c r="H48" s="2">
        <v>0.78472222222222221</v>
      </c>
      <c r="K48">
        <v>7.6959E-2</v>
      </c>
      <c r="L48">
        <v>5.6446000000000003E-2</v>
      </c>
      <c r="M48">
        <v>4.1015000000000003E-2</v>
      </c>
      <c r="N48">
        <v>3.1393999999999998E-2</v>
      </c>
      <c r="Q48">
        <v>3.6147830000000001</v>
      </c>
      <c r="R48">
        <v>3.4617450000000001</v>
      </c>
      <c r="S48">
        <v>3.4946640000000002</v>
      </c>
      <c r="T48">
        <v>4.0770650000000002</v>
      </c>
    </row>
    <row r="50" spans="1:21">
      <c r="A50">
        <v>2.1</v>
      </c>
      <c r="B50">
        <v>5</v>
      </c>
      <c r="C50">
        <v>22</v>
      </c>
      <c r="D50" s="2">
        <v>0.81874999999999998</v>
      </c>
      <c r="E50">
        <v>22</v>
      </c>
      <c r="F50" s="2">
        <v>0.82013888888888886</v>
      </c>
      <c r="G50">
        <v>21.5</v>
      </c>
      <c r="H50" s="2">
        <v>0.8208333333333333</v>
      </c>
      <c r="K50">
        <v>8.9460000000000008E-3</v>
      </c>
      <c r="L50">
        <v>2.1881999999999999E-2</v>
      </c>
      <c r="M50">
        <v>1.3405E-2</v>
      </c>
      <c r="N50">
        <v>5.8668999999999999E-2</v>
      </c>
      <c r="O50">
        <v>7.0762000000000005E-2</v>
      </c>
      <c r="Q50">
        <v>2.993099</v>
      </c>
      <c r="R50">
        <v>2.8864779999999999</v>
      </c>
      <c r="S50">
        <v>3.2213609999999999</v>
      </c>
      <c r="T50">
        <v>2.916858</v>
      </c>
      <c r="U50">
        <v>3.1447780000000001</v>
      </c>
    </row>
    <row r="51" spans="1:21">
      <c r="A51">
        <v>1.2</v>
      </c>
      <c r="B51">
        <v>5</v>
      </c>
      <c r="C51">
        <v>21.5</v>
      </c>
      <c r="D51" s="2">
        <v>0.82291666666666663</v>
      </c>
      <c r="E51">
        <v>21</v>
      </c>
      <c r="F51" s="2">
        <v>0.82430555555555562</v>
      </c>
      <c r="G51">
        <v>22</v>
      </c>
      <c r="H51" s="2">
        <v>0.82500000000000007</v>
      </c>
      <c r="K51">
        <v>1.0318000000000001E-2</v>
      </c>
      <c r="L51">
        <v>5.3648000000000001E-2</v>
      </c>
      <c r="M51">
        <v>1.5890999999999999E-2</v>
      </c>
      <c r="N51">
        <v>4.9250000000000002E-2</v>
      </c>
      <c r="O51">
        <v>2.7560000000000001E-2</v>
      </c>
      <c r="Q51">
        <v>2.8031480000000002</v>
      </c>
      <c r="R51">
        <v>3.0617459999999999</v>
      </c>
      <c r="S51">
        <v>2.8598970000000001</v>
      </c>
      <c r="T51">
        <v>2.7628499999999998</v>
      </c>
      <c r="U51">
        <v>2.7805979999999999</v>
      </c>
    </row>
    <row r="52" spans="1:21">
      <c r="A52">
        <v>1.1000000000000001</v>
      </c>
      <c r="B52">
        <v>5</v>
      </c>
      <c r="C52">
        <v>20</v>
      </c>
      <c r="D52" s="2">
        <v>0.82847222222222217</v>
      </c>
      <c r="E52">
        <v>20.5</v>
      </c>
      <c r="F52" s="2">
        <v>0.82916666666666661</v>
      </c>
      <c r="G52">
        <v>17.5</v>
      </c>
      <c r="H52" s="2">
        <v>0.8305555555555556</v>
      </c>
      <c r="K52">
        <v>8.5958999999999994E-2</v>
      </c>
      <c r="L52">
        <v>9.6819999999999996E-3</v>
      </c>
      <c r="M52">
        <v>8.5012000000000004E-2</v>
      </c>
      <c r="N52">
        <v>9.7330000000000003E-3</v>
      </c>
      <c r="Q52">
        <v>2.33894</v>
      </c>
      <c r="R52">
        <v>2.5101800000000001</v>
      </c>
      <c r="S52">
        <v>2.478815</v>
      </c>
      <c r="T52">
        <v>2.5669970000000002</v>
      </c>
    </row>
    <row r="53" spans="1:21">
      <c r="A53">
        <v>2.2000000000000002</v>
      </c>
      <c r="B53">
        <v>5</v>
      </c>
      <c r="C53">
        <v>18</v>
      </c>
      <c r="D53" s="2">
        <v>0.83680555555555547</v>
      </c>
      <c r="E53">
        <v>17</v>
      </c>
      <c r="F53" s="2">
        <v>0.83750000000000002</v>
      </c>
      <c r="G53">
        <v>19</v>
      </c>
      <c r="H53" s="2">
        <v>0.83819444444444446</v>
      </c>
      <c r="K53">
        <v>1.5271E-2</v>
      </c>
      <c r="L53">
        <v>4.471E-2</v>
      </c>
      <c r="M53">
        <v>1.8411E-2</v>
      </c>
      <c r="N53">
        <v>4.2219E-2</v>
      </c>
      <c r="Q53">
        <v>2.5098509999999998</v>
      </c>
      <c r="R53">
        <v>2.4654319999999998</v>
      </c>
      <c r="S53">
        <v>2.4336220000000002</v>
      </c>
      <c r="T53">
        <v>2.3645010000000002</v>
      </c>
    </row>
    <row r="54" spans="1:21">
      <c r="A54">
        <v>4.2</v>
      </c>
      <c r="B54">
        <v>5</v>
      </c>
      <c r="E54">
        <v>18.5</v>
      </c>
      <c r="F54" s="2">
        <v>0.83888888888888891</v>
      </c>
      <c r="G54">
        <v>18.5</v>
      </c>
      <c r="H54" s="2">
        <v>0.8354166666666667</v>
      </c>
      <c r="K54">
        <v>2.1544000000000001E-2</v>
      </c>
      <c r="L54">
        <v>1.6584999999999999E-2</v>
      </c>
      <c r="M54">
        <v>2.9092E-2</v>
      </c>
      <c r="N54">
        <v>2.5498E-2</v>
      </c>
      <c r="Q54">
        <v>2.5141420000000001</v>
      </c>
      <c r="R54">
        <v>2.4691369999999999</v>
      </c>
      <c r="S54">
        <v>2.4596819999999999</v>
      </c>
      <c r="T54">
        <v>2.477087</v>
      </c>
    </row>
    <row r="55" spans="1:21">
      <c r="A55">
        <v>3.2</v>
      </c>
      <c r="B55">
        <v>5</v>
      </c>
      <c r="C55">
        <v>20</v>
      </c>
      <c r="D55" s="2">
        <v>0.83958333333333324</v>
      </c>
      <c r="E55">
        <v>19</v>
      </c>
      <c r="F55" s="2">
        <v>0.84027777777777779</v>
      </c>
      <c r="G55">
        <v>20</v>
      </c>
      <c r="H55" s="2">
        <v>0.84097222222222223</v>
      </c>
      <c r="K55">
        <v>5.4029999999999998E-3</v>
      </c>
      <c r="L55">
        <v>8.5210000000000008E-3</v>
      </c>
      <c r="M55">
        <v>2.1276E-2</v>
      </c>
      <c r="N55">
        <v>3.9953000000000002E-2</v>
      </c>
      <c r="Q55">
        <v>2.4789970000000001</v>
      </c>
      <c r="R55">
        <v>2.4641670000000002</v>
      </c>
      <c r="S55">
        <v>2.4257369999999998</v>
      </c>
      <c r="T55">
        <v>2.5749689999999998</v>
      </c>
    </row>
    <row r="56" spans="1:21">
      <c r="A56">
        <v>3.1</v>
      </c>
      <c r="B56">
        <v>5</v>
      </c>
      <c r="C56">
        <v>18.5</v>
      </c>
      <c r="D56" s="2">
        <v>0.85</v>
      </c>
      <c r="E56">
        <v>20</v>
      </c>
      <c r="F56" s="2">
        <v>0.85138888888888886</v>
      </c>
      <c r="G56">
        <v>19.5</v>
      </c>
      <c r="H56" s="2">
        <v>0.8520833333333333</v>
      </c>
      <c r="K56">
        <v>2.1059999999999999E-2</v>
      </c>
      <c r="L56">
        <v>8.9589999999999999E-3</v>
      </c>
      <c r="M56">
        <v>1.8748000000000001E-2</v>
      </c>
      <c r="N56">
        <v>1.5685999999999999E-2</v>
      </c>
      <c r="O56">
        <v>3.5357E-2</v>
      </c>
      <c r="Q56">
        <v>2.4654790000000002</v>
      </c>
      <c r="R56">
        <v>2.4302199999999998</v>
      </c>
      <c r="S56">
        <v>2.4630320000000001</v>
      </c>
      <c r="T56">
        <v>2.466793</v>
      </c>
      <c r="U56">
        <v>2.3284449999999999</v>
      </c>
    </row>
    <row r="57" spans="1:21">
      <c r="A57">
        <v>4.0999999999999996</v>
      </c>
      <c r="B57">
        <v>5</v>
      </c>
      <c r="C57">
        <v>20</v>
      </c>
      <c r="D57" s="2">
        <v>0.84652777777777777</v>
      </c>
      <c r="E57">
        <v>20</v>
      </c>
      <c r="F57" s="2">
        <v>0.84722222222222221</v>
      </c>
      <c r="G57">
        <v>20</v>
      </c>
      <c r="H57" s="2">
        <v>0.84791666666666676</v>
      </c>
      <c r="K57">
        <v>1.2933E-2</v>
      </c>
      <c r="L57">
        <v>1.2836999999999999E-2</v>
      </c>
      <c r="M57">
        <v>-6.4099999999999997E-4</v>
      </c>
      <c r="N57">
        <v>2.43E-4</v>
      </c>
      <c r="Q57">
        <v>2.229492</v>
      </c>
      <c r="R57">
        <v>2.3808889999999998</v>
      </c>
      <c r="S57">
        <v>2.3142450000000001</v>
      </c>
      <c r="T57">
        <v>2.372182</v>
      </c>
    </row>
    <row r="58" spans="1:21">
      <c r="A58" t="s">
        <v>807</v>
      </c>
      <c r="B58">
        <v>5</v>
      </c>
      <c r="C58">
        <v>21</v>
      </c>
      <c r="D58" s="2">
        <v>0.8569444444444444</v>
      </c>
      <c r="E58">
        <v>22</v>
      </c>
      <c r="F58" s="2">
        <v>0.85833333333333339</v>
      </c>
      <c r="G58">
        <v>21</v>
      </c>
      <c r="H58" s="2">
        <v>0.85902777777777783</v>
      </c>
      <c r="K58">
        <v>2.1320000000000002E-3</v>
      </c>
      <c r="L58">
        <v>1.0205000000000001E-2</v>
      </c>
      <c r="M58">
        <v>4.7489999999999997E-3</v>
      </c>
      <c r="N58">
        <v>1.1180000000000001E-3</v>
      </c>
      <c r="Q58">
        <v>2.425332</v>
      </c>
      <c r="R58">
        <v>2.479409</v>
      </c>
      <c r="S58">
        <v>2.307884</v>
      </c>
      <c r="T58">
        <v>2.4013779999999998</v>
      </c>
    </row>
    <row r="59" spans="1:21">
      <c r="A59" t="s">
        <v>808</v>
      </c>
      <c r="B59">
        <v>5</v>
      </c>
    </row>
    <row r="60" spans="1:21">
      <c r="A60" t="s">
        <v>809</v>
      </c>
      <c r="B60">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79"/>
  <sheetViews>
    <sheetView workbookViewId="0">
      <pane ySplit="1" topLeftCell="A101" activePane="bottomLeft" state="frozen"/>
      <selection pane="bottomLeft" activeCell="L200" sqref="L200"/>
    </sheetView>
  </sheetViews>
  <sheetFormatPr defaultColWidth="11.42578125" defaultRowHeight="15"/>
  <cols>
    <col min="1" max="1" width="18.42578125" customWidth="1"/>
    <col min="2" max="2" width="20.28515625" bestFit="1" customWidth="1"/>
    <col min="3" max="10" width="16.140625" bestFit="1" customWidth="1"/>
    <col min="12" max="12" width="11.85546875" bestFit="1" customWidth="1"/>
  </cols>
  <sheetData>
    <row r="1" spans="1:10">
      <c r="A1" t="s">
        <v>477</v>
      </c>
      <c r="B1" t="s">
        <v>478</v>
      </c>
      <c r="C1" t="s">
        <v>479</v>
      </c>
      <c r="D1" t="s">
        <v>480</v>
      </c>
      <c r="E1" t="s">
        <v>481</v>
      </c>
      <c r="F1" t="s">
        <v>482</v>
      </c>
      <c r="G1" t="s">
        <v>483</v>
      </c>
      <c r="H1" t="s">
        <v>484</v>
      </c>
      <c r="I1" t="s">
        <v>485</v>
      </c>
      <c r="J1" t="s">
        <v>486</v>
      </c>
    </row>
    <row r="2" spans="1:10">
      <c r="A2" s="10">
        <v>45149</v>
      </c>
      <c r="B2">
        <v>-21</v>
      </c>
      <c r="C2" t="s">
        <v>810</v>
      </c>
      <c r="D2" t="s">
        <v>811</v>
      </c>
      <c r="E2" t="s">
        <v>812</v>
      </c>
      <c r="F2" t="s">
        <v>813</v>
      </c>
      <c r="G2" t="s">
        <v>814</v>
      </c>
      <c r="H2" t="s">
        <v>815</v>
      </c>
      <c r="I2" t="s">
        <v>816</v>
      </c>
      <c r="J2" t="s">
        <v>817</v>
      </c>
    </row>
    <row r="3" spans="1:10">
      <c r="A3" s="10">
        <v>45149.003472222219</v>
      </c>
      <c r="B3">
        <v>-21</v>
      </c>
    </row>
    <row r="4" spans="1:10">
      <c r="A4" s="10">
        <v>45149.006944444445</v>
      </c>
      <c r="B4">
        <v>-21</v>
      </c>
    </row>
    <row r="5" spans="1:10">
      <c r="A5" s="10">
        <v>45149.010416666664</v>
      </c>
      <c r="B5">
        <v>-21</v>
      </c>
      <c r="C5" t="s">
        <v>818</v>
      </c>
      <c r="D5" t="s">
        <v>819</v>
      </c>
      <c r="E5" t="s">
        <v>820</v>
      </c>
      <c r="F5" t="s">
        <v>821</v>
      </c>
      <c r="G5" t="s">
        <v>822</v>
      </c>
      <c r="H5" t="s">
        <v>823</v>
      </c>
      <c r="I5" t="s">
        <v>824</v>
      </c>
      <c r="J5" t="s">
        <v>825</v>
      </c>
    </row>
    <row r="6" spans="1:10">
      <c r="A6" s="10">
        <v>45149.020833333336</v>
      </c>
      <c r="B6">
        <v>-21</v>
      </c>
      <c r="C6" t="s">
        <v>826</v>
      </c>
      <c r="D6" t="s">
        <v>827</v>
      </c>
      <c r="E6" t="s">
        <v>828</v>
      </c>
      <c r="F6" t="s">
        <v>829</v>
      </c>
      <c r="G6" t="s">
        <v>830</v>
      </c>
      <c r="H6" t="s">
        <v>831</v>
      </c>
      <c r="I6" t="s">
        <v>832</v>
      </c>
      <c r="J6" t="s">
        <v>833</v>
      </c>
    </row>
    <row r="7" spans="1:10">
      <c r="A7" s="10">
        <v>45149.024305555555</v>
      </c>
      <c r="B7">
        <v>-21</v>
      </c>
    </row>
    <row r="8" spans="1:10">
      <c r="A8" s="10">
        <v>45149.027777777781</v>
      </c>
      <c r="B8">
        <v>-21</v>
      </c>
    </row>
    <row r="9" spans="1:10">
      <c r="A9" s="10">
        <v>45149.03125</v>
      </c>
      <c r="B9">
        <v>-21</v>
      </c>
      <c r="C9" t="s">
        <v>834</v>
      </c>
      <c r="D9" t="s">
        <v>835</v>
      </c>
      <c r="E9" t="s">
        <v>836</v>
      </c>
      <c r="F9" t="s">
        <v>837</v>
      </c>
      <c r="G9" t="s">
        <v>838</v>
      </c>
      <c r="H9" t="s">
        <v>839</v>
      </c>
      <c r="I9" t="s">
        <v>840</v>
      </c>
      <c r="J9" t="s">
        <v>841</v>
      </c>
    </row>
    <row r="10" spans="1:10">
      <c r="A10" s="10">
        <v>45149.038194444445</v>
      </c>
      <c r="B10">
        <v>-20</v>
      </c>
    </row>
    <row r="11" spans="1:10">
      <c r="A11" s="10">
        <v>45149.041666666664</v>
      </c>
      <c r="B11">
        <v>-20</v>
      </c>
      <c r="C11" t="s">
        <v>842</v>
      </c>
      <c r="D11" t="s">
        <v>843</v>
      </c>
      <c r="E11" t="s">
        <v>844</v>
      </c>
      <c r="F11" t="s">
        <v>845</v>
      </c>
      <c r="G11" t="s">
        <v>846</v>
      </c>
      <c r="H11" t="s">
        <v>847</v>
      </c>
      <c r="I11">
        <v>-12</v>
      </c>
    </row>
    <row r="12" spans="1:10">
      <c r="A12" s="10">
        <v>45149.045138888891</v>
      </c>
      <c r="B12">
        <v>-20</v>
      </c>
      <c r="J12" t="s">
        <v>848</v>
      </c>
    </row>
    <row r="13" spans="1:10">
      <c r="A13" s="10">
        <v>45149.048611111109</v>
      </c>
      <c r="B13">
        <v>-20</v>
      </c>
    </row>
    <row r="14" spans="1:10">
      <c r="A14" s="10">
        <v>45149.052083333336</v>
      </c>
      <c r="B14">
        <v>-20</v>
      </c>
    </row>
    <row r="15" spans="1:10">
      <c r="A15" s="10">
        <v>45149.055555555555</v>
      </c>
      <c r="C15" t="s">
        <v>849</v>
      </c>
      <c r="D15" t="s">
        <v>850</v>
      </c>
      <c r="E15" t="s">
        <v>851</v>
      </c>
      <c r="F15" t="s">
        <v>852</v>
      </c>
      <c r="G15" t="s">
        <v>853</v>
      </c>
      <c r="H15" t="s">
        <v>854</v>
      </c>
      <c r="I15" t="s">
        <v>855</v>
      </c>
      <c r="J15" t="s">
        <v>856</v>
      </c>
    </row>
    <row r="16" spans="1:10">
      <c r="A16" s="10">
        <v>45149.059027777781</v>
      </c>
      <c r="B16">
        <v>-20</v>
      </c>
    </row>
    <row r="17" spans="1:10">
      <c r="A17" s="10">
        <v>45149.065972222219</v>
      </c>
      <c r="B17">
        <v>-20</v>
      </c>
      <c r="C17" t="s">
        <v>857</v>
      </c>
      <c r="D17" t="s">
        <v>858</v>
      </c>
      <c r="E17" t="s">
        <v>859</v>
      </c>
      <c r="F17" t="s">
        <v>860</v>
      </c>
      <c r="G17" t="s">
        <v>861</v>
      </c>
      <c r="H17" t="s">
        <v>862</v>
      </c>
      <c r="I17" t="s">
        <v>863</v>
      </c>
      <c r="J17" t="s">
        <v>864</v>
      </c>
    </row>
    <row r="18" spans="1:10">
      <c r="A18" s="10">
        <v>45149.069444444445</v>
      </c>
      <c r="B18">
        <v>-20</v>
      </c>
    </row>
    <row r="19" spans="1:10">
      <c r="A19" s="10">
        <v>45149.072916666664</v>
      </c>
      <c r="B19">
        <v>-20</v>
      </c>
    </row>
    <row r="20" spans="1:10">
      <c r="A20" s="10">
        <v>45149.076388888891</v>
      </c>
      <c r="B20">
        <v>-20</v>
      </c>
      <c r="C20" t="s">
        <v>865</v>
      </c>
      <c r="D20" t="s">
        <v>866</v>
      </c>
      <c r="E20" t="s">
        <v>867</v>
      </c>
      <c r="F20" t="s">
        <v>822</v>
      </c>
      <c r="G20" t="s">
        <v>868</v>
      </c>
      <c r="H20" t="s">
        <v>869</v>
      </c>
      <c r="I20" t="s">
        <v>870</v>
      </c>
      <c r="J20" t="s">
        <v>871</v>
      </c>
    </row>
    <row r="21" spans="1:10">
      <c r="A21" s="10">
        <v>45149.083333333336</v>
      </c>
      <c r="B21">
        <v>-20</v>
      </c>
    </row>
    <row r="22" spans="1:10">
      <c r="A22" s="10">
        <v>45149.086805555555</v>
      </c>
      <c r="B22">
        <v>-20</v>
      </c>
      <c r="C22" t="s">
        <v>872</v>
      </c>
      <c r="D22" t="s">
        <v>873</v>
      </c>
      <c r="E22" t="s">
        <v>874</v>
      </c>
      <c r="F22" t="s">
        <v>875</v>
      </c>
      <c r="G22" t="s">
        <v>876</v>
      </c>
      <c r="H22" t="s">
        <v>877</v>
      </c>
      <c r="I22" t="s">
        <v>878</v>
      </c>
    </row>
    <row r="23" spans="1:10">
      <c r="A23" s="10">
        <v>45149.090277777781</v>
      </c>
      <c r="B23">
        <v>-20</v>
      </c>
    </row>
    <row r="24" spans="1:10">
      <c r="A24" s="10">
        <v>45149.09375</v>
      </c>
      <c r="B24">
        <v>-19</v>
      </c>
      <c r="J24" t="s">
        <v>815</v>
      </c>
    </row>
    <row r="25" spans="1:10">
      <c r="A25" s="10">
        <v>45149.097222222219</v>
      </c>
      <c r="B25">
        <v>-19</v>
      </c>
      <c r="C25" t="s">
        <v>879</v>
      </c>
      <c r="D25" t="s">
        <v>880</v>
      </c>
      <c r="E25" t="s">
        <v>840</v>
      </c>
      <c r="F25" t="s">
        <v>881</v>
      </c>
      <c r="G25" t="s">
        <v>882</v>
      </c>
      <c r="H25" t="s">
        <v>883</v>
      </c>
    </row>
    <row r="26" spans="1:10">
      <c r="A26" s="10">
        <v>45149.100694444445</v>
      </c>
      <c r="I26" t="s">
        <v>884</v>
      </c>
    </row>
    <row r="27" spans="1:10">
      <c r="A27" s="10">
        <v>45149.104166666664</v>
      </c>
      <c r="B27">
        <v>-19</v>
      </c>
      <c r="J27" t="s">
        <v>885</v>
      </c>
    </row>
    <row r="28" spans="1:10">
      <c r="A28" s="10">
        <v>45149.107638888891</v>
      </c>
      <c r="B28">
        <v>-19</v>
      </c>
      <c r="D28" t="s">
        <v>886</v>
      </c>
    </row>
    <row r="29" spans="1:10">
      <c r="A29" s="10">
        <v>45149.111111111109</v>
      </c>
      <c r="B29">
        <v>-19</v>
      </c>
      <c r="C29" t="s">
        <v>887</v>
      </c>
      <c r="E29" t="s">
        <v>888</v>
      </c>
      <c r="F29" t="s">
        <v>889</v>
      </c>
      <c r="G29" t="s">
        <v>890</v>
      </c>
      <c r="H29" t="s">
        <v>891</v>
      </c>
      <c r="I29" t="s">
        <v>892</v>
      </c>
    </row>
    <row r="30" spans="1:10">
      <c r="A30" s="10">
        <v>45149.114583333336</v>
      </c>
      <c r="B30">
        <v>-19</v>
      </c>
      <c r="J30" t="s">
        <v>893</v>
      </c>
    </row>
    <row r="31" spans="1:10">
      <c r="A31" s="10">
        <v>45149.121527777781</v>
      </c>
      <c r="B31">
        <v>-19</v>
      </c>
      <c r="C31" t="s">
        <v>894</v>
      </c>
      <c r="D31" t="s">
        <v>895</v>
      </c>
      <c r="E31" t="s">
        <v>896</v>
      </c>
      <c r="F31" t="s">
        <v>838</v>
      </c>
      <c r="G31" t="s">
        <v>897</v>
      </c>
      <c r="H31" t="s">
        <v>898</v>
      </c>
    </row>
    <row r="32" spans="1:10">
      <c r="A32" s="10">
        <v>45149.125</v>
      </c>
      <c r="B32">
        <v>-19</v>
      </c>
      <c r="I32" t="s">
        <v>899</v>
      </c>
      <c r="J32" t="s">
        <v>900</v>
      </c>
    </row>
    <row r="33" spans="1:10">
      <c r="A33" s="10">
        <v>45149.128472222219</v>
      </c>
      <c r="B33">
        <v>-19</v>
      </c>
    </row>
    <row r="34" spans="1:10">
      <c r="A34" s="10">
        <v>45149.131944444445</v>
      </c>
      <c r="B34">
        <v>-19</v>
      </c>
      <c r="C34" t="s">
        <v>901</v>
      </c>
      <c r="D34" t="s">
        <v>902</v>
      </c>
      <c r="E34" t="s">
        <v>903</v>
      </c>
      <c r="F34" t="s">
        <v>904</v>
      </c>
      <c r="G34" t="s">
        <v>905</v>
      </c>
      <c r="H34" t="s">
        <v>906</v>
      </c>
    </row>
    <row r="35" spans="1:10">
      <c r="A35" s="10">
        <v>45149.135416666664</v>
      </c>
      <c r="B35">
        <v>-19</v>
      </c>
      <c r="I35" t="s">
        <v>907</v>
      </c>
    </row>
    <row r="36" spans="1:10">
      <c r="A36" s="10">
        <v>45149.138888888891</v>
      </c>
      <c r="J36" t="s">
        <v>908</v>
      </c>
    </row>
    <row r="37" spans="1:10">
      <c r="A37" s="10">
        <v>45149.142361111109</v>
      </c>
      <c r="B37">
        <v>-19</v>
      </c>
      <c r="C37" t="s">
        <v>909</v>
      </c>
      <c r="D37" t="s">
        <v>910</v>
      </c>
      <c r="E37" t="s">
        <v>911</v>
      </c>
      <c r="F37" t="s">
        <v>912</v>
      </c>
      <c r="G37" t="s">
        <v>913</v>
      </c>
      <c r="H37" t="s">
        <v>914</v>
      </c>
    </row>
    <row r="38" spans="1:10">
      <c r="A38" s="10">
        <v>45149.145833333336</v>
      </c>
      <c r="B38">
        <v>-19</v>
      </c>
      <c r="I38" t="s">
        <v>915</v>
      </c>
    </row>
    <row r="39" spans="1:10">
      <c r="A39" s="10">
        <v>45149.149305555555</v>
      </c>
      <c r="B39">
        <v>-18</v>
      </c>
      <c r="J39" t="s">
        <v>916</v>
      </c>
    </row>
    <row r="40" spans="1:10">
      <c r="A40" s="10">
        <v>45149.152777777781</v>
      </c>
      <c r="C40" t="s">
        <v>917</v>
      </c>
      <c r="D40" t="s">
        <v>915</v>
      </c>
      <c r="E40" t="s">
        <v>918</v>
      </c>
      <c r="F40" t="s">
        <v>857</v>
      </c>
      <c r="G40" t="s">
        <v>919</v>
      </c>
      <c r="H40" t="s">
        <v>920</v>
      </c>
    </row>
    <row r="41" spans="1:10">
      <c r="A41" s="10">
        <v>45149.15625</v>
      </c>
      <c r="B41">
        <v>-18</v>
      </c>
      <c r="I41" t="s">
        <v>921</v>
      </c>
    </row>
    <row r="42" spans="1:10">
      <c r="A42" s="10">
        <v>45149.159722222219</v>
      </c>
      <c r="J42">
        <v>-12</v>
      </c>
    </row>
    <row r="43" spans="1:10">
      <c r="A43" s="10">
        <v>45149.163194444445</v>
      </c>
      <c r="B43">
        <v>-18</v>
      </c>
      <c r="D43" t="s">
        <v>922</v>
      </c>
    </row>
    <row r="44" spans="1:10">
      <c r="A44" s="10">
        <v>45149.166666666664</v>
      </c>
      <c r="B44">
        <v>-18</v>
      </c>
      <c r="C44" t="s">
        <v>923</v>
      </c>
      <c r="E44" t="s">
        <v>924</v>
      </c>
      <c r="F44" t="s">
        <v>925</v>
      </c>
      <c r="H44" t="s">
        <v>926</v>
      </c>
      <c r="I44" t="s">
        <v>927</v>
      </c>
    </row>
    <row r="45" spans="1:10">
      <c r="A45" s="10">
        <v>45149.170138888891</v>
      </c>
      <c r="B45">
        <v>-18</v>
      </c>
      <c r="J45" t="s">
        <v>868</v>
      </c>
    </row>
    <row r="46" spans="1:10">
      <c r="A46" s="10">
        <v>45149.173611111109</v>
      </c>
      <c r="B46">
        <v>-18</v>
      </c>
      <c r="D46" t="s">
        <v>928</v>
      </c>
    </row>
    <row r="47" spans="1:10">
      <c r="A47" s="10">
        <v>45149.177083333336</v>
      </c>
      <c r="B47">
        <v>-18</v>
      </c>
      <c r="C47" t="s">
        <v>929</v>
      </c>
      <c r="E47" t="s">
        <v>930</v>
      </c>
      <c r="F47" t="s">
        <v>865</v>
      </c>
      <c r="G47" t="s">
        <v>931</v>
      </c>
      <c r="H47" t="s">
        <v>915</v>
      </c>
    </row>
    <row r="48" spans="1:10">
      <c r="A48" s="10">
        <v>45149.180555555555</v>
      </c>
      <c r="I48" t="s">
        <v>932</v>
      </c>
    </row>
    <row r="49" spans="1:10">
      <c r="A49" s="10">
        <v>45149.184027777781</v>
      </c>
      <c r="B49">
        <v>-18</v>
      </c>
      <c r="J49" t="s">
        <v>933</v>
      </c>
    </row>
    <row r="50" spans="1:10">
      <c r="A50" s="10">
        <v>45149.1875</v>
      </c>
      <c r="B50">
        <v>-18</v>
      </c>
      <c r="C50">
        <v>-10</v>
      </c>
      <c r="D50" t="s">
        <v>934</v>
      </c>
      <c r="E50" t="s">
        <v>890</v>
      </c>
      <c r="F50" t="s">
        <v>935</v>
      </c>
      <c r="G50" t="s">
        <v>936</v>
      </c>
      <c r="H50" t="s">
        <v>937</v>
      </c>
    </row>
    <row r="51" spans="1:10">
      <c r="A51" s="10">
        <v>45149.190972222219</v>
      </c>
      <c r="B51">
        <v>-18</v>
      </c>
      <c r="I51" t="s">
        <v>938</v>
      </c>
    </row>
    <row r="52" spans="1:10">
      <c r="A52" s="10">
        <v>45149.194444444445</v>
      </c>
      <c r="B52">
        <v>-18</v>
      </c>
      <c r="J52" t="s">
        <v>939</v>
      </c>
    </row>
    <row r="53" spans="1:10">
      <c r="A53" s="10">
        <v>45149.197916666664</v>
      </c>
      <c r="B53">
        <v>-18</v>
      </c>
      <c r="C53" t="s">
        <v>898</v>
      </c>
      <c r="D53" t="s">
        <v>940</v>
      </c>
      <c r="E53" t="s">
        <v>941</v>
      </c>
      <c r="F53" t="s">
        <v>942</v>
      </c>
      <c r="G53" t="s">
        <v>926</v>
      </c>
      <c r="H53" t="s">
        <v>943</v>
      </c>
    </row>
    <row r="54" spans="1:10">
      <c r="A54" s="10">
        <v>45149.201388888891</v>
      </c>
      <c r="I54" t="s">
        <v>944</v>
      </c>
    </row>
    <row r="55" spans="1:10">
      <c r="A55" s="10">
        <v>45149.204861111109</v>
      </c>
      <c r="B55">
        <v>-18</v>
      </c>
      <c r="J55" t="s">
        <v>894</v>
      </c>
    </row>
    <row r="56" spans="1:10">
      <c r="A56" s="10">
        <v>45149.208333333336</v>
      </c>
      <c r="B56">
        <v>-18</v>
      </c>
      <c r="C56" t="s">
        <v>945</v>
      </c>
      <c r="D56" t="s">
        <v>946</v>
      </c>
      <c r="E56" t="s">
        <v>947</v>
      </c>
      <c r="F56" t="s">
        <v>948</v>
      </c>
      <c r="G56" t="s">
        <v>949</v>
      </c>
      <c r="H56" t="s">
        <v>950</v>
      </c>
    </row>
    <row r="57" spans="1:10">
      <c r="A57" s="10">
        <v>45149.211805555555</v>
      </c>
      <c r="B57">
        <v>-18</v>
      </c>
      <c r="I57" t="s">
        <v>951</v>
      </c>
    </row>
    <row r="58" spans="1:10">
      <c r="A58" s="10">
        <v>45149.215277777781</v>
      </c>
      <c r="B58">
        <v>-18</v>
      </c>
      <c r="J58" t="s">
        <v>952</v>
      </c>
    </row>
    <row r="59" spans="1:10">
      <c r="A59" s="10">
        <v>45149.21875</v>
      </c>
      <c r="B59">
        <v>-18</v>
      </c>
      <c r="D59" t="s">
        <v>953</v>
      </c>
    </row>
    <row r="60" spans="1:10">
      <c r="A60" s="10">
        <v>45149.222222222219</v>
      </c>
      <c r="C60" t="s">
        <v>954</v>
      </c>
      <c r="E60" t="s">
        <v>955</v>
      </c>
      <c r="F60" t="s">
        <v>956</v>
      </c>
      <c r="G60" t="s">
        <v>957</v>
      </c>
      <c r="H60" t="s">
        <v>958</v>
      </c>
      <c r="I60" t="s">
        <v>959</v>
      </c>
    </row>
    <row r="61" spans="1:10">
      <c r="A61" s="10">
        <v>45149.225694444445</v>
      </c>
      <c r="B61">
        <v>-18</v>
      </c>
    </row>
    <row r="62" spans="1:10">
      <c r="A62" s="10">
        <v>45149.229166666664</v>
      </c>
      <c r="B62">
        <v>-18</v>
      </c>
      <c r="D62" t="s">
        <v>960</v>
      </c>
      <c r="J62" t="s">
        <v>858</v>
      </c>
    </row>
    <row r="63" spans="1:10">
      <c r="A63" s="10">
        <v>45149.232638888891</v>
      </c>
      <c r="B63">
        <v>-17</v>
      </c>
      <c r="C63" t="s">
        <v>961</v>
      </c>
      <c r="E63" t="s">
        <v>962</v>
      </c>
      <c r="G63" t="s">
        <v>963</v>
      </c>
      <c r="H63" t="s">
        <v>964</v>
      </c>
    </row>
    <row r="64" spans="1:10">
      <c r="A64" s="10">
        <v>45149.236111111109</v>
      </c>
      <c r="B64">
        <v>-17</v>
      </c>
      <c r="I64" t="s">
        <v>965</v>
      </c>
    </row>
    <row r="65" spans="1:10">
      <c r="A65" s="10">
        <v>45149.239583333336</v>
      </c>
      <c r="B65">
        <v>-17</v>
      </c>
      <c r="J65" t="s">
        <v>966</v>
      </c>
    </row>
    <row r="66" spans="1:10">
      <c r="A66" s="10">
        <v>45149.243055555555</v>
      </c>
      <c r="C66" t="s">
        <v>967</v>
      </c>
      <c r="D66" t="s">
        <v>968</v>
      </c>
      <c r="E66" t="s">
        <v>969</v>
      </c>
      <c r="F66" t="s">
        <v>876</v>
      </c>
      <c r="G66" t="s">
        <v>970</v>
      </c>
      <c r="H66" t="s">
        <v>971</v>
      </c>
    </row>
    <row r="67" spans="1:10">
      <c r="A67" s="10">
        <v>45149.246527777781</v>
      </c>
      <c r="B67">
        <v>-17</v>
      </c>
      <c r="I67" t="s">
        <v>972</v>
      </c>
    </row>
    <row r="68" spans="1:10">
      <c r="A68" s="10">
        <v>45149.25</v>
      </c>
      <c r="B68">
        <v>-17</v>
      </c>
      <c r="J68" t="s">
        <v>973</v>
      </c>
    </row>
    <row r="69" spans="1:10">
      <c r="A69" s="10">
        <v>45149.253472222219</v>
      </c>
      <c r="B69">
        <v>-17</v>
      </c>
      <c r="C69" t="s">
        <v>974</v>
      </c>
      <c r="D69" t="s">
        <v>959</v>
      </c>
      <c r="F69" t="s">
        <v>854</v>
      </c>
      <c r="H69" t="s">
        <v>971</v>
      </c>
    </row>
    <row r="70" spans="1:10">
      <c r="A70" s="10">
        <v>45149.256944444445</v>
      </c>
      <c r="B70">
        <v>-17</v>
      </c>
      <c r="I70" t="s">
        <v>975</v>
      </c>
    </row>
    <row r="71" spans="1:10">
      <c r="A71" s="10">
        <v>45149.260416666664</v>
      </c>
      <c r="B71">
        <v>-17</v>
      </c>
      <c r="J71" t="s">
        <v>976</v>
      </c>
    </row>
    <row r="72" spans="1:10">
      <c r="A72" s="10">
        <v>45149.263888888891</v>
      </c>
      <c r="C72" t="s">
        <v>949</v>
      </c>
      <c r="D72" t="s">
        <v>977</v>
      </c>
      <c r="E72" t="s">
        <v>978</v>
      </c>
      <c r="F72" t="s">
        <v>979</v>
      </c>
      <c r="G72" t="s">
        <v>980</v>
      </c>
      <c r="H72" t="s">
        <v>981</v>
      </c>
    </row>
    <row r="73" spans="1:10">
      <c r="A73" s="10">
        <v>45149.267361111109</v>
      </c>
      <c r="B73">
        <v>-17</v>
      </c>
      <c r="I73" t="s">
        <v>982</v>
      </c>
    </row>
    <row r="74" spans="1:10">
      <c r="A74" s="10">
        <v>45149.270833333336</v>
      </c>
      <c r="B74">
        <v>-17</v>
      </c>
    </row>
    <row r="75" spans="1:10">
      <c r="A75" s="10">
        <v>45149.274305555555</v>
      </c>
      <c r="B75">
        <v>-16</v>
      </c>
      <c r="C75" t="s">
        <v>983</v>
      </c>
      <c r="D75" t="s">
        <v>984</v>
      </c>
      <c r="E75" t="s">
        <v>985</v>
      </c>
      <c r="G75" t="s">
        <v>986</v>
      </c>
      <c r="J75" t="s">
        <v>987</v>
      </c>
    </row>
    <row r="76" spans="1:10">
      <c r="A76" s="10">
        <v>45149.277777777781</v>
      </c>
      <c r="B76">
        <v>-16</v>
      </c>
      <c r="F76" t="s">
        <v>988</v>
      </c>
      <c r="I76" t="s">
        <v>989</v>
      </c>
    </row>
    <row r="77" spans="1:10">
      <c r="A77" s="10">
        <v>45149.28125</v>
      </c>
      <c r="B77">
        <v>-16</v>
      </c>
    </row>
    <row r="78" spans="1:10">
      <c r="A78" s="10">
        <v>45149.284722222219</v>
      </c>
      <c r="D78" t="s">
        <v>990</v>
      </c>
      <c r="J78" t="s">
        <v>929</v>
      </c>
    </row>
    <row r="79" spans="1:10">
      <c r="A79" s="10">
        <v>45149.288194444445</v>
      </c>
      <c r="B79">
        <v>-16</v>
      </c>
      <c r="C79" t="s">
        <v>928</v>
      </c>
      <c r="E79" t="s">
        <v>991</v>
      </c>
      <c r="F79" t="s">
        <v>992</v>
      </c>
      <c r="G79" t="s">
        <v>993</v>
      </c>
      <c r="H79" t="s">
        <v>994</v>
      </c>
    </row>
    <row r="80" spans="1:10">
      <c r="A80" s="10">
        <v>45149.291666666664</v>
      </c>
      <c r="B80">
        <v>-16</v>
      </c>
      <c r="I80" t="s">
        <v>995</v>
      </c>
    </row>
    <row r="81" spans="1:10">
      <c r="A81" s="10">
        <v>45149.295138888891</v>
      </c>
      <c r="B81">
        <v>-16</v>
      </c>
      <c r="D81" t="s">
        <v>984</v>
      </c>
      <c r="J81" t="s">
        <v>913</v>
      </c>
    </row>
    <row r="82" spans="1:10">
      <c r="A82" s="10">
        <v>45149.298611111109</v>
      </c>
      <c r="B82">
        <v>-16</v>
      </c>
      <c r="C82" t="s">
        <v>996</v>
      </c>
      <c r="E82" t="s">
        <v>997</v>
      </c>
      <c r="F82" t="s">
        <v>952</v>
      </c>
      <c r="G82" t="s">
        <v>998</v>
      </c>
      <c r="H82" t="s">
        <v>959</v>
      </c>
    </row>
    <row r="83" spans="1:10">
      <c r="A83" s="10">
        <v>45149.302083333336</v>
      </c>
      <c r="B83">
        <v>-16</v>
      </c>
      <c r="I83" t="s">
        <v>989</v>
      </c>
    </row>
    <row r="84" spans="1:10">
      <c r="A84" s="10">
        <v>45149.305555555555</v>
      </c>
      <c r="J84" t="s">
        <v>891</v>
      </c>
    </row>
    <row r="85" spans="1:10">
      <c r="A85" s="10">
        <v>45149.309027777781</v>
      </c>
      <c r="B85">
        <v>-16</v>
      </c>
      <c r="C85" t="s">
        <v>999</v>
      </c>
      <c r="D85" t="s">
        <v>1000</v>
      </c>
      <c r="E85" t="s">
        <v>1001</v>
      </c>
      <c r="F85" t="s">
        <v>1002</v>
      </c>
      <c r="G85" t="s">
        <v>1003</v>
      </c>
      <c r="H85" t="s">
        <v>968</v>
      </c>
    </row>
    <row r="86" spans="1:10">
      <c r="A86" s="10">
        <v>45149.3125</v>
      </c>
      <c r="B86">
        <v>-16</v>
      </c>
      <c r="I86" t="s">
        <v>1004</v>
      </c>
    </row>
    <row r="87" spans="1:10">
      <c r="A87" s="10">
        <v>45149.315972222219</v>
      </c>
      <c r="J87">
        <v>-10</v>
      </c>
    </row>
    <row r="88" spans="1:10">
      <c r="A88" s="10">
        <v>45149.319444444445</v>
      </c>
      <c r="C88" t="s">
        <v>943</v>
      </c>
      <c r="D88" t="s">
        <v>990</v>
      </c>
      <c r="E88" t="s">
        <v>914</v>
      </c>
      <c r="F88" t="s">
        <v>1005</v>
      </c>
      <c r="G88" t="s">
        <v>1006</v>
      </c>
    </row>
    <row r="89" spans="1:10">
      <c r="A89" s="10">
        <v>45149.322916666664</v>
      </c>
      <c r="H89" t="s">
        <v>1007</v>
      </c>
      <c r="I89" t="s">
        <v>1008</v>
      </c>
    </row>
    <row r="90" spans="1:10">
      <c r="A90" s="10">
        <v>45149.326388888891</v>
      </c>
      <c r="B90">
        <v>-15</v>
      </c>
    </row>
    <row r="91" spans="1:10">
      <c r="A91" s="10">
        <v>45149.329861111109</v>
      </c>
      <c r="B91">
        <v>-15</v>
      </c>
      <c r="C91" t="s">
        <v>1009</v>
      </c>
      <c r="D91" t="s">
        <v>1010</v>
      </c>
      <c r="G91" t="s">
        <v>960</v>
      </c>
      <c r="J91" t="s">
        <v>1011</v>
      </c>
    </row>
    <row r="92" spans="1:10">
      <c r="A92" s="10">
        <v>45149.333333333336</v>
      </c>
      <c r="B92">
        <v>-15</v>
      </c>
      <c r="F92" t="s">
        <v>1012</v>
      </c>
      <c r="H92" t="s">
        <v>1013</v>
      </c>
      <c r="I92" t="s">
        <v>1014</v>
      </c>
    </row>
    <row r="93" spans="1:10">
      <c r="A93" s="10">
        <v>45149.336805555555</v>
      </c>
      <c r="B93">
        <v>-15</v>
      </c>
    </row>
    <row r="94" spans="1:10">
      <c r="A94" s="10">
        <v>45149.340277777781</v>
      </c>
      <c r="B94">
        <v>-15</v>
      </c>
      <c r="D94" t="s">
        <v>1015</v>
      </c>
      <c r="J94" t="s">
        <v>1011</v>
      </c>
    </row>
    <row r="95" spans="1:10">
      <c r="A95" s="10">
        <v>45149.34375</v>
      </c>
      <c r="C95" t="s">
        <v>921</v>
      </c>
      <c r="E95" t="s">
        <v>1016</v>
      </c>
      <c r="F95" t="s">
        <v>1017</v>
      </c>
      <c r="G95" t="s">
        <v>1018</v>
      </c>
      <c r="H95" t="s">
        <v>1019</v>
      </c>
    </row>
    <row r="96" spans="1:10">
      <c r="A96" s="10">
        <v>45149.347222222219</v>
      </c>
      <c r="B96">
        <v>-15</v>
      </c>
      <c r="I96" t="s">
        <v>1020</v>
      </c>
    </row>
    <row r="97" spans="1:10">
      <c r="A97" s="10">
        <v>45149.350694444445</v>
      </c>
      <c r="B97">
        <v>-15</v>
      </c>
      <c r="D97" t="s">
        <v>1021</v>
      </c>
      <c r="J97" t="s">
        <v>1022</v>
      </c>
    </row>
    <row r="98" spans="1:10">
      <c r="A98" s="10">
        <v>45149.354166666664</v>
      </c>
      <c r="B98">
        <v>-15</v>
      </c>
      <c r="C98" t="s">
        <v>1023</v>
      </c>
      <c r="E98" t="s">
        <v>1024</v>
      </c>
      <c r="F98" t="s">
        <v>1025</v>
      </c>
      <c r="G98" t="s">
        <v>1026</v>
      </c>
      <c r="H98" t="s">
        <v>1003</v>
      </c>
    </row>
    <row r="99" spans="1:10">
      <c r="A99" s="10">
        <v>45149.357638888891</v>
      </c>
      <c r="B99">
        <v>-15</v>
      </c>
      <c r="I99" t="s">
        <v>1027</v>
      </c>
    </row>
    <row r="100" spans="1:10">
      <c r="A100" s="10">
        <v>45149.361111111109</v>
      </c>
      <c r="B100">
        <v>-15</v>
      </c>
      <c r="J100" t="s">
        <v>1028</v>
      </c>
    </row>
    <row r="101" spans="1:10">
      <c r="A101" s="10">
        <v>45149.364583333336</v>
      </c>
      <c r="C101" t="s">
        <v>1029</v>
      </c>
      <c r="D101" t="s">
        <v>1030</v>
      </c>
      <c r="E101" t="s">
        <v>1031</v>
      </c>
      <c r="F101" t="s">
        <v>887</v>
      </c>
      <c r="G101" t="s">
        <v>1032</v>
      </c>
      <c r="H101" t="s">
        <v>1033</v>
      </c>
    </row>
    <row r="102" spans="1:10">
      <c r="A102" s="10">
        <v>45149.368055555555</v>
      </c>
      <c r="B102">
        <v>-15</v>
      </c>
      <c r="I102" t="s">
        <v>970</v>
      </c>
    </row>
    <row r="103" spans="1:10">
      <c r="A103" s="10">
        <v>45149.371527777781</v>
      </c>
      <c r="B103">
        <v>-15</v>
      </c>
    </row>
    <row r="104" spans="1:10">
      <c r="A104" s="10">
        <v>45149.375</v>
      </c>
      <c r="B104">
        <v>-15</v>
      </c>
      <c r="C104" t="s">
        <v>991</v>
      </c>
      <c r="D104" t="s">
        <v>1034</v>
      </c>
      <c r="E104" t="s">
        <v>962</v>
      </c>
      <c r="F104" t="s">
        <v>1035</v>
      </c>
      <c r="G104" t="s">
        <v>1036</v>
      </c>
      <c r="J104" t="s">
        <v>976</v>
      </c>
    </row>
    <row r="105" spans="1:10">
      <c r="A105" s="10">
        <v>45149.378472222219</v>
      </c>
      <c r="B105">
        <v>-15</v>
      </c>
      <c r="H105" t="s">
        <v>1037</v>
      </c>
      <c r="I105" t="s">
        <v>1038</v>
      </c>
    </row>
    <row r="106" spans="1:10">
      <c r="A106" s="10">
        <v>45149.381944444445</v>
      </c>
      <c r="B106">
        <v>-15</v>
      </c>
    </row>
    <row r="107" spans="1:10">
      <c r="A107" s="10">
        <v>45149.385416666664</v>
      </c>
      <c r="C107" t="s">
        <v>1011</v>
      </c>
      <c r="D107" t="s">
        <v>1039</v>
      </c>
      <c r="E107" t="s">
        <v>1040</v>
      </c>
      <c r="F107" t="s">
        <v>1041</v>
      </c>
      <c r="G107" t="s">
        <v>1042</v>
      </c>
      <c r="J107" t="s">
        <v>909</v>
      </c>
    </row>
    <row r="108" spans="1:10">
      <c r="A108" s="10">
        <v>45149.388888888891</v>
      </c>
      <c r="B108">
        <v>-15</v>
      </c>
      <c r="H108" t="s">
        <v>1043</v>
      </c>
      <c r="I108" t="s">
        <v>1044</v>
      </c>
    </row>
    <row r="109" spans="1:10">
      <c r="A109" s="10">
        <v>45149.392361111109</v>
      </c>
      <c r="B109">
        <v>-15</v>
      </c>
    </row>
    <row r="110" spans="1:10">
      <c r="A110" s="10">
        <v>45149.395833333336</v>
      </c>
      <c r="B110">
        <v>-15</v>
      </c>
      <c r="J110" t="s">
        <v>1025</v>
      </c>
    </row>
    <row r="111" spans="1:10">
      <c r="A111" s="10">
        <v>45149.399305555555</v>
      </c>
      <c r="B111">
        <v>-15</v>
      </c>
      <c r="C111" t="s">
        <v>1045</v>
      </c>
      <c r="D111" t="s">
        <v>1017</v>
      </c>
      <c r="E111" t="s">
        <v>1046</v>
      </c>
      <c r="F111" t="s">
        <v>1047</v>
      </c>
      <c r="G111" t="s">
        <v>1048</v>
      </c>
    </row>
    <row r="112" spans="1:10">
      <c r="A112" s="10">
        <v>45149.402777777781</v>
      </c>
      <c r="B112">
        <v>-15</v>
      </c>
      <c r="I112" t="s">
        <v>1049</v>
      </c>
    </row>
    <row r="113" spans="1:10">
      <c r="A113" s="10">
        <v>45149.40625</v>
      </c>
      <c r="J113" t="s">
        <v>1050</v>
      </c>
    </row>
    <row r="114" spans="1:10">
      <c r="A114" s="10">
        <v>45149.409722222219</v>
      </c>
      <c r="B114">
        <v>-15</v>
      </c>
      <c r="C114" t="s">
        <v>1051</v>
      </c>
      <c r="D114" t="s">
        <v>1051</v>
      </c>
      <c r="E114">
        <v>-11</v>
      </c>
      <c r="F114" t="s">
        <v>1052</v>
      </c>
      <c r="G114" t="s">
        <v>978</v>
      </c>
      <c r="H114" t="s">
        <v>973</v>
      </c>
    </row>
    <row r="115" spans="1:10">
      <c r="A115" s="10">
        <v>45149.413194444445</v>
      </c>
      <c r="B115">
        <v>-15</v>
      </c>
      <c r="I115" t="s">
        <v>830</v>
      </c>
    </row>
    <row r="116" spans="1:10">
      <c r="A116" s="10">
        <v>45149.416666666664</v>
      </c>
      <c r="B116">
        <v>-15</v>
      </c>
    </row>
    <row r="117" spans="1:10">
      <c r="A117" s="10">
        <v>45149.420138888891</v>
      </c>
      <c r="B117">
        <v>-15</v>
      </c>
      <c r="C117" t="s">
        <v>1053</v>
      </c>
      <c r="D117" t="s">
        <v>827</v>
      </c>
      <c r="E117" t="s">
        <v>1054</v>
      </c>
      <c r="G117" t="s">
        <v>1055</v>
      </c>
      <c r="H117" t="s">
        <v>870</v>
      </c>
      <c r="J117" t="s">
        <v>1056</v>
      </c>
    </row>
    <row r="118" spans="1:10">
      <c r="A118" s="10">
        <v>45149.423611111109</v>
      </c>
      <c r="B118">
        <v>-15</v>
      </c>
      <c r="F118" t="s">
        <v>1057</v>
      </c>
      <c r="I118" t="s">
        <v>1058</v>
      </c>
    </row>
    <row r="119" spans="1:10">
      <c r="A119" s="10">
        <v>45149.430555555555</v>
      </c>
      <c r="B119">
        <v>-15</v>
      </c>
      <c r="C119" t="s">
        <v>1059</v>
      </c>
      <c r="D119" t="s">
        <v>859</v>
      </c>
      <c r="E119" t="s">
        <v>1060</v>
      </c>
      <c r="G119" t="s">
        <v>1061</v>
      </c>
      <c r="J119" t="s">
        <v>916</v>
      </c>
    </row>
    <row r="120" spans="1:10">
      <c r="A120" s="10">
        <v>45149.434027777781</v>
      </c>
      <c r="B120">
        <v>-15</v>
      </c>
      <c r="F120" t="s">
        <v>831</v>
      </c>
      <c r="H120" t="s">
        <v>901</v>
      </c>
      <c r="I120" t="s">
        <v>1062</v>
      </c>
    </row>
    <row r="121" spans="1:10">
      <c r="A121" s="10">
        <v>45149.4375</v>
      </c>
      <c r="B121">
        <v>-14</v>
      </c>
    </row>
    <row r="122" spans="1:10">
      <c r="A122" s="10">
        <v>45149.440972222219</v>
      </c>
      <c r="B122">
        <v>-14</v>
      </c>
      <c r="C122" t="s">
        <v>1063</v>
      </c>
      <c r="D122" t="s">
        <v>1064</v>
      </c>
      <c r="E122" t="s">
        <v>1065</v>
      </c>
      <c r="G122" t="s">
        <v>1066</v>
      </c>
      <c r="J122" t="s">
        <v>1067</v>
      </c>
    </row>
    <row r="123" spans="1:10">
      <c r="A123" s="10">
        <v>45149.444444444445</v>
      </c>
      <c r="B123">
        <v>-14</v>
      </c>
      <c r="F123" t="s">
        <v>1068</v>
      </c>
      <c r="H123" t="s">
        <v>1069</v>
      </c>
      <c r="I123" t="s">
        <v>1070</v>
      </c>
    </row>
    <row r="124" spans="1:10">
      <c r="A124" s="10">
        <v>45149.451388888891</v>
      </c>
      <c r="B124">
        <v>-14</v>
      </c>
      <c r="D124" t="s">
        <v>1071</v>
      </c>
      <c r="J124" t="s">
        <v>1072</v>
      </c>
    </row>
    <row r="125" spans="1:10">
      <c r="A125" s="10">
        <v>45149.454861111109</v>
      </c>
      <c r="B125">
        <v>-14</v>
      </c>
      <c r="C125" t="s">
        <v>1073</v>
      </c>
      <c r="E125" t="s">
        <v>1074</v>
      </c>
      <c r="G125" t="s">
        <v>1075</v>
      </c>
      <c r="H125" t="s">
        <v>1047</v>
      </c>
    </row>
    <row r="126" spans="1:10">
      <c r="A126" s="10">
        <v>45149.458333333336</v>
      </c>
      <c r="B126">
        <v>-14</v>
      </c>
      <c r="I126" t="s">
        <v>1076</v>
      </c>
    </row>
    <row r="127" spans="1:10">
      <c r="A127" s="10">
        <v>45149.461805555555</v>
      </c>
      <c r="B127">
        <v>-14</v>
      </c>
    </row>
    <row r="128" spans="1:10">
      <c r="A128" s="10">
        <v>45149.465277777781</v>
      </c>
      <c r="B128">
        <v>-14</v>
      </c>
      <c r="C128" t="s">
        <v>1077</v>
      </c>
      <c r="D128" t="s">
        <v>1078</v>
      </c>
      <c r="E128" t="s">
        <v>1079</v>
      </c>
      <c r="G128" t="s">
        <v>1080</v>
      </c>
      <c r="H128" t="s">
        <v>868</v>
      </c>
      <c r="J128" t="s">
        <v>1081</v>
      </c>
    </row>
    <row r="129" spans="1:10">
      <c r="A129" s="10">
        <v>45149.46875</v>
      </c>
      <c r="B129">
        <v>-14</v>
      </c>
      <c r="F129" t="s">
        <v>1082</v>
      </c>
      <c r="I129" t="s">
        <v>1083</v>
      </c>
    </row>
    <row r="130" spans="1:10">
      <c r="A130" s="10">
        <v>45149.475694444445</v>
      </c>
      <c r="B130">
        <v>-14</v>
      </c>
      <c r="C130" t="s">
        <v>1084</v>
      </c>
      <c r="D130" t="s">
        <v>1085</v>
      </c>
      <c r="E130" t="s">
        <v>935</v>
      </c>
      <c r="G130" t="s">
        <v>1086</v>
      </c>
      <c r="H130" t="s">
        <v>1087</v>
      </c>
    </row>
    <row r="131" spans="1:10">
      <c r="A131" s="10">
        <v>45149.479166666664</v>
      </c>
      <c r="B131">
        <v>-14</v>
      </c>
      <c r="F131" t="s">
        <v>893</v>
      </c>
      <c r="I131" t="s">
        <v>1088</v>
      </c>
      <c r="J131" t="s">
        <v>881</v>
      </c>
    </row>
    <row r="132" spans="1:10">
      <c r="A132" s="10">
        <v>45149.482638888891</v>
      </c>
      <c r="B132">
        <v>-14</v>
      </c>
    </row>
    <row r="133" spans="1:10">
      <c r="A133" s="10">
        <v>45149.486111111109</v>
      </c>
      <c r="B133">
        <v>-14</v>
      </c>
      <c r="C133" t="s">
        <v>1089</v>
      </c>
      <c r="D133" t="s">
        <v>1090</v>
      </c>
      <c r="G133" t="s">
        <v>843</v>
      </c>
    </row>
    <row r="134" spans="1:10">
      <c r="A134" s="10">
        <v>45149.489583333336</v>
      </c>
      <c r="B134">
        <v>-14</v>
      </c>
      <c r="H134" t="s">
        <v>1057</v>
      </c>
      <c r="I134" t="s">
        <v>1091</v>
      </c>
      <c r="J134" t="s">
        <v>1092</v>
      </c>
    </row>
    <row r="135" spans="1:10">
      <c r="A135" s="10">
        <v>45149.493055555555</v>
      </c>
      <c r="F135" t="s">
        <v>1093</v>
      </c>
    </row>
    <row r="136" spans="1:10">
      <c r="A136" s="10">
        <v>45149.496527777781</v>
      </c>
      <c r="B136">
        <v>-14</v>
      </c>
      <c r="C136" t="s">
        <v>1094</v>
      </c>
      <c r="E136" t="s">
        <v>1095</v>
      </c>
      <c r="G136" t="s">
        <v>1096</v>
      </c>
    </row>
    <row r="137" spans="1:10">
      <c r="A137" s="10">
        <v>45149.5</v>
      </c>
      <c r="B137">
        <v>-14</v>
      </c>
      <c r="H137" t="s">
        <v>840</v>
      </c>
      <c r="I137" t="s">
        <v>1097</v>
      </c>
      <c r="J137" t="s">
        <v>1098</v>
      </c>
    </row>
    <row r="138" spans="1:10">
      <c r="A138" s="10">
        <v>45149.503472222219</v>
      </c>
      <c r="B138">
        <v>-15</v>
      </c>
      <c r="F138" t="s">
        <v>1099</v>
      </c>
    </row>
    <row r="139" spans="1:10">
      <c r="A139" s="10">
        <v>45149.506944444445</v>
      </c>
      <c r="B139">
        <v>-15</v>
      </c>
      <c r="D139" t="s">
        <v>1100</v>
      </c>
    </row>
    <row r="140" spans="1:10">
      <c r="A140" s="10">
        <v>45149.510416666664</v>
      </c>
      <c r="B140">
        <v>-15</v>
      </c>
      <c r="C140" t="s">
        <v>1101</v>
      </c>
      <c r="E140" t="s">
        <v>1102</v>
      </c>
      <c r="G140" t="s">
        <v>1103</v>
      </c>
      <c r="H140" t="s">
        <v>1104</v>
      </c>
      <c r="I140" t="s">
        <v>1105</v>
      </c>
    </row>
    <row r="141" spans="1:10">
      <c r="A141" s="10">
        <v>45149.513888888891</v>
      </c>
      <c r="F141" t="s">
        <v>1106</v>
      </c>
      <c r="J141" t="s">
        <v>828</v>
      </c>
    </row>
    <row r="142" spans="1:10">
      <c r="A142" s="10">
        <v>45149.517361111109</v>
      </c>
      <c r="B142">
        <v>-15</v>
      </c>
    </row>
    <row r="143" spans="1:10">
      <c r="A143" s="10">
        <v>45149.520833333336</v>
      </c>
      <c r="B143">
        <v>-16</v>
      </c>
      <c r="C143" t="s">
        <v>1107</v>
      </c>
      <c r="D143" t="s">
        <v>822</v>
      </c>
      <c r="E143" t="s">
        <v>1108</v>
      </c>
      <c r="G143" t="s">
        <v>1109</v>
      </c>
      <c r="H143" t="s">
        <v>1110</v>
      </c>
    </row>
    <row r="144" spans="1:10">
      <c r="A144" s="10">
        <v>45149.524305555555</v>
      </c>
      <c r="B144">
        <v>-16</v>
      </c>
      <c r="F144" t="s">
        <v>1111</v>
      </c>
      <c r="I144" t="s">
        <v>1112</v>
      </c>
    </row>
    <row r="145" spans="1:10">
      <c r="A145" s="10">
        <v>45149.527777777781</v>
      </c>
      <c r="B145">
        <v>-16</v>
      </c>
      <c r="J145" t="s">
        <v>1113</v>
      </c>
    </row>
    <row r="146" spans="1:10">
      <c r="A146" s="10">
        <v>45149.53125</v>
      </c>
      <c r="B146">
        <v>-16</v>
      </c>
      <c r="C146" t="s">
        <v>830</v>
      </c>
      <c r="D146" t="s">
        <v>1090</v>
      </c>
      <c r="E146" t="s">
        <v>1114</v>
      </c>
      <c r="G146" t="s">
        <v>1115</v>
      </c>
      <c r="H146" t="s">
        <v>1116</v>
      </c>
    </row>
    <row r="147" spans="1:10">
      <c r="A147" s="10">
        <v>45149.534722222219</v>
      </c>
      <c r="F147" t="s">
        <v>1117</v>
      </c>
      <c r="I147" t="s">
        <v>1118</v>
      </c>
    </row>
    <row r="148" spans="1:10">
      <c r="A148" s="10">
        <v>45149.538194444445</v>
      </c>
      <c r="B148">
        <v>-16</v>
      </c>
      <c r="J148" t="s">
        <v>1119</v>
      </c>
    </row>
    <row r="149" spans="1:10">
      <c r="A149" s="10">
        <v>45149.541666666664</v>
      </c>
      <c r="B149">
        <v>-17</v>
      </c>
      <c r="C149" t="s">
        <v>1120</v>
      </c>
      <c r="D149" t="s">
        <v>1121</v>
      </c>
      <c r="E149" t="s">
        <v>867</v>
      </c>
      <c r="G149" t="s">
        <v>1122</v>
      </c>
    </row>
    <row r="150" spans="1:10">
      <c r="A150" s="10">
        <v>45149.545138888891</v>
      </c>
      <c r="F150" t="s">
        <v>1123</v>
      </c>
      <c r="H150" t="s">
        <v>1124</v>
      </c>
      <c r="I150" t="s">
        <v>1125</v>
      </c>
    </row>
    <row r="151" spans="1:10">
      <c r="A151" s="10">
        <v>45149.548611111109</v>
      </c>
      <c r="J151" t="s">
        <v>1126</v>
      </c>
    </row>
    <row r="152" spans="1:10">
      <c r="A152" s="10">
        <v>45149.552083333336</v>
      </c>
      <c r="B152">
        <v>-17</v>
      </c>
      <c r="C152" t="s">
        <v>1127</v>
      </c>
      <c r="D152" t="s">
        <v>1119</v>
      </c>
      <c r="E152" t="s">
        <v>1128</v>
      </c>
    </row>
    <row r="153" spans="1:10">
      <c r="A153" s="10">
        <v>45149.555555555555</v>
      </c>
      <c r="B153">
        <v>-17</v>
      </c>
      <c r="H153" t="s">
        <v>1129</v>
      </c>
      <c r="I153" t="s">
        <v>1130</v>
      </c>
    </row>
    <row r="154" spans="1:10">
      <c r="A154" s="10">
        <v>45149.559027777781</v>
      </c>
      <c r="B154">
        <v>-18</v>
      </c>
      <c r="F154" t="s">
        <v>1131</v>
      </c>
    </row>
    <row r="155" spans="1:10">
      <c r="A155" s="10">
        <v>45149.5625</v>
      </c>
      <c r="B155">
        <v>-18</v>
      </c>
      <c r="D155" t="s">
        <v>1132</v>
      </c>
      <c r="J155" t="s">
        <v>1133</v>
      </c>
    </row>
    <row r="156" spans="1:10">
      <c r="A156" s="10">
        <v>45149.565972222219</v>
      </c>
      <c r="B156">
        <v>-18</v>
      </c>
      <c r="C156" t="s">
        <v>1134</v>
      </c>
      <c r="E156" t="s">
        <v>1135</v>
      </c>
      <c r="G156" t="s">
        <v>820</v>
      </c>
      <c r="H156" t="s">
        <v>848</v>
      </c>
      <c r="I156" t="s">
        <v>1136</v>
      </c>
    </row>
    <row r="157" spans="1:10">
      <c r="A157" s="10">
        <v>45149.569444444445</v>
      </c>
      <c r="F157" t="s">
        <v>864</v>
      </c>
    </row>
    <row r="158" spans="1:10">
      <c r="A158" s="10">
        <v>45149.572916666664</v>
      </c>
      <c r="B158">
        <v>-19</v>
      </c>
      <c r="D158" t="s">
        <v>833</v>
      </c>
      <c r="J158" t="s">
        <v>1137</v>
      </c>
    </row>
    <row r="159" spans="1:10">
      <c r="A159" s="10">
        <v>45149.576388888891</v>
      </c>
      <c r="B159">
        <v>-19</v>
      </c>
      <c r="C159" t="s">
        <v>1138</v>
      </c>
      <c r="E159" t="s">
        <v>815</v>
      </c>
      <c r="G159" t="s">
        <v>1129</v>
      </c>
    </row>
    <row r="160" spans="1:10">
      <c r="A160" s="10">
        <v>45149.579861111109</v>
      </c>
      <c r="B160">
        <v>-19</v>
      </c>
      <c r="F160" t="s">
        <v>856</v>
      </c>
      <c r="H160" t="s">
        <v>1071</v>
      </c>
      <c r="I160" t="s">
        <v>1125</v>
      </c>
    </row>
    <row r="161" spans="1:10">
      <c r="A161" s="10">
        <v>45149.583333333336</v>
      </c>
      <c r="B161">
        <v>-19</v>
      </c>
    </row>
    <row r="162" spans="1:10">
      <c r="A162" s="10">
        <v>45149.586805555555</v>
      </c>
      <c r="B162">
        <v>-19</v>
      </c>
      <c r="C162" t="s">
        <v>1139</v>
      </c>
      <c r="D162" t="s">
        <v>1140</v>
      </c>
      <c r="E162" t="s">
        <v>1141</v>
      </c>
      <c r="G162" t="s">
        <v>1142</v>
      </c>
      <c r="J162" t="s">
        <v>1143</v>
      </c>
    </row>
    <row r="163" spans="1:10">
      <c r="A163" s="10">
        <v>45149.590277777781</v>
      </c>
      <c r="B163">
        <v>-19</v>
      </c>
      <c r="F163" t="s">
        <v>1078</v>
      </c>
      <c r="H163" t="s">
        <v>1144</v>
      </c>
      <c r="I163" t="s">
        <v>1145</v>
      </c>
    </row>
    <row r="164" spans="1:10">
      <c r="A164" s="10">
        <v>45149.597222222219</v>
      </c>
      <c r="B164">
        <v>-19</v>
      </c>
      <c r="C164" t="s">
        <v>1146</v>
      </c>
      <c r="D164" t="s">
        <v>1147</v>
      </c>
      <c r="E164" t="s">
        <v>1148</v>
      </c>
      <c r="G164" t="s">
        <v>1149</v>
      </c>
      <c r="J164" t="s">
        <v>1150</v>
      </c>
    </row>
    <row r="165" spans="1:10">
      <c r="A165" s="10">
        <v>45149.600694444445</v>
      </c>
      <c r="B165">
        <v>-19</v>
      </c>
      <c r="F165" t="s">
        <v>1151</v>
      </c>
      <c r="H165" t="s">
        <v>1146</v>
      </c>
      <c r="I165" t="s">
        <v>825</v>
      </c>
    </row>
    <row r="166" spans="1:10">
      <c r="A166" s="10">
        <v>45149.604166666664</v>
      </c>
      <c r="B166">
        <v>-20</v>
      </c>
    </row>
    <row r="167" spans="1:10">
      <c r="A167" s="10">
        <v>45149.607638888891</v>
      </c>
      <c r="B167">
        <v>-20</v>
      </c>
      <c r="C167" t="s">
        <v>1152</v>
      </c>
      <c r="D167" t="s">
        <v>1153</v>
      </c>
      <c r="E167" t="s">
        <v>818</v>
      </c>
      <c r="G167" t="s">
        <v>1154</v>
      </c>
      <c r="J167" t="s">
        <v>1155</v>
      </c>
    </row>
    <row r="168" spans="1:10">
      <c r="A168" s="10">
        <v>45149.611111111109</v>
      </c>
      <c r="B168">
        <v>-20</v>
      </c>
      <c r="I168" t="s">
        <v>1156</v>
      </c>
    </row>
    <row r="169" spans="1:10">
      <c r="A169" s="10">
        <v>45149.614583333336</v>
      </c>
      <c r="H169" t="s">
        <v>1157</v>
      </c>
    </row>
    <row r="170" spans="1:10">
      <c r="A170" s="10">
        <v>45149.618055555555</v>
      </c>
      <c r="B170">
        <v>-20</v>
      </c>
      <c r="D170" t="s">
        <v>1158</v>
      </c>
      <c r="F170" t="s">
        <v>1118</v>
      </c>
      <c r="J170" t="s">
        <v>1159</v>
      </c>
    </row>
    <row r="171" spans="1:10">
      <c r="A171" s="10">
        <v>45149.621527777781</v>
      </c>
      <c r="B171">
        <v>-20</v>
      </c>
      <c r="C171" t="s">
        <v>1160</v>
      </c>
      <c r="E171" t="s">
        <v>1077</v>
      </c>
      <c r="G171" t="s">
        <v>1161</v>
      </c>
      <c r="I171" t="s">
        <v>1162</v>
      </c>
    </row>
    <row r="172" spans="1:10">
      <c r="A172" s="10">
        <v>45149.625</v>
      </c>
      <c r="B172">
        <v>-20</v>
      </c>
      <c r="H172" t="s">
        <v>1163</v>
      </c>
    </row>
    <row r="173" spans="1:10">
      <c r="A173" s="10">
        <v>45149.628472222219</v>
      </c>
      <c r="B173">
        <v>-20</v>
      </c>
      <c r="D173" t="s">
        <v>1164</v>
      </c>
      <c r="F173" t="s">
        <v>1165</v>
      </c>
    </row>
    <row r="174" spans="1:10">
      <c r="A174" s="10">
        <v>45149.631944444445</v>
      </c>
      <c r="B174">
        <v>-20</v>
      </c>
      <c r="C174" t="s">
        <v>1166</v>
      </c>
      <c r="G174" t="s">
        <v>1167</v>
      </c>
      <c r="J174" t="s">
        <v>1168</v>
      </c>
    </row>
    <row r="175" spans="1:10">
      <c r="A175" s="10">
        <v>45149.635416666664</v>
      </c>
      <c r="E175" t="s">
        <v>1169</v>
      </c>
      <c r="H175" t="s">
        <v>1170</v>
      </c>
      <c r="I175" t="s">
        <v>1171</v>
      </c>
    </row>
    <row r="176" spans="1:10">
      <c r="A176" s="10">
        <v>45149.638888888891</v>
      </c>
      <c r="B176">
        <v>-20</v>
      </c>
    </row>
    <row r="177" spans="1:10">
      <c r="A177" s="10">
        <v>45149.642361111109</v>
      </c>
      <c r="B177">
        <v>-20</v>
      </c>
      <c r="C177" t="s">
        <v>1172</v>
      </c>
      <c r="D177" t="s">
        <v>1173</v>
      </c>
      <c r="G177" t="s">
        <v>1174</v>
      </c>
      <c r="J177" t="s">
        <v>1175</v>
      </c>
    </row>
    <row r="178" spans="1:10">
      <c r="A178" s="10">
        <v>45149.645833333336</v>
      </c>
      <c r="B178">
        <v>-20</v>
      </c>
      <c r="E178" t="s">
        <v>1132</v>
      </c>
      <c r="H178" t="s">
        <v>1176</v>
      </c>
      <c r="I178" t="s">
        <v>1177</v>
      </c>
    </row>
    <row r="179" spans="1:10">
      <c r="A179" s="10">
        <v>45149.649305555555</v>
      </c>
      <c r="F179" t="s">
        <v>1178</v>
      </c>
    </row>
    <row r="180" spans="1:10">
      <c r="A180" s="10">
        <v>45149.652777777781</v>
      </c>
      <c r="B180">
        <v>-20</v>
      </c>
      <c r="C180" t="s">
        <v>1179</v>
      </c>
      <c r="G180" t="s">
        <v>1180</v>
      </c>
      <c r="J180" t="s">
        <v>1181</v>
      </c>
    </row>
    <row r="181" spans="1:10">
      <c r="A181" s="10">
        <v>45149.65625</v>
      </c>
      <c r="E181" t="s">
        <v>1133</v>
      </c>
      <c r="H181" t="s">
        <v>813</v>
      </c>
      <c r="I181" t="s">
        <v>1182</v>
      </c>
    </row>
    <row r="182" spans="1:10">
      <c r="A182" s="10">
        <v>45149.659722222219</v>
      </c>
      <c r="B182">
        <v>-20</v>
      </c>
      <c r="F182" t="s">
        <v>1183</v>
      </c>
    </row>
    <row r="183" spans="1:10">
      <c r="A183" s="10">
        <v>45149.663194444445</v>
      </c>
      <c r="B183">
        <v>-20</v>
      </c>
      <c r="C183" t="s">
        <v>1184</v>
      </c>
      <c r="D183" t="s">
        <v>1185</v>
      </c>
      <c r="G183" t="s">
        <v>1186</v>
      </c>
      <c r="J183" t="s">
        <v>1187</v>
      </c>
    </row>
    <row r="184" spans="1:10">
      <c r="A184" s="10">
        <v>45149.666666666664</v>
      </c>
      <c r="B184">
        <v>-20</v>
      </c>
      <c r="E184" t="s">
        <v>1188</v>
      </c>
      <c r="I184" t="s">
        <v>1189</v>
      </c>
    </row>
    <row r="185" spans="1:10">
      <c r="A185" s="10">
        <v>45149.670138888891</v>
      </c>
      <c r="B185">
        <v>-20</v>
      </c>
      <c r="F185" t="s">
        <v>1190</v>
      </c>
      <c r="H185" t="s">
        <v>1191</v>
      </c>
    </row>
    <row r="186" spans="1:10">
      <c r="A186" s="10">
        <v>45149.673611111109</v>
      </c>
      <c r="D186" t="s">
        <v>1192</v>
      </c>
    </row>
    <row r="187" spans="1:10">
      <c r="A187" s="10">
        <v>45149.677083333336</v>
      </c>
      <c r="B187">
        <v>-20</v>
      </c>
      <c r="C187" t="s">
        <v>1193</v>
      </c>
      <c r="E187" t="s">
        <v>1194</v>
      </c>
      <c r="G187" t="s">
        <v>1195</v>
      </c>
      <c r="I187" t="s">
        <v>1196</v>
      </c>
      <c r="J187" t="s">
        <v>1197</v>
      </c>
    </row>
    <row r="188" spans="1:10">
      <c r="A188" s="10">
        <v>45149.680555555555</v>
      </c>
      <c r="B188">
        <v>-20</v>
      </c>
      <c r="H188" t="s">
        <v>1183</v>
      </c>
    </row>
    <row r="189" spans="1:10">
      <c r="A189" s="10">
        <v>45149.684027777781</v>
      </c>
      <c r="B189">
        <v>-20</v>
      </c>
      <c r="D189" t="s">
        <v>1198</v>
      </c>
      <c r="F189" t="s">
        <v>1199</v>
      </c>
    </row>
    <row r="190" spans="1:10">
      <c r="A190" s="10">
        <v>45149.6875</v>
      </c>
      <c r="B190">
        <v>-20</v>
      </c>
      <c r="C190" t="s">
        <v>1200</v>
      </c>
      <c r="G190" t="s">
        <v>1201</v>
      </c>
      <c r="J190" t="s">
        <v>1202</v>
      </c>
    </row>
    <row r="191" spans="1:10">
      <c r="A191" s="10">
        <v>45149.690972222219</v>
      </c>
      <c r="B191">
        <v>-20</v>
      </c>
      <c r="H191" t="s">
        <v>1203</v>
      </c>
      <c r="I191" t="s">
        <v>1204</v>
      </c>
    </row>
    <row r="192" spans="1:10">
      <c r="A192" s="10">
        <v>45149.694444444445</v>
      </c>
      <c r="D192" t="s">
        <v>1205</v>
      </c>
      <c r="F192" t="s">
        <v>1173</v>
      </c>
    </row>
    <row r="193" spans="1:10">
      <c r="A193" s="10">
        <v>45149.697916666664</v>
      </c>
      <c r="B193">
        <v>-20</v>
      </c>
      <c r="C193" t="s">
        <v>1206</v>
      </c>
      <c r="G193" t="s">
        <v>1207</v>
      </c>
      <c r="J193" t="s">
        <v>1208</v>
      </c>
    </row>
    <row r="194" spans="1:10">
      <c r="A194" s="10">
        <v>45149.701388888891</v>
      </c>
      <c r="B194">
        <v>-20</v>
      </c>
      <c r="E194" t="s">
        <v>1209</v>
      </c>
      <c r="H194" t="s">
        <v>1210</v>
      </c>
      <c r="I194" t="s">
        <v>1211</v>
      </c>
    </row>
    <row r="195" spans="1:10">
      <c r="A195" s="10">
        <v>45149.704861111109</v>
      </c>
      <c r="B195">
        <v>-20</v>
      </c>
      <c r="F195" t="s">
        <v>1212</v>
      </c>
    </row>
    <row r="196" spans="1:10">
      <c r="A196" s="10">
        <v>45149.708333333336</v>
      </c>
      <c r="B196">
        <v>-20</v>
      </c>
      <c r="C196" t="s">
        <v>1213</v>
      </c>
      <c r="D196" t="s">
        <v>1214</v>
      </c>
      <c r="G196" t="s">
        <v>1215</v>
      </c>
      <c r="J196" t="s">
        <v>1216</v>
      </c>
    </row>
    <row r="197" spans="1:10">
      <c r="A197" s="10">
        <v>45149.711805555555</v>
      </c>
      <c r="B197">
        <v>-21</v>
      </c>
      <c r="E197" t="s">
        <v>1217</v>
      </c>
      <c r="H197" t="s">
        <v>1218</v>
      </c>
      <c r="I197" t="s">
        <v>1219</v>
      </c>
    </row>
    <row r="198" spans="1:10">
      <c r="A198" s="10">
        <v>45149.715277777781</v>
      </c>
      <c r="B198">
        <v>-21</v>
      </c>
      <c r="F198" t="s">
        <v>1220</v>
      </c>
    </row>
    <row r="199" spans="1:10">
      <c r="A199" s="10">
        <v>45149.71875</v>
      </c>
      <c r="C199" t="s">
        <v>1221</v>
      </c>
      <c r="D199" t="s">
        <v>1222</v>
      </c>
      <c r="G199" t="s">
        <v>1223</v>
      </c>
    </row>
    <row r="200" spans="1:10">
      <c r="A200" s="10">
        <v>45149.722222222219</v>
      </c>
      <c r="B200">
        <v>-21</v>
      </c>
      <c r="E200" t="s">
        <v>1224</v>
      </c>
      <c r="H200" t="s">
        <v>1174</v>
      </c>
      <c r="I200" t="s">
        <v>1225</v>
      </c>
      <c r="J200" t="s">
        <v>1226</v>
      </c>
    </row>
    <row r="201" spans="1:10">
      <c r="A201" s="10">
        <v>45149.725694444445</v>
      </c>
      <c r="B201">
        <v>-21</v>
      </c>
      <c r="F201" t="s">
        <v>1227</v>
      </c>
    </row>
    <row r="202" spans="1:10">
      <c r="A202" s="10">
        <v>45149.729166666664</v>
      </c>
      <c r="B202">
        <v>-21</v>
      </c>
      <c r="D202" t="s">
        <v>1228</v>
      </c>
    </row>
    <row r="203" spans="1:10">
      <c r="A203" s="10">
        <v>45149.732638888891</v>
      </c>
      <c r="B203">
        <v>-21</v>
      </c>
      <c r="E203" t="s">
        <v>1229</v>
      </c>
      <c r="G203" t="s">
        <v>1230</v>
      </c>
      <c r="I203" t="s">
        <v>1231</v>
      </c>
      <c r="J203" t="s">
        <v>1232</v>
      </c>
    </row>
    <row r="204" spans="1:10">
      <c r="A204" s="10">
        <v>45149.736111111109</v>
      </c>
      <c r="B204">
        <v>-21</v>
      </c>
      <c r="H204" t="s">
        <v>1233</v>
      </c>
    </row>
    <row r="205" spans="1:10">
      <c r="A205" s="10">
        <v>45149.739583333336</v>
      </c>
      <c r="D205" t="s">
        <v>1234</v>
      </c>
      <c r="F205" t="s">
        <v>1235</v>
      </c>
    </row>
    <row r="206" spans="1:10">
      <c r="A206" s="10">
        <v>45149.743055555555</v>
      </c>
      <c r="B206">
        <v>-21</v>
      </c>
      <c r="C206" t="s">
        <v>1236</v>
      </c>
      <c r="G206" t="s">
        <v>1237</v>
      </c>
      <c r="J206" t="s">
        <v>1238</v>
      </c>
    </row>
    <row r="207" spans="1:10">
      <c r="A207" s="10">
        <v>45149.746527777781</v>
      </c>
      <c r="B207">
        <v>-22</v>
      </c>
      <c r="E207" t="s">
        <v>1203</v>
      </c>
      <c r="H207" t="s">
        <v>1239</v>
      </c>
      <c r="I207" t="s">
        <v>1240</v>
      </c>
    </row>
    <row r="208" spans="1:10">
      <c r="A208" s="10">
        <v>45149.75</v>
      </c>
      <c r="B208">
        <v>-22</v>
      </c>
      <c r="D208" t="s">
        <v>1241</v>
      </c>
      <c r="F208" t="s">
        <v>1242</v>
      </c>
    </row>
    <row r="209" spans="1:10">
      <c r="A209" s="10">
        <v>45149.753472222219</v>
      </c>
      <c r="B209">
        <v>-22</v>
      </c>
      <c r="C209" t="s">
        <v>1233</v>
      </c>
      <c r="G209" t="s">
        <v>1243</v>
      </c>
      <c r="J209" t="s">
        <v>1244</v>
      </c>
    </row>
    <row r="210" spans="1:10">
      <c r="A210" s="10">
        <v>45149.756944444445</v>
      </c>
      <c r="B210">
        <v>-22</v>
      </c>
      <c r="E210" t="s">
        <v>1245</v>
      </c>
      <c r="H210" t="s">
        <v>1219</v>
      </c>
      <c r="I210" t="s">
        <v>1246</v>
      </c>
    </row>
    <row r="211" spans="1:10">
      <c r="A211" s="10">
        <v>45149.760416666664</v>
      </c>
      <c r="D211" t="s">
        <v>1247</v>
      </c>
      <c r="F211" t="s">
        <v>1248</v>
      </c>
    </row>
    <row r="212" spans="1:10">
      <c r="A212" s="10">
        <v>45149.763888888891</v>
      </c>
      <c r="B212">
        <v>-22</v>
      </c>
      <c r="C212" t="s">
        <v>1249</v>
      </c>
      <c r="G212" t="s">
        <v>1250</v>
      </c>
    </row>
    <row r="213" spans="1:10">
      <c r="A213" s="10">
        <v>45149.767361111109</v>
      </c>
      <c r="B213">
        <v>-22</v>
      </c>
      <c r="E213" t="s">
        <v>1206</v>
      </c>
      <c r="H213" t="s">
        <v>1246</v>
      </c>
      <c r="I213" t="s">
        <v>1246</v>
      </c>
      <c r="J213" t="s">
        <v>1251</v>
      </c>
    </row>
    <row r="214" spans="1:10">
      <c r="A214" s="10">
        <v>45149.770833333336</v>
      </c>
      <c r="B214">
        <v>-22</v>
      </c>
      <c r="F214" t="s">
        <v>1202</v>
      </c>
    </row>
    <row r="215" spans="1:10">
      <c r="A215" s="10">
        <v>45149.774305555555</v>
      </c>
      <c r="B215">
        <v>-22</v>
      </c>
      <c r="C215" t="s">
        <v>1252</v>
      </c>
      <c r="D215" t="s">
        <v>1253</v>
      </c>
      <c r="G215" t="s">
        <v>1254</v>
      </c>
    </row>
    <row r="216" spans="1:10">
      <c r="A216" s="10">
        <v>45149.777777777781</v>
      </c>
      <c r="B216">
        <v>-22</v>
      </c>
      <c r="E216" t="s">
        <v>1255</v>
      </c>
      <c r="H216" t="s">
        <v>1220</v>
      </c>
      <c r="J216" t="s">
        <v>1256</v>
      </c>
    </row>
    <row r="217" spans="1:10">
      <c r="A217" s="10">
        <v>45149.78125</v>
      </c>
      <c r="F217" t="s">
        <v>1257</v>
      </c>
      <c r="I217" t="s">
        <v>1258</v>
      </c>
    </row>
    <row r="218" spans="1:10">
      <c r="A218" s="10">
        <v>45149.784722222219</v>
      </c>
      <c r="B218">
        <v>-22</v>
      </c>
      <c r="D218" t="s">
        <v>1259</v>
      </c>
    </row>
    <row r="219" spans="1:10">
      <c r="A219" s="10">
        <v>45149.788194444445</v>
      </c>
      <c r="B219">
        <v>-23</v>
      </c>
      <c r="C219" t="s">
        <v>1260</v>
      </c>
      <c r="E219">
        <v>-19</v>
      </c>
      <c r="G219" t="s">
        <v>1261</v>
      </c>
      <c r="J219" t="s">
        <v>1244</v>
      </c>
    </row>
    <row r="220" spans="1:10">
      <c r="A220" s="10">
        <v>45149.791666666664</v>
      </c>
      <c r="B220">
        <v>-23</v>
      </c>
      <c r="I220" t="s">
        <v>1252</v>
      </c>
    </row>
    <row r="221" spans="1:10">
      <c r="A221" s="10">
        <v>45149.795138888891</v>
      </c>
      <c r="B221">
        <v>-23</v>
      </c>
      <c r="D221" t="s">
        <v>1262</v>
      </c>
      <c r="F221" t="s">
        <v>1263</v>
      </c>
    </row>
    <row r="222" spans="1:10">
      <c r="A222" s="10">
        <v>45149.798611111109</v>
      </c>
      <c r="B222">
        <v>-23</v>
      </c>
      <c r="C222" t="s">
        <v>1175</v>
      </c>
      <c r="G222" t="s">
        <v>1264</v>
      </c>
      <c r="J222" t="s">
        <v>1265</v>
      </c>
    </row>
    <row r="223" spans="1:10">
      <c r="A223" s="10">
        <v>45149.802083333336</v>
      </c>
      <c r="E223" t="s">
        <v>1266</v>
      </c>
      <c r="H223" t="s">
        <v>1212</v>
      </c>
      <c r="I223" t="s">
        <v>1267</v>
      </c>
    </row>
    <row r="224" spans="1:10">
      <c r="A224" s="10">
        <v>45149.805555555555</v>
      </c>
      <c r="B224">
        <v>-23</v>
      </c>
      <c r="D224" t="s">
        <v>1268</v>
      </c>
      <c r="F224" t="s">
        <v>1269</v>
      </c>
    </row>
    <row r="225" spans="1:10">
      <c r="A225" s="10">
        <v>45149.809027777781</v>
      </c>
      <c r="B225">
        <v>-23</v>
      </c>
      <c r="G225" t="s">
        <v>1270</v>
      </c>
    </row>
    <row r="226" spans="1:10">
      <c r="A226" s="10">
        <v>45149.8125</v>
      </c>
      <c r="B226">
        <v>-23</v>
      </c>
      <c r="C226" t="s">
        <v>1271</v>
      </c>
      <c r="H226" t="s">
        <v>1272</v>
      </c>
      <c r="I226" t="s">
        <v>1273</v>
      </c>
      <c r="J226" t="s">
        <v>1274</v>
      </c>
    </row>
    <row r="227" spans="1:10">
      <c r="A227" s="10">
        <v>45149.815972222219</v>
      </c>
      <c r="B227">
        <v>-23</v>
      </c>
      <c r="D227" t="s">
        <v>1275</v>
      </c>
      <c r="F227" t="s">
        <v>1276</v>
      </c>
    </row>
    <row r="228" spans="1:10">
      <c r="A228" s="10">
        <v>45149.819444444445</v>
      </c>
      <c r="B228">
        <v>-23</v>
      </c>
      <c r="G228" t="s">
        <v>1234</v>
      </c>
    </row>
    <row r="229" spans="1:10">
      <c r="A229" s="10">
        <v>45149.822916666664</v>
      </c>
      <c r="C229" t="s">
        <v>1277</v>
      </c>
      <c r="E229" t="s">
        <v>1266</v>
      </c>
      <c r="H229" t="s">
        <v>1278</v>
      </c>
      <c r="I229" t="s">
        <v>1279</v>
      </c>
      <c r="J229" t="s">
        <v>1280</v>
      </c>
    </row>
    <row r="230" spans="1:10">
      <c r="A230" s="10">
        <v>45149.826388888891</v>
      </c>
      <c r="B230">
        <v>-23</v>
      </c>
      <c r="F230" t="s">
        <v>1281</v>
      </c>
    </row>
    <row r="231" spans="1:10">
      <c r="A231" s="10">
        <v>45149.829861111109</v>
      </c>
      <c r="B231">
        <v>-23</v>
      </c>
      <c r="D231" t="s">
        <v>1282</v>
      </c>
      <c r="G231" t="s">
        <v>1283</v>
      </c>
    </row>
    <row r="232" spans="1:10">
      <c r="A232" s="10">
        <v>45149.833333333336</v>
      </c>
      <c r="B232">
        <v>-23</v>
      </c>
      <c r="C232" t="s">
        <v>1284</v>
      </c>
      <c r="E232" t="s">
        <v>1285</v>
      </c>
      <c r="H232" t="s">
        <v>1286</v>
      </c>
      <c r="J232" t="s">
        <v>1287</v>
      </c>
    </row>
    <row r="233" spans="1:10">
      <c r="A233" s="10">
        <v>45149.836805555555</v>
      </c>
      <c r="B233">
        <v>-23</v>
      </c>
      <c r="F233" t="s">
        <v>1288</v>
      </c>
      <c r="I233" t="s">
        <v>1289</v>
      </c>
    </row>
    <row r="234" spans="1:10">
      <c r="A234" s="10">
        <v>45149.840277777781</v>
      </c>
      <c r="B234">
        <v>-23</v>
      </c>
      <c r="D234" t="s">
        <v>1290</v>
      </c>
    </row>
    <row r="235" spans="1:10">
      <c r="A235" s="10">
        <v>45149.84375</v>
      </c>
      <c r="C235" t="s">
        <v>1196</v>
      </c>
      <c r="E235" t="s">
        <v>1291</v>
      </c>
      <c r="G235" t="s">
        <v>1292</v>
      </c>
      <c r="J235" t="s">
        <v>1293</v>
      </c>
    </row>
    <row r="236" spans="1:10">
      <c r="A236" s="10">
        <v>45149.847222222219</v>
      </c>
      <c r="B236">
        <v>-23</v>
      </c>
      <c r="H236" t="s">
        <v>1294</v>
      </c>
    </row>
    <row r="237" spans="1:10">
      <c r="A237" s="10">
        <v>45149.850694444445</v>
      </c>
      <c r="B237">
        <v>-23</v>
      </c>
      <c r="D237" t="s">
        <v>1281</v>
      </c>
      <c r="F237" t="s">
        <v>1295</v>
      </c>
      <c r="I237" t="s">
        <v>1296</v>
      </c>
    </row>
    <row r="238" spans="1:10">
      <c r="A238" s="10">
        <v>45149.854166666664</v>
      </c>
      <c r="B238">
        <v>-23</v>
      </c>
      <c r="G238" t="s">
        <v>1297</v>
      </c>
    </row>
    <row r="239" spans="1:10">
      <c r="A239" s="10">
        <v>45149.857638888891</v>
      </c>
      <c r="B239">
        <v>-23</v>
      </c>
      <c r="C239" t="s">
        <v>1298</v>
      </c>
      <c r="E239" t="s">
        <v>1299</v>
      </c>
      <c r="H239" t="s">
        <v>1184</v>
      </c>
      <c r="J239" t="s">
        <v>1300</v>
      </c>
    </row>
    <row r="240" spans="1:10">
      <c r="A240" s="10">
        <v>45149.861111111109</v>
      </c>
      <c r="B240">
        <v>-23</v>
      </c>
      <c r="D240" t="s">
        <v>1301</v>
      </c>
      <c r="F240" t="s">
        <v>1302</v>
      </c>
      <c r="I240" t="s">
        <v>1303</v>
      </c>
    </row>
    <row r="241" spans="1:10">
      <c r="A241" s="10">
        <v>45149.864583333336</v>
      </c>
      <c r="G241" t="s">
        <v>1304</v>
      </c>
    </row>
    <row r="242" spans="1:10">
      <c r="A242" s="10">
        <v>45149.868055555555</v>
      </c>
      <c r="B242">
        <v>-23</v>
      </c>
      <c r="C242" t="s">
        <v>1289</v>
      </c>
      <c r="E242" t="s">
        <v>1305</v>
      </c>
      <c r="H242" t="s">
        <v>1306</v>
      </c>
      <c r="J242" t="s">
        <v>1307</v>
      </c>
    </row>
    <row r="243" spans="1:10">
      <c r="A243" s="10">
        <v>45149.871527777781</v>
      </c>
      <c r="B243">
        <v>-23</v>
      </c>
      <c r="D243" t="s">
        <v>1308</v>
      </c>
      <c r="I243" t="s">
        <v>1309</v>
      </c>
    </row>
    <row r="244" spans="1:10">
      <c r="A244" s="10">
        <v>45149.875</v>
      </c>
      <c r="B244">
        <v>-23</v>
      </c>
      <c r="G244" t="s">
        <v>1310</v>
      </c>
    </row>
    <row r="245" spans="1:10">
      <c r="A245" s="10">
        <v>45149.878472222219</v>
      </c>
      <c r="B245">
        <v>-23</v>
      </c>
      <c r="C245" t="s">
        <v>817</v>
      </c>
      <c r="E245" t="s">
        <v>1311</v>
      </c>
      <c r="H245" t="s">
        <v>1312</v>
      </c>
      <c r="J245" t="s">
        <v>1313</v>
      </c>
    </row>
    <row r="246" spans="1:10">
      <c r="A246" s="10">
        <v>45149.881944444445</v>
      </c>
      <c r="B246">
        <v>-22</v>
      </c>
      <c r="D246" t="s">
        <v>1314</v>
      </c>
      <c r="F246" t="s">
        <v>1315</v>
      </c>
      <c r="I246" t="s">
        <v>1316</v>
      </c>
    </row>
    <row r="247" spans="1:10">
      <c r="A247" s="10">
        <v>45149.885416666664</v>
      </c>
      <c r="G247" t="s">
        <v>1285</v>
      </c>
    </row>
    <row r="248" spans="1:10">
      <c r="A248" s="10">
        <v>45149.888888888891</v>
      </c>
      <c r="B248">
        <v>-22</v>
      </c>
      <c r="C248" t="s">
        <v>1317</v>
      </c>
      <c r="E248" t="s">
        <v>1318</v>
      </c>
      <c r="H248" t="s">
        <v>1319</v>
      </c>
      <c r="J248" t="s">
        <v>1320</v>
      </c>
    </row>
    <row r="249" spans="1:10">
      <c r="A249" s="10">
        <v>45149.892361111109</v>
      </c>
      <c r="B249">
        <v>-22</v>
      </c>
      <c r="I249" t="s">
        <v>812</v>
      </c>
    </row>
    <row r="250" spans="1:10">
      <c r="A250" s="10">
        <v>45149.895833333336</v>
      </c>
      <c r="B250">
        <v>-22</v>
      </c>
      <c r="D250" t="s">
        <v>1200</v>
      </c>
      <c r="F250" t="s">
        <v>1321</v>
      </c>
    </row>
    <row r="251" spans="1:10">
      <c r="A251" s="10">
        <v>45149.899305555555</v>
      </c>
      <c r="B251">
        <v>-22</v>
      </c>
      <c r="C251" t="s">
        <v>1322</v>
      </c>
      <c r="E251" t="s">
        <v>1323</v>
      </c>
      <c r="G251" t="s">
        <v>1324</v>
      </c>
    </row>
    <row r="252" spans="1:10">
      <c r="A252" s="10">
        <v>45149.902777777781</v>
      </c>
      <c r="B252">
        <v>-22</v>
      </c>
      <c r="H252" t="s">
        <v>1325</v>
      </c>
      <c r="J252" t="s">
        <v>1213</v>
      </c>
    </row>
    <row r="253" spans="1:10">
      <c r="A253" s="10">
        <v>45149.90625</v>
      </c>
      <c r="D253" t="s">
        <v>1326</v>
      </c>
      <c r="F253" t="s">
        <v>1327</v>
      </c>
      <c r="I253" t="s">
        <v>1328</v>
      </c>
    </row>
    <row r="254" spans="1:10">
      <c r="A254" s="10">
        <v>45149.909722222219</v>
      </c>
      <c r="B254">
        <v>-22</v>
      </c>
      <c r="G254" t="s">
        <v>1329</v>
      </c>
    </row>
    <row r="255" spans="1:10">
      <c r="A255" s="10">
        <v>45149.913194444445</v>
      </c>
      <c r="C255" t="s">
        <v>1330</v>
      </c>
      <c r="E255" t="s">
        <v>1118</v>
      </c>
      <c r="H255" t="s">
        <v>1331</v>
      </c>
      <c r="J255" t="s">
        <v>1332</v>
      </c>
    </row>
    <row r="256" spans="1:10">
      <c r="A256" s="10">
        <v>45149.916666666664</v>
      </c>
      <c r="B256">
        <v>-22</v>
      </c>
      <c r="D256" t="s">
        <v>1333</v>
      </c>
      <c r="I256" t="s">
        <v>1334</v>
      </c>
    </row>
    <row r="257" spans="1:10">
      <c r="A257" s="10">
        <v>45149.920138888891</v>
      </c>
      <c r="B257">
        <v>-21</v>
      </c>
      <c r="F257" t="s">
        <v>1273</v>
      </c>
      <c r="G257" t="s">
        <v>1166</v>
      </c>
    </row>
    <row r="258" spans="1:10">
      <c r="A258" s="10">
        <v>45149.923611111109</v>
      </c>
      <c r="B258">
        <v>-21</v>
      </c>
      <c r="C258" t="s">
        <v>1335</v>
      </c>
      <c r="H258" t="s">
        <v>822</v>
      </c>
      <c r="J258" t="s">
        <v>1336</v>
      </c>
    </row>
    <row r="259" spans="1:10">
      <c r="A259" s="10">
        <v>45149.927083333336</v>
      </c>
      <c r="D259" t="s">
        <v>1337</v>
      </c>
      <c r="I259" t="s">
        <v>1338</v>
      </c>
    </row>
    <row r="260" spans="1:10">
      <c r="A260" s="10">
        <v>45149.930555555555</v>
      </c>
      <c r="B260">
        <v>-21</v>
      </c>
      <c r="F260" t="s">
        <v>1339</v>
      </c>
      <c r="G260" t="s">
        <v>1340</v>
      </c>
    </row>
    <row r="261" spans="1:10">
      <c r="A261" s="10">
        <v>45149.934027777781</v>
      </c>
      <c r="B261">
        <v>-21</v>
      </c>
      <c r="C261" t="s">
        <v>1078</v>
      </c>
      <c r="E261" t="s">
        <v>1341</v>
      </c>
      <c r="H261" t="s">
        <v>1122</v>
      </c>
      <c r="J261" t="s">
        <v>1342</v>
      </c>
    </row>
    <row r="262" spans="1:10">
      <c r="A262" s="10">
        <v>45149.9375</v>
      </c>
      <c r="B262">
        <v>-21</v>
      </c>
      <c r="D262" t="s">
        <v>860</v>
      </c>
      <c r="I262" t="s">
        <v>1343</v>
      </c>
    </row>
    <row r="263" spans="1:10">
      <c r="A263" s="10">
        <v>45149.940972222219</v>
      </c>
      <c r="B263">
        <v>-21</v>
      </c>
      <c r="F263" t="s">
        <v>1344</v>
      </c>
    </row>
    <row r="264" spans="1:10">
      <c r="A264" s="10">
        <v>45149.944444444445</v>
      </c>
      <c r="B264">
        <v>-21</v>
      </c>
      <c r="C264" t="s">
        <v>1139</v>
      </c>
      <c r="E264" t="s">
        <v>1345</v>
      </c>
      <c r="G264" t="s">
        <v>820</v>
      </c>
      <c r="H264" t="s">
        <v>1346</v>
      </c>
    </row>
    <row r="265" spans="1:10">
      <c r="A265" s="10">
        <v>45149.947916666664</v>
      </c>
      <c r="B265">
        <v>-21</v>
      </c>
      <c r="I265" t="s">
        <v>1106</v>
      </c>
      <c r="J265" t="s">
        <v>1347</v>
      </c>
    </row>
    <row r="266" spans="1:10">
      <c r="A266" s="10">
        <v>45149.951388888891</v>
      </c>
      <c r="D266" t="s">
        <v>1064</v>
      </c>
      <c r="F266" t="s">
        <v>1348</v>
      </c>
    </row>
    <row r="267" spans="1:10">
      <c r="A267" s="10">
        <v>45149.954861111109</v>
      </c>
      <c r="B267">
        <v>-21</v>
      </c>
      <c r="C267" t="s">
        <v>1134</v>
      </c>
      <c r="E267" t="s">
        <v>816</v>
      </c>
      <c r="G267" t="s">
        <v>1349</v>
      </c>
    </row>
    <row r="268" spans="1:10">
      <c r="A268" s="10">
        <v>45149.958333333336</v>
      </c>
      <c r="B268">
        <v>-20</v>
      </c>
      <c r="H268" t="s">
        <v>1350</v>
      </c>
      <c r="J268" t="s">
        <v>1351</v>
      </c>
    </row>
    <row r="269" spans="1:10">
      <c r="A269" s="10">
        <v>45149.961805555555</v>
      </c>
      <c r="B269">
        <v>-20</v>
      </c>
      <c r="D269" t="s">
        <v>1128</v>
      </c>
      <c r="F269" t="s">
        <v>1105</v>
      </c>
      <c r="I269" t="s">
        <v>1352</v>
      </c>
    </row>
    <row r="270" spans="1:10">
      <c r="A270" s="10">
        <v>45149.965277777781</v>
      </c>
      <c r="B270">
        <v>-20</v>
      </c>
      <c r="G270" t="s">
        <v>1353</v>
      </c>
    </row>
    <row r="271" spans="1:10">
      <c r="A271" s="10">
        <v>45149.96875</v>
      </c>
      <c r="B271">
        <v>-20</v>
      </c>
      <c r="C271">
        <v>-14</v>
      </c>
      <c r="H271" t="s">
        <v>827</v>
      </c>
      <c r="J271" t="s">
        <v>1354</v>
      </c>
    </row>
    <row r="272" spans="1:10">
      <c r="A272" s="10">
        <v>45149.972222222219</v>
      </c>
      <c r="D272" t="s">
        <v>1355</v>
      </c>
      <c r="I272" t="s">
        <v>1356</v>
      </c>
    </row>
    <row r="273" spans="1:10">
      <c r="A273" s="10">
        <v>45149.975694444445</v>
      </c>
      <c r="B273">
        <v>-20</v>
      </c>
      <c r="F273" t="s">
        <v>1357</v>
      </c>
      <c r="G273" t="s">
        <v>1049</v>
      </c>
    </row>
    <row r="274" spans="1:10">
      <c r="A274" s="10">
        <v>45149.979166666664</v>
      </c>
      <c r="B274">
        <v>-20</v>
      </c>
      <c r="C274" t="s">
        <v>838</v>
      </c>
      <c r="E274" t="s">
        <v>1358</v>
      </c>
      <c r="H274" t="s">
        <v>1356</v>
      </c>
      <c r="J274" t="s">
        <v>1359</v>
      </c>
    </row>
    <row r="275" spans="1:10">
      <c r="A275" s="10">
        <v>45149.982638888891</v>
      </c>
      <c r="B275">
        <v>-20</v>
      </c>
      <c r="D275" t="s">
        <v>1074</v>
      </c>
      <c r="I275" t="s">
        <v>1060</v>
      </c>
    </row>
    <row r="276" spans="1:10">
      <c r="A276" s="10">
        <v>45149.986111111109</v>
      </c>
      <c r="B276">
        <v>-20</v>
      </c>
      <c r="F276" t="s">
        <v>1340</v>
      </c>
    </row>
    <row r="277" spans="1:10">
      <c r="A277" s="10">
        <v>45149.989583333336</v>
      </c>
      <c r="B277">
        <v>-20</v>
      </c>
      <c r="C277" t="s">
        <v>1360</v>
      </c>
      <c r="E277" t="s">
        <v>1115</v>
      </c>
      <c r="G277" t="s">
        <v>1361</v>
      </c>
      <c r="H277" t="s">
        <v>1362</v>
      </c>
    </row>
    <row r="278" spans="1:10">
      <c r="A278" s="10">
        <v>45149.993055555555</v>
      </c>
      <c r="D278" t="s">
        <v>1363</v>
      </c>
      <c r="I278" t="s">
        <v>1364</v>
      </c>
      <c r="J278" t="s">
        <v>1070</v>
      </c>
    </row>
    <row r="279" spans="1:10">
      <c r="A279" s="10">
        <v>45149.996527777781</v>
      </c>
      <c r="B279">
        <v>-19</v>
      </c>
      <c r="F279" t="s">
        <v>1119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0"/>
  <sheetViews>
    <sheetView workbookViewId="0">
      <pane ySplit="1" topLeftCell="A2" activePane="bottomLeft" state="frozen"/>
      <selection pane="bottomLeft" activeCell="R12" sqref="I8:R12"/>
    </sheetView>
  </sheetViews>
  <sheetFormatPr defaultColWidth="11.42578125" defaultRowHeight="15"/>
  <cols>
    <col min="3" max="3" width="14.28515625" bestFit="1" customWidth="1"/>
    <col min="4" max="4" width="12" bestFit="1" customWidth="1"/>
    <col min="5" max="5" width="12.28515625" bestFit="1" customWidth="1"/>
    <col min="6" max="6" width="14.28515625" bestFit="1" customWidth="1"/>
    <col min="7" max="7" width="13.85546875" bestFit="1" customWidth="1"/>
  </cols>
  <sheetData>
    <row r="1" spans="1:18">
      <c r="A1" t="s">
        <v>487</v>
      </c>
      <c r="B1" t="s">
        <v>488</v>
      </c>
      <c r="C1" t="s">
        <v>467</v>
      </c>
      <c r="D1" t="s">
        <v>468</v>
      </c>
      <c r="E1" t="s">
        <v>474</v>
      </c>
      <c r="F1" t="s">
        <v>489</v>
      </c>
      <c r="G1" t="s">
        <v>490</v>
      </c>
    </row>
    <row r="2" spans="1:18">
      <c r="A2">
        <v>2.1</v>
      </c>
      <c r="B2">
        <v>1</v>
      </c>
      <c r="C2" s="2">
        <v>0.33402777777777781</v>
      </c>
      <c r="D2" s="5">
        <v>-9</v>
      </c>
      <c r="E2">
        <v>-7.6533329999999999</v>
      </c>
      <c r="F2">
        <v>-6.7559999999999999E-3</v>
      </c>
      <c r="G2">
        <v>1.3145001999999999</v>
      </c>
      <c r="I2" s="2">
        <f>AVERAGE(C2:C12)</f>
        <v>0.36130050505050509</v>
      </c>
      <c r="J2" s="5">
        <f>AVERAGE(D2:D9)</f>
        <v>-9.3541487499999985</v>
      </c>
      <c r="K2" s="5">
        <f>AVERAGE(E2:E9)</f>
        <v>-8.9912395000000007</v>
      </c>
      <c r="L2" s="9">
        <f>AVERAGE(F2:F9)</f>
        <v>5.8714487500000002E-2</v>
      </c>
      <c r="M2" s="9">
        <f>AVERAGE(G2:G9)</f>
        <v>1.23385255625</v>
      </c>
      <c r="O2" s="7">
        <f>STDEV(D2:D9)/SQRT(COUNT(D2:D9))</f>
        <v>0.19312269820576952</v>
      </c>
      <c r="P2" s="7">
        <f>STDEV(E2:E9)/SQRT(COUNT(E2:E9))</f>
        <v>0.42312885594773714</v>
      </c>
      <c r="Q2" s="7">
        <f>STDEV(F2:F9)/SQRT(COUNT(F2:F9))</f>
        <v>1.8636521267167454E-2</v>
      </c>
      <c r="R2" s="7">
        <f>STDEV(G2:G9)/SQRT(COUNT(G2:G9))</f>
        <v>3.5988571119176679E-2</v>
      </c>
    </row>
    <row r="3" spans="1:18">
      <c r="A3">
        <v>1.2</v>
      </c>
      <c r="B3">
        <v>1</v>
      </c>
      <c r="C3" s="2">
        <v>0.38055555555555554</v>
      </c>
      <c r="D3" s="5">
        <v>-9.6</v>
      </c>
      <c r="E3">
        <v>-8.7833330000000007</v>
      </c>
      <c r="F3">
        <v>1.56565E-2</v>
      </c>
      <c r="G3">
        <v>1.2752637499999999</v>
      </c>
      <c r="I3" s="2">
        <f>AVERAGE(C14:C24)</f>
        <v>0.48333333333333334</v>
      </c>
      <c r="J3" s="5">
        <f>AVERAGE(D14:D21)</f>
        <v>-13.845787499999998</v>
      </c>
      <c r="K3" s="5">
        <f>AVERAGE(E14:E21)</f>
        <v>-13.609000000000002</v>
      </c>
      <c r="L3" s="9">
        <f>AVERAGE(F14:F21)</f>
        <v>0.13510271875000002</v>
      </c>
      <c r="M3" s="9">
        <f>AVERAGE(G14:G21)</f>
        <v>2.9762013812500001</v>
      </c>
      <c r="O3" s="7">
        <f>STDEV(D14:D21)/SQRT(COUNT(D14:D21))</f>
        <v>0.35955862647214543</v>
      </c>
      <c r="P3" s="7">
        <f>STDEV(E14:E21)/SQRT(COUNT(E14:E21))</f>
        <v>0.56795720632304469</v>
      </c>
      <c r="Q3" s="7">
        <f>STDEV(F14:F21)/SQRT(COUNT(F14:F21))</f>
        <v>7.0217019505406106E-3</v>
      </c>
      <c r="R3" s="7">
        <f>STDEV(G14:G21)/SQRT(COUNT(G14:G21))</f>
        <v>0.12897483881003077</v>
      </c>
    </row>
    <row r="4" spans="1:18">
      <c r="A4">
        <v>1.1000000000000001</v>
      </c>
      <c r="B4">
        <v>1</v>
      </c>
      <c r="C4" s="2">
        <v>0.3444444444444445</v>
      </c>
      <c r="D4" s="5">
        <v>-9</v>
      </c>
      <c r="E4">
        <v>-9.9700000000000006</v>
      </c>
      <c r="F4">
        <v>2.4743000000000001E-2</v>
      </c>
      <c r="G4">
        <v>1.37409425</v>
      </c>
      <c r="I4" s="2">
        <f>AVERAGE(C26:C36)</f>
        <v>0.59034090909090908</v>
      </c>
      <c r="J4" s="5">
        <f>AVERAGE(D26:D33)</f>
        <v>-18.329149999999998</v>
      </c>
      <c r="K4" s="5">
        <f>AVERAGE(E26:E33)</f>
        <v>-15.8858125</v>
      </c>
      <c r="L4" s="9">
        <f>AVERAGE(F26:F33)</f>
        <v>9.1809425E-2</v>
      </c>
      <c r="M4" s="9">
        <f>AVERAGE(G26:G33)</f>
        <v>4.8313007312499989</v>
      </c>
      <c r="O4" s="7">
        <f>STDEV(D26:D33)/SQRT(COUNT(D26:D33))</f>
        <v>0.45186790460740361</v>
      </c>
      <c r="P4" s="7">
        <f>STDEV(E26:E33)/SQRT(COUNT(E26:E33))</f>
        <v>0.41122907521125884</v>
      </c>
      <c r="Q4" s="7">
        <f>STDEV(F26:F33)/SQRT(COUNT(F26:F33))</f>
        <v>1.2256663254845444E-2</v>
      </c>
      <c r="R4" s="7">
        <f>STDEV(G26:G33)/SQRT(COUNT(G26:G33))</f>
        <v>0.17988959619725139</v>
      </c>
    </row>
    <row r="5" spans="1:18">
      <c r="A5">
        <v>2.2000000000000002</v>
      </c>
      <c r="B5">
        <v>1</v>
      </c>
      <c r="C5" s="2">
        <v>0.34791666666666665</v>
      </c>
      <c r="D5" s="5">
        <v>-9.1666600000000003</v>
      </c>
      <c r="E5">
        <v>-10.93333</v>
      </c>
      <c r="F5">
        <v>0.11387120000000001</v>
      </c>
      <c r="G5">
        <v>1.053018</v>
      </c>
      <c r="I5" s="2">
        <f>AVERAGE(C38:C48)</f>
        <v>0.75883838383838376</v>
      </c>
      <c r="J5" s="5">
        <f>AVERAGE(D38:D45)</f>
        <v>-21.312475000000003</v>
      </c>
      <c r="K5" s="5">
        <f>AVERAGE(E38:E45)</f>
        <v>-21.498512500000004</v>
      </c>
      <c r="L5" s="9">
        <f>AVERAGE(F38:F45)</f>
        <v>3.6642743749999991E-2</v>
      </c>
      <c r="M5" s="9">
        <f>AVERAGE(G38:G45)</f>
        <v>4.6298770312500004</v>
      </c>
      <c r="O5" s="7">
        <f>STDEV(D38:D45)/SQRT(COUNT(D38:D45))</f>
        <v>0.42659126713568429</v>
      </c>
      <c r="P5" s="7">
        <f>STDEV(E38:E45)/SQRT(COUNT(E38:E45))</f>
        <v>0.87285648763893064</v>
      </c>
      <c r="Q5" s="7">
        <f>STDEV(F38:F45)/SQRT(COUNT(F38:F45))</f>
        <v>4.6116402759314072E-3</v>
      </c>
      <c r="R5" s="7">
        <f>STDEV(G38:G45)/SQRT(COUNT(G38:G45))</f>
        <v>0.23936229238415421</v>
      </c>
    </row>
    <row r="6" spans="1:18">
      <c r="A6">
        <v>4.2</v>
      </c>
      <c r="B6">
        <v>1</v>
      </c>
      <c r="C6" s="2">
        <v>0.35347222222222219</v>
      </c>
      <c r="D6" s="5">
        <v>-9.3332999999999995</v>
      </c>
      <c r="E6">
        <v>-8.0533300000000008</v>
      </c>
      <c r="F6">
        <v>4.2582500000000002E-2</v>
      </c>
      <c r="G6">
        <v>1.2229557499999999</v>
      </c>
      <c r="I6" s="2">
        <f>AVERAGE(C50:C60)</f>
        <v>0.83850308641975302</v>
      </c>
      <c r="J6" s="5">
        <f>AVERAGE(D50:D57)</f>
        <v>-19.770812500000002</v>
      </c>
      <c r="K6" s="5">
        <f>AVERAGE(E50:E57)</f>
        <v>-20.3583</v>
      </c>
      <c r="L6" s="9">
        <f>AVERAGE(F50:F57)</f>
        <v>2.6511056249999998E-2</v>
      </c>
      <c r="M6" s="9">
        <f>AVERAGE(G50:G57)</f>
        <v>2.5655278000000004</v>
      </c>
      <c r="O6" s="7">
        <f>STDEV(D50:D57)/SQRT(COUNT(D50:D57))</f>
        <v>0.47133751458615092</v>
      </c>
      <c r="P6" s="7">
        <f>STDEV(E50:E57)/SQRT(COUNT(E50:E57))</f>
        <v>0.68432972368171008</v>
      </c>
      <c r="Q6" s="7">
        <f>STDEV(F50:F57)/SQRT(COUNT(F50:F57))</f>
        <v>4.3693124447106504E-3</v>
      </c>
      <c r="R6" s="7">
        <f>STDEV(G50:G57)/SQRT(COUNT(G50:G57))</f>
        <v>8.6031297465878662E-2</v>
      </c>
    </row>
    <row r="7" spans="1:18">
      <c r="A7">
        <v>3.2</v>
      </c>
      <c r="B7">
        <v>1</v>
      </c>
      <c r="C7" s="2">
        <v>0.3576388888888889</v>
      </c>
      <c r="D7" s="5">
        <v>-8.8333300000000001</v>
      </c>
      <c r="E7">
        <v>-7.92666</v>
      </c>
      <c r="F7">
        <v>6.5879199999999999E-2</v>
      </c>
      <c r="G7">
        <v>1.292643</v>
      </c>
    </row>
    <row r="8" spans="1:18">
      <c r="A8">
        <v>3.1</v>
      </c>
      <c r="B8">
        <v>1</v>
      </c>
      <c r="C8" s="2">
        <v>0.36249999999999999</v>
      </c>
      <c r="D8" s="5">
        <v>-9.3332999999999995</v>
      </c>
      <c r="E8">
        <v>-10.0966</v>
      </c>
      <c r="F8">
        <v>6.1241999999999998E-2</v>
      </c>
      <c r="G8">
        <v>1.1689320000000001</v>
      </c>
      <c r="I8" s="2">
        <f>I2</f>
        <v>0.36130050505050509</v>
      </c>
      <c r="J8" s="5">
        <f>J2</f>
        <v>-9.3541487499999985</v>
      </c>
      <c r="K8" s="5">
        <f>K2</f>
        <v>-8.9912395000000007</v>
      </c>
      <c r="L8" s="9">
        <f>L2*1000</f>
        <v>58.714487500000004</v>
      </c>
      <c r="M8" s="5">
        <f>M2</f>
        <v>1.23385255625</v>
      </c>
      <c r="O8" s="5">
        <f>O2</f>
        <v>0.19312269820576952</v>
      </c>
      <c r="P8" s="5">
        <f>P2</f>
        <v>0.42312885594773714</v>
      </c>
      <c r="Q8" s="9">
        <f>Q2*1000</f>
        <v>18.636521267167453</v>
      </c>
      <c r="R8" s="5">
        <f>R2</f>
        <v>3.5988571119176679E-2</v>
      </c>
    </row>
    <row r="9" spans="1:18">
      <c r="A9">
        <v>4.0999999999999996</v>
      </c>
      <c r="B9">
        <v>1</v>
      </c>
      <c r="C9" s="2">
        <v>0.3666666666666667</v>
      </c>
      <c r="D9" s="5">
        <v>-10.566599999999999</v>
      </c>
      <c r="E9">
        <v>-8.5133299999999998</v>
      </c>
      <c r="F9">
        <v>0.15249750000000001</v>
      </c>
      <c r="G9">
        <v>1.1694135000000001</v>
      </c>
      <c r="I9" s="2">
        <f t="shared" ref="I9:I12" si="0">I3</f>
        <v>0.48333333333333334</v>
      </c>
      <c r="J9" s="5">
        <f t="shared" ref="J9:K12" si="1">J3</f>
        <v>-13.845787499999998</v>
      </c>
      <c r="K9" s="5">
        <f t="shared" si="1"/>
        <v>-13.609000000000002</v>
      </c>
      <c r="L9" s="9">
        <f t="shared" ref="L9:L12" si="2">L3*1000</f>
        <v>135.10271875000001</v>
      </c>
      <c r="M9" s="5">
        <f t="shared" ref="M9" si="3">M3</f>
        <v>2.9762013812500001</v>
      </c>
      <c r="O9" s="5">
        <f t="shared" ref="O9:P9" si="4">O3</f>
        <v>0.35955862647214543</v>
      </c>
      <c r="P9" s="5">
        <f t="shared" si="4"/>
        <v>0.56795720632304469</v>
      </c>
      <c r="Q9" s="9">
        <f t="shared" ref="Q9:Q12" si="5">Q3*1000</f>
        <v>7.0217019505406109</v>
      </c>
      <c r="R9" s="5">
        <f t="shared" ref="R9:R12" si="6">R3</f>
        <v>0.12897483881003077</v>
      </c>
    </row>
    <row r="10" spans="1:18">
      <c r="A10" t="s">
        <v>807</v>
      </c>
      <c r="B10">
        <v>1</v>
      </c>
      <c r="C10" s="2">
        <v>0.37291666666666662</v>
      </c>
      <c r="D10" s="5">
        <v>-11.833299999999999</v>
      </c>
      <c r="E10">
        <v>-15</v>
      </c>
      <c r="F10">
        <v>6.3612500000000002E-2</v>
      </c>
      <c r="G10">
        <v>1.51137275</v>
      </c>
      <c r="I10" s="2">
        <f t="shared" si="0"/>
        <v>0.59034090909090908</v>
      </c>
      <c r="J10" s="5">
        <f t="shared" si="1"/>
        <v>-18.329149999999998</v>
      </c>
      <c r="K10" s="5">
        <f t="shared" si="1"/>
        <v>-15.8858125</v>
      </c>
      <c r="L10" s="9">
        <f t="shared" si="2"/>
        <v>91.809425000000005</v>
      </c>
      <c r="M10" s="5">
        <f t="shared" ref="M10" si="7">M4</f>
        <v>4.8313007312499989</v>
      </c>
      <c r="O10" s="5">
        <f t="shared" ref="O10:P10" si="8">O4</f>
        <v>0.45186790460740361</v>
      </c>
      <c r="P10" s="5">
        <f t="shared" si="8"/>
        <v>0.41122907521125884</v>
      </c>
      <c r="Q10" s="9">
        <f t="shared" si="5"/>
        <v>12.256663254845444</v>
      </c>
      <c r="R10" s="5">
        <f t="shared" si="6"/>
        <v>0.17988959619725139</v>
      </c>
    </row>
    <row r="11" spans="1:18">
      <c r="A11" t="s">
        <v>808</v>
      </c>
      <c r="B11">
        <v>1</v>
      </c>
      <c r="C11" s="2">
        <v>0.3756944444444445</v>
      </c>
      <c r="D11" s="5">
        <v>-12.5</v>
      </c>
      <c r="F11">
        <v>4.6980750000000002E-2</v>
      </c>
      <c r="G11">
        <v>1.67913175</v>
      </c>
      <c r="I11" s="2">
        <f t="shared" si="0"/>
        <v>0.75883838383838376</v>
      </c>
      <c r="J11" s="5">
        <f t="shared" si="1"/>
        <v>-21.312475000000003</v>
      </c>
      <c r="K11" s="5">
        <f t="shared" si="1"/>
        <v>-21.498512500000004</v>
      </c>
      <c r="L11" s="9">
        <f t="shared" si="2"/>
        <v>36.642743749999994</v>
      </c>
      <c r="M11" s="5">
        <f t="shared" ref="M11" si="9">M5</f>
        <v>4.6298770312500004</v>
      </c>
      <c r="O11" s="5">
        <f t="shared" ref="O11:P11" si="10">O5</f>
        <v>0.42659126713568429</v>
      </c>
      <c r="P11" s="5">
        <f t="shared" si="10"/>
        <v>0.87285648763893064</v>
      </c>
      <c r="Q11" s="9">
        <f t="shared" si="5"/>
        <v>4.611640275931407</v>
      </c>
      <c r="R11" s="5">
        <f t="shared" si="6"/>
        <v>0.23936229238415421</v>
      </c>
    </row>
    <row r="12" spans="1:18">
      <c r="A12" t="s">
        <v>809</v>
      </c>
      <c r="B12">
        <v>1</v>
      </c>
      <c r="C12" s="2">
        <v>0.37847222222222227</v>
      </c>
      <c r="D12" s="5">
        <v>-12.833299999999999</v>
      </c>
      <c r="F12">
        <v>4.5081000000000003E-2</v>
      </c>
      <c r="G12">
        <v>1.6214835000000001</v>
      </c>
      <c r="I12" s="2">
        <f t="shared" si="0"/>
        <v>0.83850308641975302</v>
      </c>
      <c r="J12" s="5">
        <f t="shared" si="1"/>
        <v>-19.770812500000002</v>
      </c>
      <c r="K12" s="5">
        <f t="shared" si="1"/>
        <v>-20.3583</v>
      </c>
      <c r="L12" s="9">
        <f t="shared" si="2"/>
        <v>26.511056249999999</v>
      </c>
      <c r="M12" s="5">
        <f t="shared" ref="M12" si="11">M6</f>
        <v>2.5655278000000004</v>
      </c>
      <c r="O12" s="5">
        <f t="shared" ref="O12:P12" si="12">O6</f>
        <v>0.47133751458615092</v>
      </c>
      <c r="P12" s="5">
        <f t="shared" si="12"/>
        <v>0.68432972368171008</v>
      </c>
      <c r="Q12" s="9">
        <f t="shared" si="5"/>
        <v>4.3693124447106504</v>
      </c>
      <c r="R12" s="5">
        <f t="shared" si="6"/>
        <v>8.6031297465878662E-2</v>
      </c>
    </row>
    <row r="13" spans="1:18">
      <c r="D13" s="5"/>
    </row>
    <row r="14" spans="1:18">
      <c r="A14">
        <v>2.1</v>
      </c>
      <c r="B14">
        <v>2</v>
      </c>
      <c r="C14" s="2">
        <v>0.46180555555555558</v>
      </c>
      <c r="D14" s="5">
        <v>-13.166600000000001</v>
      </c>
      <c r="E14">
        <v>-11.8066</v>
      </c>
      <c r="F14">
        <v>9.7296999999999995E-2</v>
      </c>
      <c r="G14">
        <v>2.297768</v>
      </c>
    </row>
    <row r="15" spans="1:18">
      <c r="A15">
        <v>1.2</v>
      </c>
      <c r="B15">
        <v>2</v>
      </c>
      <c r="C15" s="2">
        <v>0.46527777777777773</v>
      </c>
      <c r="D15" s="5">
        <v>-12.566599999999999</v>
      </c>
      <c r="E15">
        <v>-15.08</v>
      </c>
      <c r="F15">
        <v>0.11780525</v>
      </c>
      <c r="G15">
        <v>2.7935344999999998</v>
      </c>
    </row>
    <row r="16" spans="1:18">
      <c r="A16">
        <v>1.1000000000000001</v>
      </c>
      <c r="B16">
        <v>2</v>
      </c>
      <c r="C16" s="2">
        <v>0.47152777777777777</v>
      </c>
      <c r="D16" s="5">
        <v>-14.166600000000001</v>
      </c>
      <c r="E16">
        <v>-14.023300000000001</v>
      </c>
      <c r="F16">
        <v>0.13361799999999999</v>
      </c>
      <c r="G16">
        <v>2.8866238000000002</v>
      </c>
    </row>
    <row r="17" spans="1:7">
      <c r="A17">
        <v>2.2000000000000002</v>
      </c>
      <c r="B17">
        <v>2</v>
      </c>
      <c r="C17" s="2">
        <v>0.47430555555555554</v>
      </c>
      <c r="D17" s="5">
        <v>-14.2666</v>
      </c>
      <c r="E17">
        <v>-13.04</v>
      </c>
      <c r="F17">
        <v>0.16157674999999999</v>
      </c>
      <c r="G17">
        <v>2.8617085000000002</v>
      </c>
    </row>
    <row r="18" spans="1:7">
      <c r="A18">
        <v>4.2</v>
      </c>
      <c r="B18">
        <v>2</v>
      </c>
      <c r="C18" s="2">
        <v>0.47847222222222219</v>
      </c>
      <c r="D18" s="5">
        <v>-13</v>
      </c>
      <c r="E18">
        <v>-11.6722</v>
      </c>
      <c r="F18">
        <v>0.13705424999999999</v>
      </c>
      <c r="G18">
        <v>3.12488725</v>
      </c>
    </row>
    <row r="19" spans="1:7">
      <c r="A19">
        <v>3.2</v>
      </c>
      <c r="B19">
        <v>2</v>
      </c>
      <c r="C19" s="2">
        <v>0.48194444444444445</v>
      </c>
      <c r="D19" s="5">
        <v>-13.333299999999999</v>
      </c>
      <c r="E19">
        <v>-15.89</v>
      </c>
      <c r="F19">
        <v>0.14514949999999999</v>
      </c>
      <c r="G19">
        <v>3.00520575</v>
      </c>
    </row>
    <row r="20" spans="1:7">
      <c r="A20">
        <v>3.1</v>
      </c>
      <c r="B20">
        <v>2</v>
      </c>
      <c r="C20" s="2">
        <v>0.48749999999999999</v>
      </c>
      <c r="D20" s="5">
        <v>-15.666600000000001</v>
      </c>
      <c r="E20">
        <v>-12.416600000000001</v>
      </c>
      <c r="F20">
        <v>0.13865350000000001</v>
      </c>
      <c r="G20">
        <v>3.4191824999999998</v>
      </c>
    </row>
    <row r="21" spans="1:7">
      <c r="A21">
        <v>4.0999999999999996</v>
      </c>
      <c r="B21">
        <v>2</v>
      </c>
      <c r="C21" s="2">
        <v>0.4909722222222222</v>
      </c>
      <c r="D21" s="5">
        <v>-14.6</v>
      </c>
      <c r="E21">
        <v>-14.943300000000001</v>
      </c>
      <c r="F21">
        <v>0.14966750000000001</v>
      </c>
      <c r="G21">
        <v>3.42070075</v>
      </c>
    </row>
    <row r="22" spans="1:7">
      <c r="A22" t="s">
        <v>807</v>
      </c>
      <c r="B22">
        <v>2</v>
      </c>
      <c r="C22" s="2">
        <v>0.49861111111111112</v>
      </c>
      <c r="D22" s="5">
        <v>-20.666599999999999</v>
      </c>
      <c r="E22">
        <v>-14.5</v>
      </c>
      <c r="F22">
        <v>4.79785E-2</v>
      </c>
      <c r="G22">
        <v>4.9937512499999999</v>
      </c>
    </row>
    <row r="23" spans="1:7">
      <c r="A23" t="s">
        <v>808</v>
      </c>
      <c r="B23">
        <v>2</v>
      </c>
      <c r="C23" s="2">
        <v>0.50138888888888888</v>
      </c>
      <c r="D23" s="5">
        <v>-20.6</v>
      </c>
      <c r="F23">
        <v>5.9736499999999998E-2</v>
      </c>
      <c r="G23">
        <v>4.6613629999999997</v>
      </c>
    </row>
    <row r="24" spans="1:7">
      <c r="A24" t="s">
        <v>809</v>
      </c>
      <c r="B24">
        <v>2</v>
      </c>
      <c r="C24" s="2">
        <v>0.50486111111111109</v>
      </c>
      <c r="D24" s="5">
        <v>-22.7666</v>
      </c>
      <c r="F24">
        <v>2.846775E-2</v>
      </c>
      <c r="G24">
        <v>5.3569985000000004</v>
      </c>
    </row>
    <row r="25" spans="1:7">
      <c r="D25" s="5"/>
    </row>
    <row r="26" spans="1:7">
      <c r="A26">
        <v>2.1</v>
      </c>
      <c r="B26">
        <v>3</v>
      </c>
      <c r="C26" s="2">
        <v>0.56944444444444442</v>
      </c>
      <c r="D26" s="5">
        <v>-16.333300000000001</v>
      </c>
      <c r="E26">
        <v>-15.39</v>
      </c>
      <c r="F26">
        <v>0.10250425000000001</v>
      </c>
      <c r="G26">
        <v>4.1242314999999996</v>
      </c>
    </row>
    <row r="27" spans="1:7">
      <c r="A27">
        <v>1.2</v>
      </c>
      <c r="B27">
        <v>3</v>
      </c>
      <c r="C27" s="2">
        <v>0.57291666666666663</v>
      </c>
      <c r="D27" s="5">
        <v>-18</v>
      </c>
      <c r="E27">
        <v>-14.79</v>
      </c>
      <c r="F27">
        <v>4.383625E-2</v>
      </c>
      <c r="G27">
        <v>4.3694562499999998</v>
      </c>
    </row>
    <row r="28" spans="1:7">
      <c r="A28">
        <v>1.1000000000000001</v>
      </c>
      <c r="B28">
        <v>3</v>
      </c>
      <c r="C28" s="2">
        <v>0.57777777777777783</v>
      </c>
      <c r="D28" s="5">
        <v>-17.833300000000001</v>
      </c>
      <c r="E28">
        <v>-17.316600000000001</v>
      </c>
      <c r="F28">
        <v>3.1044499999999999E-2</v>
      </c>
      <c r="G28">
        <v>5.7315129999999996</v>
      </c>
    </row>
    <row r="29" spans="1:7">
      <c r="A29">
        <v>2.2000000000000002</v>
      </c>
      <c r="B29">
        <v>3</v>
      </c>
      <c r="C29" s="2">
        <v>0.58124999999999993</v>
      </c>
      <c r="D29" s="5">
        <v>-19.333300000000001</v>
      </c>
      <c r="E29">
        <v>-14.97</v>
      </c>
      <c r="F29">
        <v>0.108149</v>
      </c>
      <c r="G29">
        <v>4.7569885000000003</v>
      </c>
    </row>
    <row r="30" spans="1:7">
      <c r="A30">
        <v>4.2</v>
      </c>
      <c r="B30">
        <v>3</v>
      </c>
      <c r="C30" s="2">
        <v>0.58472222222222225</v>
      </c>
      <c r="D30" s="5">
        <v>-19.5</v>
      </c>
      <c r="E30">
        <v>-16.13</v>
      </c>
      <c r="F30">
        <v>0.110764</v>
      </c>
      <c r="G30">
        <v>4.6539495999999998</v>
      </c>
    </row>
    <row r="31" spans="1:7">
      <c r="A31">
        <v>3.2</v>
      </c>
      <c r="B31">
        <v>3</v>
      </c>
      <c r="C31" s="2">
        <v>0.58888888888888891</v>
      </c>
      <c r="D31" s="5">
        <v>-16.8</v>
      </c>
      <c r="E31">
        <v>-16.726600000000001</v>
      </c>
      <c r="F31">
        <v>0.1224175</v>
      </c>
      <c r="G31">
        <v>4.8388592499999996</v>
      </c>
    </row>
    <row r="32" spans="1:7">
      <c r="A32">
        <v>3.1</v>
      </c>
      <c r="B32">
        <v>3</v>
      </c>
      <c r="C32" s="2">
        <v>0.59444444444444444</v>
      </c>
      <c r="D32" s="5">
        <v>-19.333300000000001</v>
      </c>
      <c r="E32">
        <v>-14.4033</v>
      </c>
      <c r="F32">
        <v>9.72774E-2</v>
      </c>
      <c r="G32">
        <v>5.332681</v>
      </c>
    </row>
    <row r="33" spans="1:7">
      <c r="A33">
        <v>4.0999999999999996</v>
      </c>
      <c r="B33">
        <v>3</v>
      </c>
      <c r="C33" s="2">
        <v>0.59861111111111109</v>
      </c>
      <c r="D33" s="5">
        <v>-19.5</v>
      </c>
      <c r="E33">
        <v>-17.36</v>
      </c>
      <c r="F33">
        <v>0.1184825</v>
      </c>
      <c r="G33">
        <v>4.8427267499999997</v>
      </c>
    </row>
    <row r="34" spans="1:7">
      <c r="A34" t="s">
        <v>807</v>
      </c>
      <c r="B34">
        <v>3</v>
      </c>
      <c r="C34" s="2">
        <v>0.60555555555555551</v>
      </c>
      <c r="D34" s="5">
        <v>-19.166599999999999</v>
      </c>
      <c r="E34">
        <v>-20</v>
      </c>
      <c r="F34">
        <v>2.9555000000000001E-2</v>
      </c>
      <c r="G34">
        <v>6.9526135</v>
      </c>
    </row>
    <row r="35" spans="1:7">
      <c r="A35" t="s">
        <v>808</v>
      </c>
      <c r="B35">
        <v>3</v>
      </c>
      <c r="C35" s="2">
        <v>0.60902777777777783</v>
      </c>
      <c r="D35" s="5">
        <v>-17.566600000000001</v>
      </c>
      <c r="F35">
        <v>4.7244750000000002E-2</v>
      </c>
      <c r="G35">
        <v>6.3440657500000004</v>
      </c>
    </row>
    <row r="36" spans="1:7">
      <c r="A36" t="s">
        <v>809</v>
      </c>
      <c r="B36">
        <v>3</v>
      </c>
      <c r="C36" s="2">
        <v>0.61111111111111105</v>
      </c>
      <c r="D36" s="5">
        <v>-17.333300000000001</v>
      </c>
      <c r="F36">
        <v>5.2705250000000002E-2</v>
      </c>
      <c r="G36">
        <v>6.6615355000000003</v>
      </c>
    </row>
    <row r="37" spans="1:7">
      <c r="D37" s="5"/>
    </row>
    <row r="38" spans="1:7">
      <c r="A38">
        <v>2.1</v>
      </c>
      <c r="B38">
        <v>4</v>
      </c>
      <c r="C38" s="2">
        <v>0.73402777777777783</v>
      </c>
      <c r="D38" s="5">
        <v>-22.333300000000001</v>
      </c>
      <c r="E38">
        <v>-19.533300000000001</v>
      </c>
      <c r="F38">
        <v>1.8532E-2</v>
      </c>
      <c r="G38">
        <v>5.9217107499999999</v>
      </c>
    </row>
    <row r="39" spans="1:7">
      <c r="A39">
        <v>1.2</v>
      </c>
      <c r="B39">
        <v>4</v>
      </c>
      <c r="C39" s="2">
        <v>0.73819444444444438</v>
      </c>
      <c r="D39" s="5">
        <v>-21.833300000000001</v>
      </c>
      <c r="E39">
        <v>-19.456600000000002</v>
      </c>
      <c r="F39">
        <v>2.4715999999999998E-2</v>
      </c>
      <c r="G39">
        <v>5.2499292500000001</v>
      </c>
    </row>
    <row r="40" spans="1:7">
      <c r="A40">
        <v>1.1000000000000001</v>
      </c>
      <c r="B40">
        <v>4</v>
      </c>
      <c r="C40" s="2">
        <v>0.74444444444444446</v>
      </c>
      <c r="D40" s="5">
        <v>-19.5</v>
      </c>
      <c r="E40">
        <v>-23.433299999999999</v>
      </c>
      <c r="F40">
        <v>4.0618399999999999E-2</v>
      </c>
      <c r="G40">
        <v>4.3050996000000001</v>
      </c>
    </row>
    <row r="41" spans="1:7">
      <c r="A41">
        <v>2.2000000000000002</v>
      </c>
      <c r="B41">
        <v>4</v>
      </c>
      <c r="C41" s="2">
        <v>0.74791666666666667</v>
      </c>
      <c r="D41" s="5">
        <v>-20.166599999999999</v>
      </c>
      <c r="E41">
        <v>-21.18</v>
      </c>
      <c r="F41">
        <v>5.6301499999999997E-2</v>
      </c>
      <c r="G41">
        <v>4.8232067499999998</v>
      </c>
    </row>
    <row r="42" spans="1:7">
      <c r="A42">
        <v>4.2</v>
      </c>
      <c r="B42">
        <v>4</v>
      </c>
      <c r="C42" s="2">
        <v>0.75277777777777777</v>
      </c>
      <c r="D42" s="5">
        <v>-21</v>
      </c>
      <c r="E42">
        <v>-24.8933</v>
      </c>
      <c r="F42">
        <v>4.9224799999999999E-2</v>
      </c>
      <c r="G42">
        <v>4.5893433999999997</v>
      </c>
    </row>
    <row r="43" spans="1:7">
      <c r="A43">
        <v>3.2</v>
      </c>
      <c r="B43">
        <v>4</v>
      </c>
      <c r="C43" s="2">
        <v>0.75763888888888886</v>
      </c>
      <c r="D43" s="5">
        <v>-21.333300000000001</v>
      </c>
      <c r="E43">
        <v>-20.074999999999999</v>
      </c>
      <c r="F43">
        <v>3.1455999999999998E-2</v>
      </c>
      <c r="G43">
        <v>4.0752657499999998</v>
      </c>
    </row>
    <row r="44" spans="1:7">
      <c r="A44">
        <v>3.1</v>
      </c>
      <c r="B44">
        <v>4</v>
      </c>
      <c r="C44" s="2">
        <v>0.76388888888888884</v>
      </c>
      <c r="D44" s="5">
        <v>-23.333300000000001</v>
      </c>
      <c r="E44">
        <v>-18.78</v>
      </c>
      <c r="F44">
        <v>4.42935E-2</v>
      </c>
      <c r="G44">
        <v>4.0549582500000003</v>
      </c>
    </row>
    <row r="45" spans="1:7">
      <c r="A45">
        <v>4.0999999999999996</v>
      </c>
      <c r="B45">
        <v>4</v>
      </c>
      <c r="C45" s="2">
        <v>0.76736111111111116</v>
      </c>
      <c r="D45" s="5">
        <v>-21</v>
      </c>
      <c r="E45">
        <v>-24.636600000000001</v>
      </c>
      <c r="F45">
        <v>2.799975E-2</v>
      </c>
      <c r="G45">
        <v>4.0195024999999998</v>
      </c>
    </row>
    <row r="46" spans="1:7">
      <c r="A46" t="s">
        <v>807</v>
      </c>
      <c r="B46">
        <v>4</v>
      </c>
      <c r="C46" s="2">
        <v>0.77708333333333324</v>
      </c>
      <c r="D46" s="5">
        <v>-23.833300000000001</v>
      </c>
      <c r="E46">
        <v>-22</v>
      </c>
      <c r="F46">
        <v>3.2690200000000003E-2</v>
      </c>
      <c r="G46">
        <v>3.7921664000000002</v>
      </c>
    </row>
    <row r="47" spans="1:7">
      <c r="A47" t="s">
        <v>808</v>
      </c>
      <c r="B47">
        <v>4</v>
      </c>
      <c r="C47" s="2">
        <v>0.77986111111111101</v>
      </c>
      <c r="D47" s="5">
        <v>-25.5</v>
      </c>
      <c r="F47">
        <v>1.9491999999999999E-2</v>
      </c>
      <c r="G47">
        <v>3.5043630000000001</v>
      </c>
    </row>
    <row r="48" spans="1:7">
      <c r="A48" t="s">
        <v>809</v>
      </c>
      <c r="B48">
        <v>4</v>
      </c>
      <c r="C48" s="2">
        <v>0.78402777777777777</v>
      </c>
      <c r="D48" s="5">
        <v>-23.166599999999999</v>
      </c>
      <c r="F48">
        <v>5.1453499999999999E-2</v>
      </c>
      <c r="G48">
        <v>3.6620642499999998</v>
      </c>
    </row>
    <row r="49" spans="1:7">
      <c r="D49" s="5"/>
    </row>
    <row r="50" spans="1:7">
      <c r="A50">
        <v>2.1</v>
      </c>
      <c r="B50">
        <v>5</v>
      </c>
      <c r="C50" s="2">
        <v>0.82013888888888886</v>
      </c>
      <c r="D50" s="5">
        <v>-21.833300000000001</v>
      </c>
      <c r="E50">
        <v>-19.103300000000001</v>
      </c>
      <c r="F50">
        <v>3.4732800000000001E-2</v>
      </c>
      <c r="G50">
        <v>3.0325148</v>
      </c>
    </row>
    <row r="51" spans="1:7">
      <c r="A51">
        <v>1.2</v>
      </c>
      <c r="B51">
        <v>5</v>
      </c>
      <c r="C51" s="2">
        <v>0.82430555555555562</v>
      </c>
      <c r="D51" s="5">
        <v>-21.5</v>
      </c>
      <c r="E51">
        <v>-19.256599999999999</v>
      </c>
      <c r="F51">
        <v>3.1333399999999997E-2</v>
      </c>
      <c r="G51">
        <v>2.8536478000000001</v>
      </c>
    </row>
    <row r="52" spans="1:7">
      <c r="A52">
        <v>1.1000000000000001</v>
      </c>
      <c r="B52">
        <v>5</v>
      </c>
      <c r="C52" s="2">
        <v>0.82916666666666661</v>
      </c>
      <c r="D52" s="5">
        <v>-19.333300000000001</v>
      </c>
      <c r="E52">
        <v>-22.51</v>
      </c>
      <c r="F52">
        <v>4.75965E-2</v>
      </c>
      <c r="G52">
        <v>2.4737330000000002</v>
      </c>
    </row>
    <row r="53" spans="1:7">
      <c r="A53">
        <v>2.2000000000000002</v>
      </c>
      <c r="B53">
        <v>5</v>
      </c>
      <c r="C53" s="2">
        <v>0.83750000000000002</v>
      </c>
      <c r="D53" s="5">
        <v>-18</v>
      </c>
      <c r="E53">
        <v>-21.6433</v>
      </c>
      <c r="F53">
        <v>3.0152749999999999E-2</v>
      </c>
      <c r="G53">
        <v>2.4433514999999999</v>
      </c>
    </row>
    <row r="54" spans="1:7">
      <c r="A54">
        <v>4.2</v>
      </c>
      <c r="B54">
        <v>5</v>
      </c>
      <c r="C54" s="2">
        <v>0.83819444444444446</v>
      </c>
      <c r="D54" s="5">
        <v>-18.5</v>
      </c>
      <c r="E54">
        <v>-22.416599999999999</v>
      </c>
      <c r="F54">
        <v>2.3179749999999999E-2</v>
      </c>
      <c r="G54">
        <v>2.4800119999999999</v>
      </c>
    </row>
    <row r="55" spans="1:7">
      <c r="A55">
        <v>3.2</v>
      </c>
      <c r="B55">
        <v>5</v>
      </c>
      <c r="C55" s="2">
        <v>0.84027777777777779</v>
      </c>
      <c r="D55" s="5">
        <v>-19.666599999999999</v>
      </c>
      <c r="E55">
        <v>-17.6233</v>
      </c>
      <c r="F55">
        <v>1.8788249999999999E-2</v>
      </c>
      <c r="G55">
        <v>2.4859675000000001</v>
      </c>
    </row>
    <row r="56" spans="1:7">
      <c r="A56">
        <v>3.1</v>
      </c>
      <c r="B56">
        <v>5</v>
      </c>
      <c r="C56" s="2">
        <v>0.85138888888888886</v>
      </c>
      <c r="D56" s="5">
        <v>-19.333300000000001</v>
      </c>
      <c r="E56">
        <v>-18.52</v>
      </c>
      <c r="F56">
        <v>1.9962000000000001E-2</v>
      </c>
      <c r="G56">
        <v>2.4307938</v>
      </c>
    </row>
    <row r="57" spans="1:7">
      <c r="A57">
        <v>4.0999999999999996</v>
      </c>
      <c r="B57">
        <v>5</v>
      </c>
      <c r="C57" s="2">
        <v>0.84722222222222221</v>
      </c>
      <c r="D57" s="5">
        <v>-20</v>
      </c>
      <c r="E57">
        <v>-21.793299999999999</v>
      </c>
      <c r="F57">
        <v>6.3429999999999997E-3</v>
      </c>
      <c r="G57">
        <v>2.3242020000000001</v>
      </c>
    </row>
    <row r="58" spans="1:7">
      <c r="A58" t="s">
        <v>807</v>
      </c>
      <c r="B58">
        <v>5</v>
      </c>
      <c r="C58" s="2">
        <v>0.85833333333333339</v>
      </c>
      <c r="D58" s="5">
        <v>-21.333300000000001</v>
      </c>
      <c r="E58">
        <v>-23</v>
      </c>
      <c r="F58">
        <v>4.5510000000000004E-3</v>
      </c>
      <c r="G58">
        <v>2.4035007500000001</v>
      </c>
    </row>
    <row r="59" spans="1:7">
      <c r="A59" t="s">
        <v>808</v>
      </c>
      <c r="B59">
        <v>5</v>
      </c>
    </row>
    <row r="60" spans="1:7">
      <c r="A60" t="s">
        <v>809</v>
      </c>
      <c r="B60">
        <v>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R163"/>
  <sheetViews>
    <sheetView zoomScaleNormal="100" workbookViewId="0">
      <selection activeCell="I7" sqref="I7"/>
    </sheetView>
  </sheetViews>
  <sheetFormatPr defaultColWidth="11.42578125" defaultRowHeight="15"/>
  <sheetData>
    <row r="1" spans="1:96">
      <c r="A1" t="s">
        <v>70</v>
      </c>
      <c r="B1" t="s">
        <v>70</v>
      </c>
      <c r="C1" t="s">
        <v>70</v>
      </c>
      <c r="D1" t="s">
        <v>70</v>
      </c>
      <c r="E1" t="s">
        <v>70</v>
      </c>
      <c r="F1" t="s">
        <v>71</v>
      </c>
      <c r="G1" t="s">
        <v>71</v>
      </c>
      <c r="H1" t="s">
        <v>71</v>
      </c>
      <c r="I1" t="s">
        <v>71</v>
      </c>
      <c r="J1" t="s">
        <v>74</v>
      </c>
      <c r="K1" t="s">
        <v>74</v>
      </c>
      <c r="L1" t="s">
        <v>74</v>
      </c>
      <c r="M1" t="s">
        <v>74</v>
      </c>
      <c r="N1" t="s">
        <v>74</v>
      </c>
      <c r="O1" t="s">
        <v>74</v>
      </c>
      <c r="P1" t="s">
        <v>74</v>
      </c>
      <c r="Q1" t="s">
        <v>74</v>
      </c>
      <c r="R1" t="s">
        <v>74</v>
      </c>
      <c r="S1" t="s">
        <v>74</v>
      </c>
      <c r="T1" t="s">
        <v>74</v>
      </c>
      <c r="U1" t="s">
        <v>74</v>
      </c>
      <c r="V1" t="s">
        <v>75</v>
      </c>
      <c r="W1" t="s">
        <v>75</v>
      </c>
      <c r="X1" t="s">
        <v>75</v>
      </c>
      <c r="Y1" t="s">
        <v>75</v>
      </c>
      <c r="Z1" t="s">
        <v>75</v>
      </c>
      <c r="AA1" t="s">
        <v>75</v>
      </c>
      <c r="AB1" t="s">
        <v>75</v>
      </c>
      <c r="AC1" t="s">
        <v>75</v>
      </c>
      <c r="AD1" t="s">
        <v>75</v>
      </c>
      <c r="AE1" t="s">
        <v>75</v>
      </c>
      <c r="AF1" t="s">
        <v>76</v>
      </c>
      <c r="AG1" t="s">
        <v>76</v>
      </c>
      <c r="AH1" t="s">
        <v>76</v>
      </c>
      <c r="AI1" t="s">
        <v>76</v>
      </c>
      <c r="AJ1" t="s">
        <v>76</v>
      </c>
      <c r="AK1" t="s">
        <v>76</v>
      </c>
      <c r="AL1" t="s">
        <v>76</v>
      </c>
      <c r="AM1" t="s">
        <v>76</v>
      </c>
      <c r="AN1" t="s">
        <v>76</v>
      </c>
      <c r="AO1" t="s">
        <v>76</v>
      </c>
      <c r="AP1" t="s">
        <v>77</v>
      </c>
      <c r="AQ1" t="s">
        <v>77</v>
      </c>
      <c r="AR1" t="s">
        <v>77</v>
      </c>
      <c r="AS1" t="s">
        <v>78</v>
      </c>
      <c r="AT1" t="s">
        <v>78</v>
      </c>
      <c r="AU1" t="s">
        <v>78</v>
      </c>
      <c r="AV1" t="s">
        <v>78</v>
      </c>
      <c r="AW1" t="s">
        <v>78</v>
      </c>
      <c r="AX1" t="s">
        <v>78</v>
      </c>
      <c r="AY1" t="s">
        <v>79</v>
      </c>
      <c r="AZ1" t="s">
        <v>79</v>
      </c>
      <c r="BA1" t="s">
        <v>79</v>
      </c>
      <c r="BB1" t="s">
        <v>79</v>
      </c>
      <c r="BC1" t="s">
        <v>80</v>
      </c>
      <c r="BD1" t="s">
        <v>80</v>
      </c>
      <c r="BE1" t="s">
        <v>80</v>
      </c>
      <c r="BF1" t="s">
        <v>80</v>
      </c>
      <c r="BG1" t="s">
        <v>80</v>
      </c>
      <c r="BH1" t="s">
        <v>80</v>
      </c>
      <c r="BI1" t="s">
        <v>80</v>
      </c>
      <c r="BJ1" t="s">
        <v>80</v>
      </c>
      <c r="BK1" t="s">
        <v>80</v>
      </c>
      <c r="BL1" t="s">
        <v>80</v>
      </c>
      <c r="BM1" t="s">
        <v>80</v>
      </c>
      <c r="BN1" t="s">
        <v>80</v>
      </c>
      <c r="BO1" t="s">
        <v>80</v>
      </c>
      <c r="BP1" t="s">
        <v>80</v>
      </c>
      <c r="BQ1" t="s">
        <v>80</v>
      </c>
      <c r="BR1" t="s">
        <v>81</v>
      </c>
      <c r="BS1" t="s">
        <v>81</v>
      </c>
      <c r="BT1" t="s">
        <v>81</v>
      </c>
      <c r="BU1" t="s">
        <v>81</v>
      </c>
      <c r="BV1" t="s">
        <v>81</v>
      </c>
      <c r="BW1" t="s">
        <v>81</v>
      </c>
      <c r="BX1" t="s">
        <v>81</v>
      </c>
      <c r="BY1" t="s">
        <v>81</v>
      </c>
      <c r="BZ1" t="s">
        <v>81</v>
      </c>
      <c r="CA1" t="s">
        <v>81</v>
      </c>
      <c r="CB1" t="s">
        <v>82</v>
      </c>
      <c r="CC1" t="s">
        <v>82</v>
      </c>
      <c r="CD1" t="s">
        <v>82</v>
      </c>
      <c r="CE1" t="s">
        <v>82</v>
      </c>
      <c r="CF1" t="s">
        <v>82</v>
      </c>
      <c r="CG1" t="s">
        <v>82</v>
      </c>
      <c r="CH1" t="s">
        <v>82</v>
      </c>
      <c r="CI1" t="s">
        <v>82</v>
      </c>
      <c r="CJ1" t="s">
        <v>82</v>
      </c>
      <c r="CK1" t="s">
        <v>82</v>
      </c>
      <c r="CL1" t="s">
        <v>83</v>
      </c>
      <c r="CM1" t="s">
        <v>83</v>
      </c>
      <c r="CN1" t="s">
        <v>83</v>
      </c>
      <c r="CO1" t="s">
        <v>83</v>
      </c>
      <c r="CP1" t="s">
        <v>83</v>
      </c>
      <c r="CQ1" t="s">
        <v>83</v>
      </c>
      <c r="CR1" t="s">
        <v>83</v>
      </c>
    </row>
    <row r="2" spans="1:96">
      <c r="A2" t="s">
        <v>84</v>
      </c>
      <c r="B2" t="s">
        <v>85</v>
      </c>
      <c r="C2" t="s">
        <v>86</v>
      </c>
      <c r="D2" t="s">
        <v>87</v>
      </c>
      <c r="E2" t="s">
        <v>88</v>
      </c>
      <c r="F2" t="s">
        <v>89</v>
      </c>
      <c r="G2" t="s">
        <v>90</v>
      </c>
      <c r="J2" t="s">
        <v>91</v>
      </c>
      <c r="K2" t="s">
        <v>92</v>
      </c>
      <c r="L2" t="s">
        <v>93</v>
      </c>
      <c r="M2" t="s">
        <v>94</v>
      </c>
      <c r="N2" t="s">
        <v>95</v>
      </c>
      <c r="O2" t="s">
        <v>96</v>
      </c>
      <c r="P2" t="s">
        <v>97</v>
      </c>
      <c r="Q2" t="s">
        <v>98</v>
      </c>
      <c r="R2" t="s">
        <v>99</v>
      </c>
      <c r="S2" t="s">
        <v>100</v>
      </c>
      <c r="T2" t="s">
        <v>101</v>
      </c>
      <c r="U2" t="s">
        <v>102</v>
      </c>
      <c r="V2" t="s">
        <v>103</v>
      </c>
      <c r="W2" t="s">
        <v>104</v>
      </c>
      <c r="X2" t="s">
        <v>105</v>
      </c>
      <c r="Y2" t="s">
        <v>106</v>
      </c>
      <c r="Z2" t="s">
        <v>107</v>
      </c>
      <c r="AA2" t="s">
        <v>108</v>
      </c>
      <c r="AB2" t="s">
        <v>109</v>
      </c>
      <c r="AC2" t="s">
        <v>110</v>
      </c>
      <c r="AD2" t="s">
        <v>111</v>
      </c>
      <c r="AE2" t="s">
        <v>112</v>
      </c>
      <c r="AF2" t="s">
        <v>113</v>
      </c>
      <c r="AG2" t="s">
        <v>114</v>
      </c>
      <c r="AH2" t="s">
        <v>115</v>
      </c>
      <c r="AI2" t="s">
        <v>116</v>
      </c>
      <c r="AJ2" t="s">
        <v>117</v>
      </c>
      <c r="AK2" t="s">
        <v>118</v>
      </c>
      <c r="AL2" t="s">
        <v>119</v>
      </c>
      <c r="AM2" t="s">
        <v>120</v>
      </c>
      <c r="AN2" t="s">
        <v>121</v>
      </c>
      <c r="AO2" t="s">
        <v>122</v>
      </c>
      <c r="AP2" t="s">
        <v>123</v>
      </c>
      <c r="AQ2" t="s">
        <v>124</v>
      </c>
      <c r="AR2" t="s">
        <v>125</v>
      </c>
      <c r="AS2" t="s">
        <v>126</v>
      </c>
      <c r="AT2" t="s">
        <v>127</v>
      </c>
      <c r="AU2" t="s">
        <v>128</v>
      </c>
      <c r="AV2" t="s">
        <v>129</v>
      </c>
      <c r="AW2" t="s">
        <v>130</v>
      </c>
      <c r="AX2" t="s">
        <v>131</v>
      </c>
      <c r="AY2" t="s">
        <v>132</v>
      </c>
      <c r="AZ2" t="s">
        <v>133</v>
      </c>
      <c r="BA2" t="s">
        <v>134</v>
      </c>
      <c r="BB2" t="s">
        <v>135</v>
      </c>
      <c r="BC2" t="s">
        <v>136</v>
      </c>
      <c r="BD2" t="s">
        <v>137</v>
      </c>
      <c r="BE2" t="s">
        <v>138</v>
      </c>
      <c r="BF2" t="s">
        <v>139</v>
      </c>
      <c r="BG2" t="s">
        <v>140</v>
      </c>
      <c r="BH2" t="s">
        <v>141</v>
      </c>
      <c r="BI2" t="s">
        <v>142</v>
      </c>
      <c r="BJ2" t="s">
        <v>143</v>
      </c>
      <c r="BK2" t="s">
        <v>144</v>
      </c>
      <c r="BL2" t="s">
        <v>145</v>
      </c>
      <c r="BM2" t="s">
        <v>146</v>
      </c>
      <c r="BN2" t="s">
        <v>147</v>
      </c>
      <c r="BO2" t="s">
        <v>148</v>
      </c>
      <c r="BP2" t="s">
        <v>149</v>
      </c>
      <c r="BQ2" t="s">
        <v>150</v>
      </c>
      <c r="BR2" t="s">
        <v>151</v>
      </c>
      <c r="BS2" t="s">
        <v>152</v>
      </c>
      <c r="BT2" t="s">
        <v>153</v>
      </c>
      <c r="BU2" t="s">
        <v>154</v>
      </c>
      <c r="BV2" t="s">
        <v>155</v>
      </c>
      <c r="BW2" t="s">
        <v>156</v>
      </c>
      <c r="BX2" t="s">
        <v>157</v>
      </c>
      <c r="BY2" t="s">
        <v>158</v>
      </c>
      <c r="BZ2" t="s">
        <v>159</v>
      </c>
      <c r="CA2" t="s">
        <v>160</v>
      </c>
      <c r="CB2" t="s">
        <v>161</v>
      </c>
      <c r="CC2" t="s">
        <v>162</v>
      </c>
      <c r="CD2" t="s">
        <v>163</v>
      </c>
      <c r="CE2" t="s">
        <v>164</v>
      </c>
      <c r="CF2" t="s">
        <v>165</v>
      </c>
      <c r="CG2" t="s">
        <v>166</v>
      </c>
      <c r="CH2" t="s">
        <v>167</v>
      </c>
      <c r="CI2" t="s">
        <v>168</v>
      </c>
      <c r="CJ2" t="s">
        <v>169</v>
      </c>
      <c r="CK2" t="s">
        <v>170</v>
      </c>
      <c r="CL2" t="s">
        <v>171</v>
      </c>
      <c r="CM2" t="s">
        <v>172</v>
      </c>
      <c r="CN2" t="s">
        <v>173</v>
      </c>
      <c r="CO2" t="s">
        <v>174</v>
      </c>
      <c r="CP2" t="s">
        <v>175</v>
      </c>
      <c r="CQ2" t="s">
        <v>176</v>
      </c>
      <c r="CR2" t="s">
        <v>177</v>
      </c>
    </row>
    <row r="3" spans="1:96">
      <c r="B3" t="s">
        <v>178</v>
      </c>
      <c r="C3" t="s">
        <v>179</v>
      </c>
      <c r="J3" t="s">
        <v>180</v>
      </c>
      <c r="K3" t="s">
        <v>180</v>
      </c>
      <c r="L3" t="s">
        <v>180</v>
      </c>
      <c r="M3" t="s">
        <v>181</v>
      </c>
      <c r="N3" t="s">
        <v>182</v>
      </c>
      <c r="O3" t="s">
        <v>182</v>
      </c>
      <c r="P3" t="s">
        <v>182</v>
      </c>
      <c r="Q3" t="s">
        <v>182</v>
      </c>
      <c r="R3" t="s">
        <v>183</v>
      </c>
      <c r="S3" t="s">
        <v>183</v>
      </c>
      <c r="T3" t="s">
        <v>183</v>
      </c>
      <c r="U3" t="s">
        <v>184</v>
      </c>
      <c r="AE3" t="s">
        <v>185</v>
      </c>
      <c r="AF3" t="s">
        <v>186</v>
      </c>
      <c r="AG3" t="s">
        <v>186</v>
      </c>
      <c r="AH3" t="s">
        <v>187</v>
      </c>
      <c r="AI3" t="s">
        <v>187</v>
      </c>
      <c r="AJ3" t="s">
        <v>182</v>
      </c>
      <c r="AK3" t="s">
        <v>188</v>
      </c>
      <c r="AL3" t="s">
        <v>188</v>
      </c>
      <c r="AM3" t="s">
        <v>186</v>
      </c>
      <c r="AN3" t="s">
        <v>185</v>
      </c>
      <c r="AO3" t="s">
        <v>189</v>
      </c>
      <c r="AP3" t="s">
        <v>178</v>
      </c>
      <c r="AQ3" t="s">
        <v>179</v>
      </c>
      <c r="AR3" t="s">
        <v>186</v>
      </c>
      <c r="AZ3" t="s">
        <v>188</v>
      </c>
      <c r="BA3" t="s">
        <v>190</v>
      </c>
      <c r="BB3" t="s">
        <v>191</v>
      </c>
      <c r="BE3" t="s">
        <v>185</v>
      </c>
      <c r="BF3" t="s">
        <v>192</v>
      </c>
      <c r="BG3" t="s">
        <v>193</v>
      </c>
      <c r="BH3" t="s">
        <v>191</v>
      </c>
      <c r="BI3" t="s">
        <v>194</v>
      </c>
      <c r="BJ3" t="s">
        <v>194</v>
      </c>
      <c r="BK3" t="s">
        <v>194</v>
      </c>
      <c r="BM3" t="s">
        <v>186</v>
      </c>
      <c r="BR3" t="s">
        <v>189</v>
      </c>
      <c r="BS3" t="s">
        <v>189</v>
      </c>
      <c r="BT3" t="s">
        <v>189</v>
      </c>
      <c r="BU3" t="s">
        <v>189</v>
      </c>
      <c r="BV3" t="s">
        <v>189</v>
      </c>
      <c r="BW3" t="s">
        <v>189</v>
      </c>
      <c r="BX3" t="s">
        <v>189</v>
      </c>
      <c r="BY3" t="s">
        <v>189</v>
      </c>
      <c r="BZ3" t="s">
        <v>189</v>
      </c>
      <c r="CA3" t="s">
        <v>195</v>
      </c>
    </row>
    <row r="4" spans="1:96">
      <c r="A4">
        <v>1</v>
      </c>
      <c r="B4" s="3">
        <v>0.44004629629629632</v>
      </c>
      <c r="C4" s="1">
        <v>45176</v>
      </c>
      <c r="D4" t="s">
        <v>196</v>
      </c>
      <c r="E4" t="s">
        <v>197</v>
      </c>
      <c r="G4">
        <v>1</v>
      </c>
      <c r="J4">
        <v>9.2143000000000003E-2</v>
      </c>
      <c r="K4">
        <v>2.9168409999999998</v>
      </c>
      <c r="L4">
        <v>8.9321999999999999E-2</v>
      </c>
      <c r="M4">
        <v>0.96508700000000003</v>
      </c>
      <c r="N4">
        <v>1.7780279999999999</v>
      </c>
      <c r="O4">
        <v>1.7524599999999999</v>
      </c>
      <c r="P4">
        <v>2.7840099999999999</v>
      </c>
      <c r="Q4">
        <v>1.0059819999999999</v>
      </c>
      <c r="R4">
        <v>18.371963999999998</v>
      </c>
      <c r="S4">
        <v>18.640003</v>
      </c>
      <c r="T4">
        <v>29.186245</v>
      </c>
      <c r="U4">
        <v>0.44178600000000001</v>
      </c>
      <c r="V4" t="s">
        <v>1365</v>
      </c>
      <c r="W4">
        <v>0</v>
      </c>
      <c r="X4">
        <v>0</v>
      </c>
      <c r="Y4">
        <v>0</v>
      </c>
      <c r="Z4">
        <v>103.180649</v>
      </c>
      <c r="AA4">
        <v>420.19650300000001</v>
      </c>
      <c r="AB4">
        <v>0.75444699999999998</v>
      </c>
      <c r="AC4">
        <v>0.5</v>
      </c>
      <c r="AD4">
        <v>0.8</v>
      </c>
      <c r="AE4">
        <v>52.556395999999999</v>
      </c>
      <c r="AF4">
        <v>64.89</v>
      </c>
      <c r="AG4">
        <v>63.95</v>
      </c>
      <c r="AH4">
        <v>22.53</v>
      </c>
      <c r="AI4">
        <v>22.79</v>
      </c>
      <c r="AJ4">
        <v>95.39</v>
      </c>
      <c r="AK4">
        <v>156.1</v>
      </c>
      <c r="AL4">
        <v>158.80000000000001</v>
      </c>
      <c r="AM4">
        <v>-1.7</v>
      </c>
      <c r="AN4">
        <v>174</v>
      </c>
      <c r="AO4">
        <v>4.0199999999999996</v>
      </c>
      <c r="AP4" s="3">
        <v>0.43995370370370374</v>
      </c>
      <c r="AQ4" s="1">
        <v>45176</v>
      </c>
      <c r="AR4">
        <v>-0.41</v>
      </c>
      <c r="AS4">
        <v>1E-3</v>
      </c>
      <c r="AT4">
        <v>3.0000000000000001E-3</v>
      </c>
      <c r="AU4">
        <v>-9999</v>
      </c>
      <c r="AV4">
        <v>0.128</v>
      </c>
      <c r="AW4">
        <v>4.8639999999999999</v>
      </c>
      <c r="AX4">
        <v>-9999</v>
      </c>
      <c r="AY4">
        <v>1</v>
      </c>
      <c r="AZ4">
        <v>150</v>
      </c>
      <c r="BA4">
        <v>5.0000000000000001E-3</v>
      </c>
      <c r="BB4">
        <v>2</v>
      </c>
      <c r="BC4">
        <v>0</v>
      </c>
      <c r="BD4" t="s">
        <v>200</v>
      </c>
      <c r="BE4">
        <v>7000</v>
      </c>
      <c r="BF4">
        <v>500</v>
      </c>
      <c r="BG4">
        <v>5</v>
      </c>
      <c r="BH4">
        <v>2</v>
      </c>
      <c r="BI4">
        <v>300</v>
      </c>
      <c r="BJ4">
        <v>300</v>
      </c>
      <c r="BK4">
        <v>300</v>
      </c>
      <c r="BL4">
        <v>411.14401199999998</v>
      </c>
      <c r="BM4">
        <v>25</v>
      </c>
      <c r="BN4">
        <v>-6.3609910000000003</v>
      </c>
      <c r="BO4">
        <v>410.98092700000001</v>
      </c>
      <c r="BP4">
        <v>411.07287600000001</v>
      </c>
      <c r="BQ4">
        <v>-9.1949000000000003E-2</v>
      </c>
      <c r="BR4">
        <v>2.4401760000000001</v>
      </c>
      <c r="BS4">
        <v>2.510977</v>
      </c>
      <c r="BT4">
        <v>1.5860380000000001</v>
      </c>
      <c r="BU4">
        <v>1.0064599999999999</v>
      </c>
      <c r="BV4">
        <v>0.30104799999999998</v>
      </c>
      <c r="BW4">
        <v>3.1800000000000001E-3</v>
      </c>
      <c r="BX4">
        <v>3.9077000000000001E-2</v>
      </c>
      <c r="BY4">
        <v>0.26172000000000001</v>
      </c>
      <c r="BZ4">
        <v>103.180649</v>
      </c>
      <c r="CA4">
        <v>3.4000000000000002E-4</v>
      </c>
      <c r="CB4">
        <v>2.3486280000000002</v>
      </c>
      <c r="CC4">
        <v>-5.1E-5</v>
      </c>
      <c r="CD4">
        <v>1</v>
      </c>
      <c r="CE4">
        <v>2.4109430000000001</v>
      </c>
      <c r="CF4">
        <v>-5.7000000000000003E-5</v>
      </c>
      <c r="CG4">
        <v>1</v>
      </c>
      <c r="CH4">
        <v>0.60051900000000002</v>
      </c>
      <c r="CI4">
        <v>0.60216099999999995</v>
      </c>
      <c r="CJ4">
        <v>0.107265</v>
      </c>
      <c r="CK4">
        <v>0</v>
      </c>
      <c r="CL4" t="s">
        <v>1365</v>
      </c>
      <c r="CM4" t="s">
        <v>201</v>
      </c>
      <c r="CN4" t="s">
        <v>202</v>
      </c>
      <c r="CO4" t="s">
        <v>203</v>
      </c>
      <c r="CP4" t="s">
        <v>204</v>
      </c>
      <c r="CQ4" t="s">
        <v>205</v>
      </c>
      <c r="CR4" t="s">
        <v>206</v>
      </c>
    </row>
    <row r="5" spans="1:96">
      <c r="A5">
        <v>2</v>
      </c>
      <c r="B5" s="3">
        <v>0.44017361111111114</v>
      </c>
      <c r="C5" s="1">
        <v>45176</v>
      </c>
      <c r="D5" t="s">
        <v>196</v>
      </c>
      <c r="E5" t="s">
        <v>197</v>
      </c>
      <c r="G5">
        <v>2</v>
      </c>
      <c r="J5">
        <v>0.108546</v>
      </c>
      <c r="K5">
        <v>2.9179789999999999</v>
      </c>
      <c r="L5">
        <v>0.104653</v>
      </c>
      <c r="M5">
        <v>1.0869549999999999</v>
      </c>
      <c r="N5">
        <v>1.827526</v>
      </c>
      <c r="O5">
        <v>1.79877</v>
      </c>
      <c r="P5">
        <v>2.7942650000000002</v>
      </c>
      <c r="Q5">
        <v>0.96673900000000001</v>
      </c>
      <c r="R5">
        <v>18.857206000000001</v>
      </c>
      <c r="S5">
        <v>19.158664999999999</v>
      </c>
      <c r="T5">
        <v>29.293367</v>
      </c>
      <c r="U5">
        <v>0.44178600000000001</v>
      </c>
      <c r="V5" t="s">
        <v>1366</v>
      </c>
      <c r="W5">
        <v>0</v>
      </c>
      <c r="X5">
        <v>0</v>
      </c>
      <c r="Y5">
        <v>0</v>
      </c>
      <c r="Z5">
        <v>105.020645</v>
      </c>
      <c r="AA5">
        <v>456.41604599999999</v>
      </c>
      <c r="AB5">
        <v>0.76990099999999995</v>
      </c>
      <c r="AC5">
        <v>0.5</v>
      </c>
      <c r="AD5">
        <v>0.8</v>
      </c>
      <c r="AE5">
        <v>49.672072999999997</v>
      </c>
      <c r="AF5">
        <v>66.5</v>
      </c>
      <c r="AG5">
        <v>65.45</v>
      </c>
      <c r="AH5">
        <v>22.58</v>
      </c>
      <c r="AI5">
        <v>22.85</v>
      </c>
      <c r="AJ5">
        <v>95.39</v>
      </c>
      <c r="AK5">
        <v>156.19999999999999</v>
      </c>
      <c r="AL5">
        <v>138.6</v>
      </c>
      <c r="AM5">
        <v>11.3</v>
      </c>
      <c r="AN5">
        <v>161</v>
      </c>
      <c r="AO5">
        <v>4.0570000000000004</v>
      </c>
      <c r="AP5" s="3">
        <v>0.43995370370370374</v>
      </c>
      <c r="AQ5" s="1">
        <v>45176</v>
      </c>
      <c r="AR5">
        <v>-0.41</v>
      </c>
      <c r="AS5">
        <v>-1E-3</v>
      </c>
      <c r="AT5">
        <v>0</v>
      </c>
      <c r="AU5">
        <v>-9999</v>
      </c>
      <c r="AV5">
        <v>0.35399999999999998</v>
      </c>
      <c r="AW5">
        <v>1.482</v>
      </c>
      <c r="AX5">
        <v>-9999</v>
      </c>
      <c r="AY5">
        <v>1</v>
      </c>
      <c r="AZ5">
        <v>150</v>
      </c>
      <c r="BA5">
        <v>5.0000000000000001E-3</v>
      </c>
      <c r="BB5">
        <v>2</v>
      </c>
      <c r="BC5">
        <v>0</v>
      </c>
      <c r="BD5" t="s">
        <v>200</v>
      </c>
      <c r="BE5">
        <v>7000</v>
      </c>
      <c r="BF5">
        <v>500</v>
      </c>
      <c r="BG5">
        <v>5</v>
      </c>
      <c r="BH5">
        <v>2</v>
      </c>
      <c r="BI5">
        <v>300</v>
      </c>
      <c r="BJ5">
        <v>300</v>
      </c>
      <c r="BK5">
        <v>300</v>
      </c>
      <c r="BL5">
        <v>448.79864500000002</v>
      </c>
      <c r="BM5">
        <v>25</v>
      </c>
      <c r="BN5">
        <v>-5.2097129999999998</v>
      </c>
      <c r="BO5">
        <v>448.83908100000002</v>
      </c>
      <c r="BP5">
        <v>448.94372600000003</v>
      </c>
      <c r="BQ5">
        <v>-0.104645</v>
      </c>
      <c r="BR5">
        <v>2.4420120000000001</v>
      </c>
      <c r="BS5">
        <v>2.51309</v>
      </c>
      <c r="BT5">
        <v>1.587134</v>
      </c>
      <c r="BU5">
        <v>0.943415</v>
      </c>
      <c r="BV5">
        <v>0.30047000000000001</v>
      </c>
      <c r="BW5">
        <v>3.3270000000000001E-3</v>
      </c>
      <c r="BX5">
        <v>4.0378999999999998E-2</v>
      </c>
      <c r="BY5">
        <v>0.25031300000000001</v>
      </c>
      <c r="BZ5">
        <v>105.020645</v>
      </c>
      <c r="CA5">
        <v>3.3199999999999999E-4</v>
      </c>
      <c r="CB5">
        <v>2.3486280000000002</v>
      </c>
      <c r="CC5">
        <v>-5.1E-5</v>
      </c>
      <c r="CD5">
        <v>1</v>
      </c>
      <c r="CE5">
        <v>2.4109430000000001</v>
      </c>
      <c r="CF5">
        <v>-5.7000000000000003E-5</v>
      </c>
      <c r="CG5">
        <v>1</v>
      </c>
      <c r="CH5">
        <v>0.60051900000000002</v>
      </c>
      <c r="CI5">
        <v>0.60216099999999995</v>
      </c>
      <c r="CJ5">
        <v>0.107265</v>
      </c>
      <c r="CK5">
        <v>0</v>
      </c>
      <c r="CL5" t="s">
        <v>1366</v>
      </c>
      <c r="CM5" t="s">
        <v>201</v>
      </c>
      <c r="CN5" t="s">
        <v>202</v>
      </c>
      <c r="CO5" t="s">
        <v>203</v>
      </c>
      <c r="CP5" t="s">
        <v>204</v>
      </c>
      <c r="CQ5" t="s">
        <v>205</v>
      </c>
      <c r="CR5" t="s">
        <v>206</v>
      </c>
    </row>
    <row r="6" spans="1:96">
      <c r="A6">
        <v>3</v>
      </c>
      <c r="B6" s="3">
        <v>0.44062499999999999</v>
      </c>
      <c r="C6" s="1">
        <v>45176</v>
      </c>
      <c r="D6" t="s">
        <v>196</v>
      </c>
      <c r="E6" t="s">
        <v>197</v>
      </c>
      <c r="G6">
        <v>3</v>
      </c>
      <c r="J6">
        <v>0.36915199999999998</v>
      </c>
      <c r="K6">
        <v>2.9184670000000001</v>
      </c>
      <c r="L6">
        <v>0.32770100000000002</v>
      </c>
      <c r="M6">
        <v>3.481509</v>
      </c>
      <c r="N6">
        <v>1.9414469999999999</v>
      </c>
      <c r="O6">
        <v>1.8494870000000001</v>
      </c>
      <c r="P6">
        <v>2.9290219999999998</v>
      </c>
      <c r="Q6">
        <v>0.98757499999999998</v>
      </c>
      <c r="R6">
        <v>19.388279000000001</v>
      </c>
      <c r="S6">
        <v>20.352301000000001</v>
      </c>
      <c r="T6">
        <v>30.705112</v>
      </c>
      <c r="U6">
        <v>0.44178600000000001</v>
      </c>
      <c r="V6" t="s">
        <v>1367</v>
      </c>
      <c r="W6">
        <v>0</v>
      </c>
      <c r="X6">
        <v>0</v>
      </c>
      <c r="Y6">
        <v>0</v>
      </c>
      <c r="Z6">
        <v>235.47041300000001</v>
      </c>
      <c r="AA6">
        <v>409.13659699999999</v>
      </c>
      <c r="AB6">
        <v>0.42447000000000001</v>
      </c>
      <c r="AC6">
        <v>0.5</v>
      </c>
      <c r="AD6">
        <v>0.8</v>
      </c>
      <c r="AE6">
        <v>85.942763999999997</v>
      </c>
      <c r="AF6">
        <v>69.98</v>
      </c>
      <c r="AG6">
        <v>66.66</v>
      </c>
      <c r="AH6">
        <v>22.73</v>
      </c>
      <c r="AI6">
        <v>23.63</v>
      </c>
      <c r="AJ6">
        <v>95.39</v>
      </c>
      <c r="AK6">
        <v>156.30000000000001</v>
      </c>
      <c r="AL6">
        <v>159</v>
      </c>
      <c r="AM6">
        <v>-1.7</v>
      </c>
      <c r="AN6">
        <v>506</v>
      </c>
      <c r="AO6">
        <v>4.0250000000000004</v>
      </c>
      <c r="AP6" s="3">
        <v>0.43995370370370374</v>
      </c>
      <c r="AQ6" s="1">
        <v>45176</v>
      </c>
      <c r="AR6">
        <v>-0.41</v>
      </c>
      <c r="AS6">
        <v>-2E-3</v>
      </c>
      <c r="AT6">
        <v>-1E-3</v>
      </c>
      <c r="AU6">
        <v>3.0000000000000001E-3</v>
      </c>
      <c r="AV6">
        <v>0.153</v>
      </c>
      <c r="AW6">
        <v>-3.2959999999999998</v>
      </c>
      <c r="AX6">
        <v>7.8029999999999999</v>
      </c>
      <c r="AY6">
        <v>1</v>
      </c>
      <c r="AZ6">
        <v>150</v>
      </c>
      <c r="BA6">
        <v>5.0000000000000001E-3</v>
      </c>
      <c r="BB6">
        <v>2</v>
      </c>
      <c r="BC6">
        <v>0</v>
      </c>
      <c r="BD6" t="s">
        <v>200</v>
      </c>
      <c r="BE6">
        <v>7000</v>
      </c>
      <c r="BF6">
        <v>500</v>
      </c>
      <c r="BG6">
        <v>5</v>
      </c>
      <c r="BH6">
        <v>2</v>
      </c>
      <c r="BI6">
        <v>300</v>
      </c>
      <c r="BJ6">
        <v>300</v>
      </c>
      <c r="BK6">
        <v>300</v>
      </c>
      <c r="BL6">
        <v>402.049194</v>
      </c>
      <c r="BM6">
        <v>25</v>
      </c>
      <c r="BN6">
        <v>-5.4414160000000003</v>
      </c>
      <c r="BO6">
        <v>400.212402</v>
      </c>
      <c r="BP6">
        <v>401.33193999999997</v>
      </c>
      <c r="BQ6">
        <v>-1.119537</v>
      </c>
      <c r="BR6">
        <v>2.4434650000000002</v>
      </c>
      <c r="BS6">
        <v>2.5176219999999998</v>
      </c>
      <c r="BT6">
        <v>1.5876049999999999</v>
      </c>
      <c r="BU6">
        <v>1.006999</v>
      </c>
      <c r="BV6">
        <v>0.29859999999999998</v>
      </c>
      <c r="BW6">
        <v>1.0691000000000001E-2</v>
      </c>
      <c r="BX6">
        <v>4.5497000000000003E-2</v>
      </c>
      <c r="BY6">
        <v>0.55618299999999998</v>
      </c>
      <c r="BZ6">
        <v>235.47041300000001</v>
      </c>
      <c r="CA6">
        <v>3.3100000000000002E-4</v>
      </c>
      <c r="CB6">
        <v>2.3486280000000002</v>
      </c>
      <c r="CC6">
        <v>-5.1E-5</v>
      </c>
      <c r="CD6">
        <v>1</v>
      </c>
      <c r="CE6">
        <v>2.4109430000000001</v>
      </c>
      <c r="CF6">
        <v>-5.7000000000000003E-5</v>
      </c>
      <c r="CG6">
        <v>1</v>
      </c>
      <c r="CH6">
        <v>0.60051900000000002</v>
      </c>
      <c r="CI6">
        <v>0.60216099999999995</v>
      </c>
      <c r="CJ6">
        <v>0.107265</v>
      </c>
      <c r="CK6">
        <v>0</v>
      </c>
      <c r="CL6" t="s">
        <v>1367</v>
      </c>
      <c r="CM6" t="s">
        <v>201</v>
      </c>
      <c r="CN6" t="s">
        <v>202</v>
      </c>
      <c r="CO6" t="s">
        <v>203</v>
      </c>
      <c r="CP6" t="s">
        <v>204</v>
      </c>
      <c r="CQ6" t="s">
        <v>205</v>
      </c>
      <c r="CR6" t="s">
        <v>206</v>
      </c>
    </row>
    <row r="7" spans="1:96">
      <c r="A7">
        <v>4</v>
      </c>
      <c r="B7" s="3">
        <v>0.44140046296296293</v>
      </c>
      <c r="C7" s="1">
        <v>45176</v>
      </c>
      <c r="D7" t="s">
        <v>196</v>
      </c>
      <c r="E7" t="s">
        <v>197</v>
      </c>
      <c r="G7">
        <v>4</v>
      </c>
      <c r="J7">
        <v>0.120972</v>
      </c>
      <c r="K7">
        <v>2.9187069999999999</v>
      </c>
      <c r="L7">
        <v>0.116158</v>
      </c>
      <c r="M7">
        <v>1.1518090000000001</v>
      </c>
      <c r="N7">
        <v>1.921387</v>
      </c>
      <c r="O7">
        <v>1.8909640000000001</v>
      </c>
      <c r="P7">
        <v>2.84361</v>
      </c>
      <c r="Q7">
        <v>0.92222300000000001</v>
      </c>
      <c r="R7">
        <v>19.824180999999999</v>
      </c>
      <c r="S7">
        <v>20.143122000000002</v>
      </c>
      <c r="T7">
        <v>29.811368999999999</v>
      </c>
      <c r="U7">
        <v>0.44178600000000001</v>
      </c>
      <c r="V7" t="s">
        <v>1368</v>
      </c>
      <c r="W7">
        <v>0</v>
      </c>
      <c r="X7">
        <v>0</v>
      </c>
      <c r="Y7">
        <v>0</v>
      </c>
      <c r="Z7">
        <v>106.238724</v>
      </c>
      <c r="AA7">
        <v>415.44030800000002</v>
      </c>
      <c r="AB7">
        <v>0.74427399999999999</v>
      </c>
      <c r="AC7">
        <v>0.5</v>
      </c>
      <c r="AD7">
        <v>0.8</v>
      </c>
      <c r="AE7">
        <v>44.499198999999997</v>
      </c>
      <c r="AF7">
        <v>68.3</v>
      </c>
      <c r="AG7">
        <v>67.22</v>
      </c>
      <c r="AH7">
        <v>22.96</v>
      </c>
      <c r="AI7">
        <v>23.14</v>
      </c>
      <c r="AJ7">
        <v>95.39</v>
      </c>
      <c r="AK7">
        <v>156.30000000000001</v>
      </c>
      <c r="AL7">
        <v>158.80000000000001</v>
      </c>
      <c r="AM7">
        <v>-1.6</v>
      </c>
      <c r="AN7">
        <v>149</v>
      </c>
      <c r="AO7">
        <v>4.0519999999999996</v>
      </c>
      <c r="AP7" s="3">
        <v>0.43995370370370374</v>
      </c>
      <c r="AQ7" s="1">
        <v>45176</v>
      </c>
      <c r="AR7">
        <v>-0.41</v>
      </c>
      <c r="AS7">
        <v>-1E-3</v>
      </c>
      <c r="AT7">
        <v>-3.0000000000000001E-3</v>
      </c>
      <c r="AU7">
        <v>-7.0000000000000001E-3</v>
      </c>
      <c r="AV7">
        <v>-1.6140000000000001</v>
      </c>
      <c r="AW7">
        <v>-3.544</v>
      </c>
      <c r="AX7">
        <v>-10.026</v>
      </c>
      <c r="AY7">
        <v>1</v>
      </c>
      <c r="AZ7">
        <v>150</v>
      </c>
      <c r="BA7">
        <v>5.0000000000000001E-3</v>
      </c>
      <c r="BB7">
        <v>2</v>
      </c>
      <c r="BC7">
        <v>0</v>
      </c>
      <c r="BD7" t="s">
        <v>200</v>
      </c>
      <c r="BE7">
        <v>7000</v>
      </c>
      <c r="BF7">
        <v>500</v>
      </c>
      <c r="BG7">
        <v>5</v>
      </c>
      <c r="BH7">
        <v>2</v>
      </c>
      <c r="BI7">
        <v>300</v>
      </c>
      <c r="BJ7">
        <v>300</v>
      </c>
      <c r="BK7">
        <v>300</v>
      </c>
      <c r="BL7">
        <v>407.13250699999998</v>
      </c>
      <c r="BM7">
        <v>25</v>
      </c>
      <c r="BN7">
        <v>-5.6984630000000003</v>
      </c>
      <c r="BO7">
        <v>406.92687999999998</v>
      </c>
      <c r="BP7">
        <v>407.26696800000002</v>
      </c>
      <c r="BQ7">
        <v>-0.340088</v>
      </c>
      <c r="BR7">
        <v>2.4440970000000002</v>
      </c>
      <c r="BS7">
        <v>2.515368</v>
      </c>
      <c r="BT7">
        <v>1.5878369999999999</v>
      </c>
      <c r="BU7">
        <v>1.0063230000000001</v>
      </c>
      <c r="BV7">
        <v>0.29588599999999998</v>
      </c>
      <c r="BW7">
        <v>2.199E-3</v>
      </c>
      <c r="BX7">
        <v>5.4745000000000002E-2</v>
      </c>
      <c r="BY7">
        <v>0.23982800000000001</v>
      </c>
      <c r="BZ7">
        <v>106.238724</v>
      </c>
      <c r="CA7">
        <v>3.3599999999999998E-4</v>
      </c>
      <c r="CB7">
        <v>2.3486280000000002</v>
      </c>
      <c r="CC7">
        <v>-5.1E-5</v>
      </c>
      <c r="CD7">
        <v>1</v>
      </c>
      <c r="CE7">
        <v>2.4109430000000001</v>
      </c>
      <c r="CF7">
        <v>-5.7000000000000003E-5</v>
      </c>
      <c r="CG7">
        <v>1</v>
      </c>
      <c r="CH7">
        <v>0.60051900000000002</v>
      </c>
      <c r="CI7">
        <v>0.60216099999999995</v>
      </c>
      <c r="CJ7">
        <v>0.107265</v>
      </c>
      <c r="CK7">
        <v>0</v>
      </c>
      <c r="CL7" t="s">
        <v>1368</v>
      </c>
      <c r="CM7" t="s">
        <v>201</v>
      </c>
      <c r="CN7" t="s">
        <v>202</v>
      </c>
      <c r="CO7" t="s">
        <v>203</v>
      </c>
      <c r="CP7" t="s">
        <v>204</v>
      </c>
      <c r="CQ7" t="s">
        <v>205</v>
      </c>
      <c r="CR7" t="s">
        <v>206</v>
      </c>
    </row>
    <row r="8" spans="1:96">
      <c r="A8">
        <v>5</v>
      </c>
      <c r="B8" s="3">
        <v>0.44155092592592587</v>
      </c>
      <c r="C8" s="1">
        <v>45176</v>
      </c>
      <c r="D8" t="s">
        <v>196</v>
      </c>
      <c r="E8" t="s">
        <v>197</v>
      </c>
      <c r="G8">
        <v>5</v>
      </c>
      <c r="J8">
        <v>0.13331200000000001</v>
      </c>
      <c r="K8">
        <v>2.9174519999999999</v>
      </c>
      <c r="L8">
        <v>0.12748599999999999</v>
      </c>
      <c r="M8">
        <v>1.2814080000000001</v>
      </c>
      <c r="N8">
        <v>1.9360029999999999</v>
      </c>
      <c r="O8">
        <v>1.9021319999999999</v>
      </c>
      <c r="P8">
        <v>2.870533</v>
      </c>
      <c r="Q8">
        <v>0.93452999999999997</v>
      </c>
      <c r="R8">
        <v>19.942879000000001</v>
      </c>
      <c r="S8">
        <v>20.298002</v>
      </c>
      <c r="T8">
        <v>30.096073000000001</v>
      </c>
      <c r="U8">
        <v>0.44178600000000001</v>
      </c>
      <c r="V8" t="s">
        <v>1369</v>
      </c>
      <c r="W8">
        <v>0</v>
      </c>
      <c r="X8">
        <v>0</v>
      </c>
      <c r="Y8">
        <v>0</v>
      </c>
      <c r="Z8">
        <v>95.248817000000003</v>
      </c>
      <c r="AA8">
        <v>413.98822000000001</v>
      </c>
      <c r="AB8">
        <v>0.76992400000000005</v>
      </c>
      <c r="AC8">
        <v>0.5</v>
      </c>
      <c r="AD8">
        <v>0.8</v>
      </c>
      <c r="AE8">
        <v>45.783622999999999</v>
      </c>
      <c r="AF8">
        <v>68.64</v>
      </c>
      <c r="AG8">
        <v>67.44</v>
      </c>
      <c r="AH8">
        <v>23.01</v>
      </c>
      <c r="AI8">
        <v>23.3</v>
      </c>
      <c r="AJ8">
        <v>95.38</v>
      </c>
      <c r="AK8">
        <v>156.19999999999999</v>
      </c>
      <c r="AL8">
        <v>158.80000000000001</v>
      </c>
      <c r="AM8">
        <v>-1.7</v>
      </c>
      <c r="AN8">
        <v>149</v>
      </c>
      <c r="AO8">
        <v>4.0439999999999996</v>
      </c>
      <c r="AP8" s="3">
        <v>0.43995370370370374</v>
      </c>
      <c r="AQ8" s="1">
        <v>45176</v>
      </c>
      <c r="AR8">
        <v>-0.41</v>
      </c>
      <c r="AS8">
        <v>-3.0000000000000001E-3</v>
      </c>
      <c r="AT8">
        <v>-2E-3</v>
      </c>
      <c r="AU8">
        <v>-5.0000000000000001E-3</v>
      </c>
      <c r="AV8">
        <v>9.0999999999999998E-2</v>
      </c>
      <c r="AW8">
        <v>-3.7709999999999999</v>
      </c>
      <c r="AX8">
        <v>7.7450000000000001</v>
      </c>
      <c r="AY8">
        <v>1</v>
      </c>
      <c r="AZ8">
        <v>150</v>
      </c>
      <c r="BA8">
        <v>5.0000000000000001E-3</v>
      </c>
      <c r="BB8">
        <v>2</v>
      </c>
      <c r="BC8">
        <v>0</v>
      </c>
      <c r="BD8" t="s">
        <v>200</v>
      </c>
      <c r="BE8">
        <v>7000</v>
      </c>
      <c r="BF8">
        <v>500</v>
      </c>
      <c r="BG8">
        <v>5</v>
      </c>
      <c r="BH8">
        <v>2</v>
      </c>
      <c r="BI8">
        <v>300</v>
      </c>
      <c r="BJ8">
        <v>300</v>
      </c>
      <c r="BK8">
        <v>300</v>
      </c>
      <c r="BL8">
        <v>413.98822000000001</v>
      </c>
      <c r="BM8">
        <v>25</v>
      </c>
      <c r="BN8">
        <v>27.073128000000001</v>
      </c>
      <c r="BO8">
        <v>397.92358400000001</v>
      </c>
      <c r="BP8">
        <v>452.81942700000002</v>
      </c>
      <c r="BQ8">
        <v>-54.895843999999997</v>
      </c>
      <c r="BR8">
        <v>2.4443489999999999</v>
      </c>
      <c r="BS8">
        <v>2.5157940000000001</v>
      </c>
      <c r="BT8">
        <v>1.5866260000000001</v>
      </c>
      <c r="BU8">
        <v>1.00647</v>
      </c>
      <c r="BV8">
        <v>0.29535600000000001</v>
      </c>
      <c r="BW8">
        <v>3.509E-3</v>
      </c>
      <c r="BX8">
        <v>5.6416000000000001E-2</v>
      </c>
      <c r="BY8">
        <v>0.23911099999999999</v>
      </c>
      <c r="BZ8">
        <v>95.248817000000003</v>
      </c>
      <c r="CA8">
        <v>3.3E-4</v>
      </c>
      <c r="CB8">
        <v>2.3486280000000002</v>
      </c>
      <c r="CC8">
        <v>-5.1E-5</v>
      </c>
      <c r="CD8">
        <v>1</v>
      </c>
      <c r="CE8">
        <v>2.4109430000000001</v>
      </c>
      <c r="CF8">
        <v>-5.7000000000000003E-5</v>
      </c>
      <c r="CG8">
        <v>1</v>
      </c>
      <c r="CH8">
        <v>0.60051900000000002</v>
      </c>
      <c r="CI8">
        <v>0.60216099999999995</v>
      </c>
      <c r="CJ8">
        <v>0.107265</v>
      </c>
      <c r="CK8">
        <v>0</v>
      </c>
      <c r="CL8" t="s">
        <v>1369</v>
      </c>
      <c r="CM8" t="s">
        <v>201</v>
      </c>
      <c r="CN8" t="s">
        <v>202</v>
      </c>
      <c r="CO8" t="s">
        <v>203</v>
      </c>
      <c r="CP8" t="s">
        <v>204</v>
      </c>
      <c r="CQ8" t="s">
        <v>205</v>
      </c>
      <c r="CR8" t="s">
        <v>206</v>
      </c>
    </row>
    <row r="9" spans="1:96">
      <c r="A9">
        <v>6</v>
      </c>
      <c r="B9" s="3">
        <v>0.44472222222222224</v>
      </c>
      <c r="C9" s="1">
        <v>45176</v>
      </c>
      <c r="D9" t="s">
        <v>196</v>
      </c>
      <c r="E9" t="s">
        <v>197</v>
      </c>
      <c r="G9">
        <v>6</v>
      </c>
      <c r="J9">
        <v>1.8145999999999999E-2</v>
      </c>
      <c r="K9">
        <v>2.91818</v>
      </c>
      <c r="L9">
        <v>1.8034000000000001E-2</v>
      </c>
      <c r="M9">
        <v>0.24904599999999999</v>
      </c>
      <c r="N9">
        <v>2.0122010000000001</v>
      </c>
      <c r="O9">
        <v>2.005627</v>
      </c>
      <c r="P9">
        <v>3.2927650000000002</v>
      </c>
      <c r="Q9">
        <v>1.280564</v>
      </c>
      <c r="R9">
        <v>21.027643000000001</v>
      </c>
      <c r="S9">
        <v>21.096567</v>
      </c>
      <c r="T9">
        <v>34.522410999999998</v>
      </c>
      <c r="U9">
        <v>0.44178600000000001</v>
      </c>
      <c r="V9" t="s">
        <v>1370</v>
      </c>
      <c r="W9">
        <v>0</v>
      </c>
      <c r="X9">
        <v>0</v>
      </c>
      <c r="Y9">
        <v>0</v>
      </c>
      <c r="Z9">
        <v>68.628074999999995</v>
      </c>
      <c r="AA9">
        <v>147.51010099999999</v>
      </c>
      <c r="AB9">
        <v>0.53475700000000004</v>
      </c>
      <c r="AC9">
        <v>0.5</v>
      </c>
      <c r="AD9">
        <v>0.8</v>
      </c>
      <c r="AE9">
        <v>21.402754000000002</v>
      </c>
      <c r="AF9">
        <v>66.010000000000005</v>
      </c>
      <c r="AG9">
        <v>65.8</v>
      </c>
      <c r="AH9">
        <v>24.29</v>
      </c>
      <c r="AI9">
        <v>25.59</v>
      </c>
      <c r="AJ9">
        <v>95.38</v>
      </c>
      <c r="AK9">
        <v>156.30000000000001</v>
      </c>
      <c r="AL9">
        <v>158.30000000000001</v>
      </c>
      <c r="AM9">
        <v>-1.3</v>
      </c>
      <c r="AN9">
        <v>100</v>
      </c>
      <c r="AO9">
        <v>4.0430000000000001</v>
      </c>
      <c r="AP9" s="3">
        <v>0.43995370370370374</v>
      </c>
      <c r="AQ9" s="1">
        <v>45176</v>
      </c>
      <c r="AR9">
        <v>-0.41</v>
      </c>
      <c r="AS9">
        <v>-1E-3</v>
      </c>
      <c r="AT9">
        <v>-3.0000000000000001E-3</v>
      </c>
      <c r="AU9">
        <v>-1.0999999999999999E-2</v>
      </c>
      <c r="AV9">
        <v>0.44400000000000001</v>
      </c>
      <c r="AW9">
        <v>0.92900000000000005</v>
      </c>
      <c r="AX9">
        <v>1.9850000000000001</v>
      </c>
      <c r="AY9">
        <v>1</v>
      </c>
      <c r="AZ9">
        <v>150</v>
      </c>
      <c r="BA9">
        <v>5.0000000000000001E-3</v>
      </c>
      <c r="BB9">
        <v>2</v>
      </c>
      <c r="BC9">
        <v>0</v>
      </c>
      <c r="BD9" t="s">
        <v>200</v>
      </c>
      <c r="BE9">
        <v>7000</v>
      </c>
      <c r="BF9">
        <v>500</v>
      </c>
      <c r="BG9">
        <v>5</v>
      </c>
      <c r="BH9">
        <v>2</v>
      </c>
      <c r="BI9">
        <v>300</v>
      </c>
      <c r="BJ9">
        <v>300</v>
      </c>
      <c r="BK9">
        <v>300</v>
      </c>
      <c r="BL9">
        <v>139.48774700000001</v>
      </c>
      <c r="BM9">
        <v>25</v>
      </c>
      <c r="BN9">
        <v>-5.6785509999999997</v>
      </c>
      <c r="BO9">
        <v>139.627579</v>
      </c>
      <c r="BP9">
        <v>139.36531099999999</v>
      </c>
      <c r="BQ9">
        <v>0.262268</v>
      </c>
      <c r="BR9">
        <v>2.4420139999999999</v>
      </c>
      <c r="BS9">
        <v>2.5120070000000001</v>
      </c>
      <c r="BT9">
        <v>1.5873280000000001</v>
      </c>
      <c r="BU9">
        <v>1.0047459999999999</v>
      </c>
      <c r="BV9">
        <v>0.28052300000000002</v>
      </c>
      <c r="BW9">
        <v>1.5524E-2</v>
      </c>
      <c r="BX9">
        <v>9.3179999999999999E-2</v>
      </c>
      <c r="BY9">
        <v>0.19600500000000001</v>
      </c>
      <c r="BZ9">
        <v>68.628074999999995</v>
      </c>
      <c r="CA9">
        <v>3.4299999999999999E-4</v>
      </c>
      <c r="CB9">
        <v>2.3486280000000002</v>
      </c>
      <c r="CC9">
        <v>-5.1E-5</v>
      </c>
      <c r="CD9">
        <v>1</v>
      </c>
      <c r="CE9">
        <v>2.4109430000000001</v>
      </c>
      <c r="CF9">
        <v>-5.7000000000000003E-5</v>
      </c>
      <c r="CG9">
        <v>1</v>
      </c>
      <c r="CH9">
        <v>0.60051900000000002</v>
      </c>
      <c r="CI9">
        <v>0.60216099999999995</v>
      </c>
      <c r="CJ9">
        <v>0.107265</v>
      </c>
      <c r="CK9">
        <v>0</v>
      </c>
      <c r="CL9" t="s">
        <v>1370</v>
      </c>
      <c r="CM9" t="s">
        <v>201</v>
      </c>
      <c r="CN9" t="s">
        <v>202</v>
      </c>
      <c r="CO9" t="s">
        <v>203</v>
      </c>
      <c r="CP9" t="s">
        <v>204</v>
      </c>
      <c r="CQ9" t="s">
        <v>205</v>
      </c>
      <c r="CR9" t="s">
        <v>206</v>
      </c>
    </row>
    <row r="10" spans="1:96">
      <c r="A10">
        <v>7</v>
      </c>
      <c r="B10" s="3">
        <v>0.44482638888888887</v>
      </c>
      <c r="C10" s="1">
        <v>45176</v>
      </c>
      <c r="D10" t="s">
        <v>196</v>
      </c>
      <c r="E10" t="s">
        <v>197</v>
      </c>
      <c r="G10">
        <v>7</v>
      </c>
      <c r="J10">
        <v>3.2865999999999999E-2</v>
      </c>
      <c r="K10">
        <v>2.919775</v>
      </c>
      <c r="L10">
        <v>3.2500000000000001E-2</v>
      </c>
      <c r="M10">
        <v>0.53529800000000005</v>
      </c>
      <c r="N10">
        <v>2.0226950000000001</v>
      </c>
      <c r="O10">
        <v>2.0085839999999999</v>
      </c>
      <c r="P10">
        <v>3.5477989999999999</v>
      </c>
      <c r="Q10">
        <v>1.525104</v>
      </c>
      <c r="R10">
        <v>21.058809</v>
      </c>
      <c r="S10">
        <v>21.206748999999999</v>
      </c>
      <c r="T10">
        <v>37.196556000000001</v>
      </c>
      <c r="U10">
        <v>0.44178600000000001</v>
      </c>
      <c r="V10" t="s">
        <v>1371</v>
      </c>
      <c r="W10">
        <v>0</v>
      </c>
      <c r="X10">
        <v>0</v>
      </c>
      <c r="Y10">
        <v>0</v>
      </c>
      <c r="Z10">
        <v>78.951355000000007</v>
      </c>
      <c r="AA10">
        <v>145.53653</v>
      </c>
      <c r="AB10">
        <v>0.45751500000000001</v>
      </c>
      <c r="AC10">
        <v>0.5</v>
      </c>
      <c r="AD10">
        <v>0.8</v>
      </c>
      <c r="AE10">
        <v>120.013161</v>
      </c>
      <c r="AF10">
        <v>66.14</v>
      </c>
      <c r="AG10">
        <v>65.680000000000007</v>
      </c>
      <c r="AH10">
        <v>24.35</v>
      </c>
      <c r="AI10">
        <v>26.85</v>
      </c>
      <c r="AJ10">
        <v>95.38</v>
      </c>
      <c r="AK10">
        <v>156.5</v>
      </c>
      <c r="AL10">
        <v>158.5</v>
      </c>
      <c r="AM10">
        <v>-1.3</v>
      </c>
      <c r="AN10">
        <v>656</v>
      </c>
      <c r="AO10">
        <v>4.0430000000000001</v>
      </c>
      <c r="AP10" s="3">
        <v>0.43995370370370374</v>
      </c>
      <c r="AQ10" s="1">
        <v>45176</v>
      </c>
      <c r="AR10">
        <v>-0.41</v>
      </c>
      <c r="AS10">
        <v>0</v>
      </c>
      <c r="AT10">
        <v>-1E-3</v>
      </c>
      <c r="AU10">
        <v>-9999</v>
      </c>
      <c r="AV10">
        <v>2.8250000000000002</v>
      </c>
      <c r="AW10">
        <v>0.2</v>
      </c>
      <c r="AX10">
        <v>-9999</v>
      </c>
      <c r="AY10">
        <v>1</v>
      </c>
      <c r="AZ10">
        <v>150</v>
      </c>
      <c r="BA10">
        <v>5.0000000000000001E-3</v>
      </c>
      <c r="BB10">
        <v>2</v>
      </c>
      <c r="BC10">
        <v>0</v>
      </c>
      <c r="BD10" t="s">
        <v>200</v>
      </c>
      <c r="BE10">
        <v>7000</v>
      </c>
      <c r="BF10">
        <v>500</v>
      </c>
      <c r="BG10">
        <v>5</v>
      </c>
      <c r="BH10">
        <v>2</v>
      </c>
      <c r="BI10">
        <v>300</v>
      </c>
      <c r="BJ10">
        <v>300</v>
      </c>
      <c r="BK10">
        <v>300</v>
      </c>
      <c r="BL10">
        <v>137.556915</v>
      </c>
      <c r="BM10">
        <v>25</v>
      </c>
      <c r="BN10">
        <v>-5.4957219999999998</v>
      </c>
      <c r="BO10">
        <v>137.16351299999999</v>
      </c>
      <c r="BP10">
        <v>137.653976</v>
      </c>
      <c r="BQ10">
        <v>-0.49046299999999998</v>
      </c>
      <c r="BR10">
        <v>2.441859</v>
      </c>
      <c r="BS10">
        <v>2.5121660000000001</v>
      </c>
      <c r="BT10">
        <v>1.5888709999999999</v>
      </c>
      <c r="BU10">
        <v>1.005314</v>
      </c>
      <c r="BV10">
        <v>0.27992099999999998</v>
      </c>
      <c r="BW10">
        <v>3.0235000000000001E-2</v>
      </c>
      <c r="BX10">
        <v>9.4260999999999998E-2</v>
      </c>
      <c r="BY10">
        <v>0.68886999999999998</v>
      </c>
      <c r="BZ10">
        <v>78.951355000000007</v>
      </c>
      <c r="CA10">
        <v>3.3199999999999999E-4</v>
      </c>
      <c r="CB10">
        <v>2.3486280000000002</v>
      </c>
      <c r="CC10">
        <v>-5.1E-5</v>
      </c>
      <c r="CD10">
        <v>1</v>
      </c>
      <c r="CE10">
        <v>2.4109430000000001</v>
      </c>
      <c r="CF10">
        <v>-5.7000000000000003E-5</v>
      </c>
      <c r="CG10">
        <v>1</v>
      </c>
      <c r="CH10">
        <v>0.60051900000000002</v>
      </c>
      <c r="CI10">
        <v>0.60216099999999995</v>
      </c>
      <c r="CJ10">
        <v>0.107265</v>
      </c>
      <c r="CK10">
        <v>0</v>
      </c>
      <c r="CL10" t="s">
        <v>1371</v>
      </c>
      <c r="CM10" t="s">
        <v>201</v>
      </c>
      <c r="CN10" t="s">
        <v>202</v>
      </c>
      <c r="CO10" t="s">
        <v>203</v>
      </c>
      <c r="CP10" t="s">
        <v>204</v>
      </c>
      <c r="CQ10" t="s">
        <v>205</v>
      </c>
      <c r="CR10" t="s">
        <v>206</v>
      </c>
    </row>
    <row r="11" spans="1:96">
      <c r="A11">
        <v>8</v>
      </c>
      <c r="B11" s="3">
        <v>0.44497685185185182</v>
      </c>
      <c r="C11" s="1">
        <v>45176</v>
      </c>
      <c r="D11" t="s">
        <v>196</v>
      </c>
      <c r="E11" t="s">
        <v>197</v>
      </c>
      <c r="G11">
        <v>8</v>
      </c>
      <c r="J11">
        <v>6.2686000000000006E-2</v>
      </c>
      <c r="K11">
        <v>2.9180860000000002</v>
      </c>
      <c r="L11">
        <v>6.1367999999999999E-2</v>
      </c>
      <c r="M11">
        <v>0.82769899999999996</v>
      </c>
      <c r="N11">
        <v>2.0035970000000001</v>
      </c>
      <c r="O11">
        <v>1.981746</v>
      </c>
      <c r="P11">
        <v>3.2545190000000002</v>
      </c>
      <c r="Q11">
        <v>1.2509220000000001</v>
      </c>
      <c r="R11">
        <v>20.778245999999999</v>
      </c>
      <c r="S11">
        <v>21.007349000000001</v>
      </c>
      <c r="T11">
        <v>34.123035000000002</v>
      </c>
      <c r="U11">
        <v>0.44178600000000001</v>
      </c>
      <c r="V11" t="s">
        <v>1372</v>
      </c>
      <c r="W11">
        <v>0</v>
      </c>
      <c r="X11">
        <v>0</v>
      </c>
      <c r="Y11">
        <v>0</v>
      </c>
      <c r="Z11">
        <v>69.659828000000005</v>
      </c>
      <c r="AA11">
        <v>182.611908</v>
      </c>
      <c r="AB11">
        <v>0.61853599999999997</v>
      </c>
      <c r="AC11">
        <v>0.5</v>
      </c>
      <c r="AD11">
        <v>0.8</v>
      </c>
      <c r="AE11">
        <v>31.767391</v>
      </c>
      <c r="AF11">
        <v>65.25</v>
      </c>
      <c r="AG11">
        <v>64.540000000000006</v>
      </c>
      <c r="AH11">
        <v>24.42</v>
      </c>
      <c r="AI11">
        <v>25.39</v>
      </c>
      <c r="AJ11">
        <v>95.38</v>
      </c>
      <c r="AK11">
        <v>156.30000000000001</v>
      </c>
      <c r="AL11">
        <v>158.4</v>
      </c>
      <c r="AM11">
        <v>-1.4</v>
      </c>
      <c r="AN11">
        <v>128</v>
      </c>
      <c r="AO11">
        <v>4.0430000000000001</v>
      </c>
      <c r="AP11" s="3">
        <v>0.43995370370370374</v>
      </c>
      <c r="AQ11" s="1">
        <v>45176</v>
      </c>
      <c r="AR11">
        <v>-0.41</v>
      </c>
      <c r="AS11">
        <v>1E-3</v>
      </c>
      <c r="AT11">
        <v>3.0000000000000001E-3</v>
      </c>
      <c r="AU11">
        <v>1.0999999999999999E-2</v>
      </c>
      <c r="AV11">
        <v>0.36499999999999999</v>
      </c>
      <c r="AW11">
        <v>0.74199999999999999</v>
      </c>
      <c r="AX11">
        <v>1.9550000000000001</v>
      </c>
      <c r="AY11">
        <v>1</v>
      </c>
      <c r="AZ11">
        <v>150</v>
      </c>
      <c r="BA11">
        <v>5.0000000000000001E-3</v>
      </c>
      <c r="BB11">
        <v>2</v>
      </c>
      <c r="BC11">
        <v>0</v>
      </c>
      <c r="BD11" t="s">
        <v>200</v>
      </c>
      <c r="BE11">
        <v>7000</v>
      </c>
      <c r="BF11">
        <v>500</v>
      </c>
      <c r="BG11">
        <v>5</v>
      </c>
      <c r="BH11">
        <v>2</v>
      </c>
      <c r="BI11">
        <v>300</v>
      </c>
      <c r="BJ11">
        <v>300</v>
      </c>
      <c r="BK11">
        <v>300</v>
      </c>
      <c r="BL11">
        <v>171.83947800000001</v>
      </c>
      <c r="BM11">
        <v>25</v>
      </c>
      <c r="BN11">
        <v>-7.4081830000000002</v>
      </c>
      <c r="BO11">
        <v>173.30860899999999</v>
      </c>
      <c r="BP11">
        <v>171.98629800000001</v>
      </c>
      <c r="BQ11">
        <v>1.322311</v>
      </c>
      <c r="BR11">
        <v>2.440436</v>
      </c>
      <c r="BS11">
        <v>2.510974</v>
      </c>
      <c r="BT11">
        <v>1.587237</v>
      </c>
      <c r="BU11">
        <v>1.005134</v>
      </c>
      <c r="BV11">
        <v>0.27916400000000002</v>
      </c>
      <c r="BW11">
        <v>1.1693E-2</v>
      </c>
      <c r="BX11">
        <v>9.5786999999999997E-2</v>
      </c>
      <c r="BY11">
        <v>0.221138</v>
      </c>
      <c r="BZ11">
        <v>69.659828000000005</v>
      </c>
      <c r="CA11">
        <v>3.4699999999999998E-4</v>
      </c>
      <c r="CB11">
        <v>2.3486280000000002</v>
      </c>
      <c r="CC11">
        <v>-5.1E-5</v>
      </c>
      <c r="CD11">
        <v>1</v>
      </c>
      <c r="CE11">
        <v>2.4109430000000001</v>
      </c>
      <c r="CF11">
        <v>-5.7000000000000003E-5</v>
      </c>
      <c r="CG11">
        <v>1</v>
      </c>
      <c r="CH11">
        <v>0.60051900000000002</v>
      </c>
      <c r="CI11">
        <v>0.60216099999999995</v>
      </c>
      <c r="CJ11">
        <v>0.107265</v>
      </c>
      <c r="CK11">
        <v>0</v>
      </c>
      <c r="CL11" t="s">
        <v>1372</v>
      </c>
      <c r="CM11" t="s">
        <v>201</v>
      </c>
      <c r="CN11" t="s">
        <v>202</v>
      </c>
      <c r="CO11" t="s">
        <v>203</v>
      </c>
      <c r="CP11" t="s">
        <v>204</v>
      </c>
      <c r="CQ11" t="s">
        <v>205</v>
      </c>
      <c r="CR11" t="s">
        <v>206</v>
      </c>
    </row>
    <row r="12" spans="1:96">
      <c r="A12">
        <v>9</v>
      </c>
      <c r="B12" s="3">
        <v>0.4450810185185185</v>
      </c>
      <c r="C12" s="1">
        <v>45176</v>
      </c>
      <c r="D12" t="s">
        <v>196</v>
      </c>
      <c r="E12" t="s">
        <v>197</v>
      </c>
      <c r="G12">
        <v>9</v>
      </c>
      <c r="J12">
        <v>0.10925799999999999</v>
      </c>
      <c r="K12">
        <v>2.9190330000000002</v>
      </c>
      <c r="L12">
        <v>0.10531600000000001</v>
      </c>
      <c r="M12">
        <v>1.397</v>
      </c>
      <c r="N12">
        <v>1.9927889999999999</v>
      </c>
      <c r="O12">
        <v>1.9559329999999999</v>
      </c>
      <c r="P12">
        <v>3.2233010000000002</v>
      </c>
      <c r="Q12">
        <v>1.2305120000000001</v>
      </c>
      <c r="R12">
        <v>20.508247000000001</v>
      </c>
      <c r="S12">
        <v>20.894686</v>
      </c>
      <c r="T12">
        <v>33.796787000000002</v>
      </c>
      <c r="U12">
        <v>0.44178600000000001</v>
      </c>
      <c r="V12" t="s">
        <v>1373</v>
      </c>
      <c r="W12">
        <v>0</v>
      </c>
      <c r="X12">
        <v>0</v>
      </c>
      <c r="Y12">
        <v>0</v>
      </c>
      <c r="Z12">
        <v>88.103058000000004</v>
      </c>
      <c r="AA12">
        <v>256.19442700000002</v>
      </c>
      <c r="AB12">
        <v>0.65610900000000005</v>
      </c>
      <c r="AC12">
        <v>0.5</v>
      </c>
      <c r="AD12">
        <v>0.8</v>
      </c>
      <c r="AE12">
        <v>43.653937999999997</v>
      </c>
      <c r="AF12">
        <v>64.73</v>
      </c>
      <c r="AG12">
        <v>63.54</v>
      </c>
      <c r="AH12">
        <v>24.46</v>
      </c>
      <c r="AI12">
        <v>25.23</v>
      </c>
      <c r="AJ12">
        <v>95.37</v>
      </c>
      <c r="AK12">
        <v>156.4</v>
      </c>
      <c r="AL12">
        <v>158.5</v>
      </c>
      <c r="AM12">
        <v>-1.4</v>
      </c>
      <c r="AN12">
        <v>166</v>
      </c>
      <c r="AO12">
        <v>4.0330000000000004</v>
      </c>
      <c r="AP12" s="3">
        <v>0.43995370370370374</v>
      </c>
      <c r="AQ12" s="1">
        <v>45176</v>
      </c>
      <c r="AR12">
        <v>-0.41</v>
      </c>
      <c r="AS12">
        <v>2E-3</v>
      </c>
      <c r="AT12">
        <v>4.0000000000000001E-3</v>
      </c>
      <c r="AU12">
        <v>1.0999999999999999E-2</v>
      </c>
      <c r="AV12">
        <v>0.109</v>
      </c>
      <c r="AW12">
        <v>-2.9430000000000001</v>
      </c>
      <c r="AX12">
        <v>-3.073</v>
      </c>
      <c r="AY12">
        <v>1</v>
      </c>
      <c r="AZ12">
        <v>150</v>
      </c>
      <c r="BA12">
        <v>5.0000000000000001E-3</v>
      </c>
      <c r="BB12">
        <v>2</v>
      </c>
      <c r="BC12">
        <v>0</v>
      </c>
      <c r="BD12" t="s">
        <v>200</v>
      </c>
      <c r="BE12">
        <v>7000</v>
      </c>
      <c r="BF12">
        <v>500</v>
      </c>
      <c r="BG12">
        <v>5</v>
      </c>
      <c r="BH12">
        <v>2</v>
      </c>
      <c r="BI12">
        <v>300</v>
      </c>
      <c r="BJ12">
        <v>300</v>
      </c>
      <c r="BK12">
        <v>300</v>
      </c>
      <c r="BL12">
        <v>240.58698999999999</v>
      </c>
      <c r="BM12">
        <v>25</v>
      </c>
      <c r="BN12">
        <v>-10.75431</v>
      </c>
      <c r="BO12">
        <v>241.19961499999999</v>
      </c>
      <c r="BP12">
        <v>240.76944</v>
      </c>
      <c r="BQ12">
        <v>0.430176</v>
      </c>
      <c r="BR12">
        <v>2.4391859999999999</v>
      </c>
      <c r="BS12">
        <v>2.510278</v>
      </c>
      <c r="BT12">
        <v>1.588152</v>
      </c>
      <c r="BU12">
        <v>1.005449</v>
      </c>
      <c r="BV12">
        <v>0.27868399999999999</v>
      </c>
      <c r="BW12">
        <v>9.2280000000000001E-3</v>
      </c>
      <c r="BX12">
        <v>9.6859000000000001E-2</v>
      </c>
      <c r="BY12">
        <v>0.25478600000000001</v>
      </c>
      <c r="BZ12">
        <v>88.103058000000004</v>
      </c>
      <c r="CA12">
        <v>3.3799999999999998E-4</v>
      </c>
      <c r="CB12">
        <v>2.3486280000000002</v>
      </c>
      <c r="CC12">
        <v>-5.1E-5</v>
      </c>
      <c r="CD12">
        <v>1</v>
      </c>
      <c r="CE12">
        <v>2.4109430000000001</v>
      </c>
      <c r="CF12">
        <v>-5.7000000000000003E-5</v>
      </c>
      <c r="CG12">
        <v>1</v>
      </c>
      <c r="CH12">
        <v>0.60051900000000002</v>
      </c>
      <c r="CI12">
        <v>0.60216099999999995</v>
      </c>
      <c r="CJ12">
        <v>0.107265</v>
      </c>
      <c r="CK12">
        <v>0</v>
      </c>
      <c r="CL12" t="s">
        <v>1373</v>
      </c>
      <c r="CM12" t="s">
        <v>201</v>
      </c>
      <c r="CN12" t="s">
        <v>202</v>
      </c>
      <c r="CO12" t="s">
        <v>203</v>
      </c>
      <c r="CP12" t="s">
        <v>204</v>
      </c>
      <c r="CQ12" t="s">
        <v>205</v>
      </c>
      <c r="CR12" t="s">
        <v>206</v>
      </c>
    </row>
    <row r="13" spans="1:96">
      <c r="A13">
        <v>10</v>
      </c>
      <c r="B13" s="3">
        <v>0.4500231481481482</v>
      </c>
      <c r="C13" s="1">
        <v>45176</v>
      </c>
      <c r="D13" t="s">
        <v>196</v>
      </c>
      <c r="E13" t="s">
        <v>197</v>
      </c>
      <c r="G13">
        <v>10</v>
      </c>
      <c r="J13">
        <v>5.0180000000000002E-2</v>
      </c>
      <c r="K13">
        <v>2.917891</v>
      </c>
      <c r="L13">
        <v>4.9332000000000001E-2</v>
      </c>
      <c r="M13">
        <v>0.840839</v>
      </c>
      <c r="N13">
        <v>2.1612900000000002</v>
      </c>
      <c r="O13">
        <v>2.1391309999999999</v>
      </c>
      <c r="P13">
        <v>3.7363089999999999</v>
      </c>
      <c r="Q13">
        <v>1.5750189999999999</v>
      </c>
      <c r="R13">
        <v>22.43346</v>
      </c>
      <c r="S13">
        <v>22.665842000000001</v>
      </c>
      <c r="T13">
        <v>39.183352999999997</v>
      </c>
      <c r="U13">
        <v>0.44178600000000001</v>
      </c>
      <c r="V13" t="s">
        <v>1374</v>
      </c>
      <c r="W13">
        <v>0</v>
      </c>
      <c r="X13">
        <v>0</v>
      </c>
      <c r="Y13">
        <v>0</v>
      </c>
      <c r="Z13">
        <v>153.433807</v>
      </c>
      <c r="AA13">
        <v>320.62875400000001</v>
      </c>
      <c r="AB13">
        <v>0.52146000000000003</v>
      </c>
      <c r="AC13">
        <v>0.5</v>
      </c>
      <c r="AD13">
        <v>0.8</v>
      </c>
      <c r="AE13">
        <v>276.68633999999997</v>
      </c>
      <c r="AF13">
        <v>63.55</v>
      </c>
      <c r="AG13">
        <v>62.89</v>
      </c>
      <c r="AH13">
        <v>26.13</v>
      </c>
      <c r="AI13">
        <v>27.73</v>
      </c>
      <c r="AJ13">
        <v>95.35</v>
      </c>
      <c r="AK13">
        <v>156.19999999999999</v>
      </c>
      <c r="AL13">
        <v>158.30000000000001</v>
      </c>
      <c r="AM13">
        <v>-1.3</v>
      </c>
      <c r="AN13">
        <v>1326</v>
      </c>
      <c r="AO13">
        <v>4.032</v>
      </c>
      <c r="AP13" s="3">
        <v>0.44988425925925929</v>
      </c>
      <c r="AQ13" s="1">
        <v>45176</v>
      </c>
      <c r="AR13">
        <v>-0.54</v>
      </c>
      <c r="AS13">
        <v>1E-3</v>
      </c>
      <c r="AT13">
        <v>2E-3</v>
      </c>
      <c r="AU13">
        <v>7.0000000000000001E-3</v>
      </c>
      <c r="AV13">
        <v>-0.94599999999999995</v>
      </c>
      <c r="AW13">
        <v>-2.0819999999999999</v>
      </c>
      <c r="AX13">
        <v>-7.4740000000000002</v>
      </c>
      <c r="AY13">
        <v>1</v>
      </c>
      <c r="AZ13">
        <v>150</v>
      </c>
      <c r="BA13">
        <v>5.0000000000000001E-3</v>
      </c>
      <c r="BB13">
        <v>2</v>
      </c>
      <c r="BC13">
        <v>0</v>
      </c>
      <c r="BD13" t="s">
        <v>200</v>
      </c>
      <c r="BE13">
        <v>7000</v>
      </c>
      <c r="BF13">
        <v>500</v>
      </c>
      <c r="BG13">
        <v>5</v>
      </c>
      <c r="BH13">
        <v>2</v>
      </c>
      <c r="BI13">
        <v>300</v>
      </c>
      <c r="BJ13">
        <v>300</v>
      </c>
      <c r="BK13">
        <v>300</v>
      </c>
      <c r="BL13">
        <v>305.84906000000001</v>
      </c>
      <c r="BM13">
        <v>25</v>
      </c>
      <c r="BN13">
        <v>-10.647508999999999</v>
      </c>
      <c r="BO13">
        <v>305.23718300000002</v>
      </c>
      <c r="BP13">
        <v>305.356964</v>
      </c>
      <c r="BQ13">
        <v>-0.119781</v>
      </c>
      <c r="BR13">
        <v>2.4379810000000002</v>
      </c>
      <c r="BS13">
        <v>2.5084399999999998</v>
      </c>
      <c r="BT13">
        <v>1.5870489999999999</v>
      </c>
      <c r="BU13">
        <v>1.00475</v>
      </c>
      <c r="BV13">
        <v>0.26067600000000002</v>
      </c>
      <c r="BW13">
        <v>1.9446999999999999E-2</v>
      </c>
      <c r="BX13">
        <v>0.14819599999999999</v>
      </c>
      <c r="BY13">
        <v>1.283711</v>
      </c>
      <c r="BZ13">
        <v>153.433807</v>
      </c>
      <c r="CA13">
        <v>3.4499999999999998E-4</v>
      </c>
      <c r="CB13">
        <v>2.3486280000000002</v>
      </c>
      <c r="CC13">
        <v>-5.1E-5</v>
      </c>
      <c r="CD13">
        <v>1</v>
      </c>
      <c r="CE13">
        <v>2.4109430000000001</v>
      </c>
      <c r="CF13">
        <v>-5.7000000000000003E-5</v>
      </c>
      <c r="CG13">
        <v>1</v>
      </c>
      <c r="CH13">
        <v>0.60051900000000002</v>
      </c>
      <c r="CI13">
        <v>0.60216099999999995</v>
      </c>
      <c r="CJ13">
        <v>0.107265</v>
      </c>
      <c r="CK13">
        <v>0</v>
      </c>
      <c r="CL13" t="s">
        <v>1374</v>
      </c>
      <c r="CM13" t="s">
        <v>201</v>
      </c>
      <c r="CN13" t="s">
        <v>202</v>
      </c>
      <c r="CO13" t="s">
        <v>203</v>
      </c>
      <c r="CP13" t="s">
        <v>204</v>
      </c>
      <c r="CQ13" t="s">
        <v>205</v>
      </c>
      <c r="CR13" t="s">
        <v>206</v>
      </c>
    </row>
    <row r="14" spans="1:96">
      <c r="A14">
        <v>11</v>
      </c>
      <c r="B14" s="3">
        <v>0.45023148148148145</v>
      </c>
      <c r="C14" s="1">
        <v>45176</v>
      </c>
      <c r="D14" t="s">
        <v>196</v>
      </c>
      <c r="E14" t="s">
        <v>197</v>
      </c>
      <c r="G14">
        <v>11</v>
      </c>
      <c r="J14">
        <v>0.10272000000000001</v>
      </c>
      <c r="K14">
        <v>2.9187219999999998</v>
      </c>
      <c r="L14">
        <v>9.9227999999999997E-2</v>
      </c>
      <c r="M14">
        <v>1.656463</v>
      </c>
      <c r="N14">
        <v>2.170337</v>
      </c>
      <c r="O14">
        <v>2.1267170000000002</v>
      </c>
      <c r="P14">
        <v>3.713012</v>
      </c>
      <c r="Q14">
        <v>1.542675</v>
      </c>
      <c r="R14">
        <v>22.303623000000002</v>
      </c>
      <c r="S14">
        <v>22.761074000000001</v>
      </c>
      <c r="T14">
        <v>38.939644000000001</v>
      </c>
      <c r="U14">
        <v>0.44178600000000001</v>
      </c>
      <c r="V14" t="s">
        <v>1375</v>
      </c>
      <c r="W14">
        <v>0</v>
      </c>
      <c r="X14">
        <v>0</v>
      </c>
      <c r="Y14">
        <v>0</v>
      </c>
      <c r="Z14">
        <v>84.161285000000007</v>
      </c>
      <c r="AA14">
        <v>243.97633400000001</v>
      </c>
      <c r="AB14">
        <v>0.65504300000000004</v>
      </c>
      <c r="AC14">
        <v>0.5</v>
      </c>
      <c r="AD14">
        <v>0.8</v>
      </c>
      <c r="AE14">
        <v>376.22061200000002</v>
      </c>
      <c r="AF14">
        <v>63.4</v>
      </c>
      <c r="AG14">
        <v>62.13</v>
      </c>
      <c r="AH14">
        <v>26.24</v>
      </c>
      <c r="AI14">
        <v>27.63</v>
      </c>
      <c r="AJ14">
        <v>95.35</v>
      </c>
      <c r="AK14">
        <v>156.30000000000001</v>
      </c>
      <c r="AL14">
        <v>158.1</v>
      </c>
      <c r="AM14">
        <v>-1.1000000000000001</v>
      </c>
      <c r="AN14">
        <v>1436</v>
      </c>
      <c r="AO14">
        <v>3.9929999999999999</v>
      </c>
      <c r="AP14" s="3">
        <v>0.44988425925925929</v>
      </c>
      <c r="AQ14" s="1">
        <v>45176</v>
      </c>
      <c r="AR14">
        <v>-0.54</v>
      </c>
      <c r="AS14">
        <v>-1E-3</v>
      </c>
      <c r="AT14">
        <v>-2E-3</v>
      </c>
      <c r="AU14">
        <v>8.0000000000000002E-3</v>
      </c>
      <c r="AV14">
        <v>-10.170999999999999</v>
      </c>
      <c r="AW14">
        <v>4.5750000000000002</v>
      </c>
      <c r="AX14">
        <v>-15.696999999999999</v>
      </c>
      <c r="AY14">
        <v>1</v>
      </c>
      <c r="AZ14">
        <v>150</v>
      </c>
      <c r="BA14">
        <v>5.0000000000000001E-3</v>
      </c>
      <c r="BB14">
        <v>2</v>
      </c>
      <c r="BC14">
        <v>0</v>
      </c>
      <c r="BD14" t="s">
        <v>200</v>
      </c>
      <c r="BE14">
        <v>7000</v>
      </c>
      <c r="BF14">
        <v>500</v>
      </c>
      <c r="BG14">
        <v>5</v>
      </c>
      <c r="BH14">
        <v>2</v>
      </c>
      <c r="BI14">
        <v>300</v>
      </c>
      <c r="BJ14">
        <v>300</v>
      </c>
      <c r="BK14">
        <v>300</v>
      </c>
      <c r="BL14">
        <v>224.55096399999999</v>
      </c>
      <c r="BM14">
        <v>25</v>
      </c>
      <c r="BN14">
        <v>-13.462346999999999</v>
      </c>
      <c r="BO14">
        <v>226.366287</v>
      </c>
      <c r="BP14">
        <v>224.667191</v>
      </c>
      <c r="BQ14">
        <v>1.6990970000000001</v>
      </c>
      <c r="BR14">
        <v>2.4370099999999999</v>
      </c>
      <c r="BS14">
        <v>2.5082249999999999</v>
      </c>
      <c r="BT14">
        <v>1.5878509999999999</v>
      </c>
      <c r="BU14">
        <v>1.004202</v>
      </c>
      <c r="BV14">
        <v>0.25955499999999998</v>
      </c>
      <c r="BW14">
        <v>1.6809999999999999E-2</v>
      </c>
      <c r="BX14">
        <v>0.150038</v>
      </c>
      <c r="BY14">
        <v>1.3807020000000001</v>
      </c>
      <c r="BZ14">
        <v>84.161285000000007</v>
      </c>
      <c r="CA14">
        <v>3.3700000000000001E-4</v>
      </c>
      <c r="CB14">
        <v>2.3486280000000002</v>
      </c>
      <c r="CC14">
        <v>-5.1E-5</v>
      </c>
      <c r="CD14">
        <v>1</v>
      </c>
      <c r="CE14">
        <v>2.4109430000000001</v>
      </c>
      <c r="CF14">
        <v>-5.7000000000000003E-5</v>
      </c>
      <c r="CG14">
        <v>1</v>
      </c>
      <c r="CH14">
        <v>0.60051900000000002</v>
      </c>
      <c r="CI14">
        <v>0.60216099999999995</v>
      </c>
      <c r="CJ14">
        <v>0.107265</v>
      </c>
      <c r="CK14">
        <v>0</v>
      </c>
      <c r="CL14" t="s">
        <v>1375</v>
      </c>
      <c r="CM14" t="s">
        <v>201</v>
      </c>
      <c r="CN14" t="s">
        <v>202</v>
      </c>
      <c r="CO14" t="s">
        <v>203</v>
      </c>
      <c r="CP14" t="s">
        <v>204</v>
      </c>
      <c r="CQ14" t="s">
        <v>205</v>
      </c>
      <c r="CR14" t="s">
        <v>206</v>
      </c>
    </row>
    <row r="15" spans="1:96">
      <c r="A15">
        <v>12</v>
      </c>
      <c r="B15" s="3">
        <v>0.45039351851851855</v>
      </c>
      <c r="C15" s="1">
        <v>45176</v>
      </c>
      <c r="D15" t="s">
        <v>196</v>
      </c>
      <c r="E15" t="s">
        <v>197</v>
      </c>
      <c r="G15">
        <v>12</v>
      </c>
      <c r="J15">
        <v>8.6733000000000005E-2</v>
      </c>
      <c r="K15">
        <v>2.9189639999999999</v>
      </c>
      <c r="L15">
        <v>8.4229999999999999E-2</v>
      </c>
      <c r="M15">
        <v>1.2742530000000001</v>
      </c>
      <c r="N15">
        <v>2.1247180000000001</v>
      </c>
      <c r="O15">
        <v>2.0911520000000001</v>
      </c>
      <c r="P15">
        <v>3.5245739999999999</v>
      </c>
      <c r="Q15">
        <v>1.3998550000000001</v>
      </c>
      <c r="R15">
        <v>21.929663000000001</v>
      </c>
      <c r="S15">
        <v>22.281668</v>
      </c>
      <c r="T15">
        <v>36.961781000000002</v>
      </c>
      <c r="U15">
        <v>0.44178600000000001</v>
      </c>
      <c r="V15" t="s">
        <v>1376</v>
      </c>
      <c r="W15">
        <v>0</v>
      </c>
      <c r="X15">
        <v>0</v>
      </c>
      <c r="Y15">
        <v>0</v>
      </c>
      <c r="Z15">
        <v>79.115868000000006</v>
      </c>
      <c r="AA15">
        <v>298.21661399999999</v>
      </c>
      <c r="AB15">
        <v>0.73470299999999999</v>
      </c>
      <c r="AC15">
        <v>0.5</v>
      </c>
      <c r="AD15">
        <v>0.8</v>
      </c>
      <c r="AE15">
        <v>51.435935999999998</v>
      </c>
      <c r="AF15">
        <v>61.84</v>
      </c>
      <c r="AG15">
        <v>60.87</v>
      </c>
      <c r="AH15">
        <v>26.31</v>
      </c>
      <c r="AI15">
        <v>26.74</v>
      </c>
      <c r="AJ15">
        <v>95.36</v>
      </c>
      <c r="AK15">
        <v>156.4</v>
      </c>
      <c r="AL15">
        <v>158.30000000000001</v>
      </c>
      <c r="AM15">
        <v>-1.2</v>
      </c>
      <c r="AN15">
        <v>175</v>
      </c>
      <c r="AO15">
        <v>4.032</v>
      </c>
      <c r="AP15" s="3">
        <v>0.44988425925925929</v>
      </c>
      <c r="AQ15" s="1">
        <v>45176</v>
      </c>
      <c r="AR15">
        <v>-0.54</v>
      </c>
      <c r="AS15">
        <v>1E-3</v>
      </c>
      <c r="AT15">
        <v>1E-3</v>
      </c>
      <c r="AU15">
        <v>1.7000000000000001E-2</v>
      </c>
      <c r="AV15">
        <v>3.0000000000000001E-3</v>
      </c>
      <c r="AW15">
        <v>5.5E-2</v>
      </c>
      <c r="AX15">
        <v>0.44</v>
      </c>
      <c r="AY15">
        <v>1</v>
      </c>
      <c r="AZ15">
        <v>150</v>
      </c>
      <c r="BA15">
        <v>5.0000000000000001E-3</v>
      </c>
      <c r="BB15">
        <v>2</v>
      </c>
      <c r="BC15">
        <v>0</v>
      </c>
      <c r="BD15" t="s">
        <v>200</v>
      </c>
      <c r="BE15">
        <v>7000</v>
      </c>
      <c r="BF15">
        <v>500</v>
      </c>
      <c r="BG15">
        <v>5</v>
      </c>
      <c r="BH15">
        <v>2</v>
      </c>
      <c r="BI15">
        <v>300</v>
      </c>
      <c r="BJ15">
        <v>300</v>
      </c>
      <c r="BK15">
        <v>300</v>
      </c>
      <c r="BL15">
        <v>280.59912100000003</v>
      </c>
      <c r="BM15">
        <v>25</v>
      </c>
      <c r="BN15">
        <v>-12.019629</v>
      </c>
      <c r="BO15">
        <v>282.99163800000002</v>
      </c>
      <c r="BP15">
        <v>280.97677599999997</v>
      </c>
      <c r="BQ15">
        <v>2.0148619999999999</v>
      </c>
      <c r="BR15">
        <v>2.4354300000000002</v>
      </c>
      <c r="BS15">
        <v>2.506141</v>
      </c>
      <c r="BT15">
        <v>1.5880860000000001</v>
      </c>
      <c r="BU15">
        <v>1.004869</v>
      </c>
      <c r="BV15">
        <v>0.258909</v>
      </c>
      <c r="BW15">
        <v>5.1859999999999996E-3</v>
      </c>
      <c r="BX15">
        <v>0.15145800000000001</v>
      </c>
      <c r="BY15">
        <v>0.26248899999999997</v>
      </c>
      <c r="BZ15">
        <v>79.115868000000006</v>
      </c>
      <c r="CA15">
        <v>3.4000000000000002E-4</v>
      </c>
      <c r="CB15">
        <v>2.3486280000000002</v>
      </c>
      <c r="CC15">
        <v>-5.1E-5</v>
      </c>
      <c r="CD15">
        <v>1</v>
      </c>
      <c r="CE15">
        <v>2.4109430000000001</v>
      </c>
      <c r="CF15">
        <v>-5.7000000000000003E-5</v>
      </c>
      <c r="CG15">
        <v>1</v>
      </c>
      <c r="CH15">
        <v>0.60051900000000002</v>
      </c>
      <c r="CI15">
        <v>0.60216099999999995</v>
      </c>
      <c r="CJ15">
        <v>0.107265</v>
      </c>
      <c r="CK15">
        <v>0</v>
      </c>
      <c r="CL15" t="s">
        <v>1376</v>
      </c>
      <c r="CM15" t="s">
        <v>201</v>
      </c>
      <c r="CN15" t="s">
        <v>202</v>
      </c>
      <c r="CO15" t="s">
        <v>203</v>
      </c>
      <c r="CP15" t="s">
        <v>204</v>
      </c>
      <c r="CQ15" t="s">
        <v>205</v>
      </c>
      <c r="CR15" t="s">
        <v>206</v>
      </c>
    </row>
    <row r="16" spans="1:96">
      <c r="A16">
        <v>13</v>
      </c>
      <c r="B16" s="3">
        <v>0.4505439814814815</v>
      </c>
      <c r="C16" s="1">
        <v>45176</v>
      </c>
      <c r="D16" t="s">
        <v>196</v>
      </c>
      <c r="E16" t="s">
        <v>197</v>
      </c>
      <c r="G16">
        <v>13</v>
      </c>
      <c r="J16">
        <v>0.160689</v>
      </c>
      <c r="K16">
        <v>2.918488</v>
      </c>
      <c r="L16">
        <v>0.15230399999999999</v>
      </c>
      <c r="M16">
        <v>2.2185459999999999</v>
      </c>
      <c r="N16">
        <v>2.13096</v>
      </c>
      <c r="O16">
        <v>2.0724939999999998</v>
      </c>
      <c r="P16">
        <v>3.4792969999999999</v>
      </c>
      <c r="Q16">
        <v>1.348338</v>
      </c>
      <c r="R16">
        <v>21.731370999999999</v>
      </c>
      <c r="S16">
        <v>22.344421000000001</v>
      </c>
      <c r="T16">
        <v>36.482574</v>
      </c>
      <c r="U16">
        <v>0.44178600000000001</v>
      </c>
      <c r="V16" t="s">
        <v>1377</v>
      </c>
      <c r="W16">
        <v>0</v>
      </c>
      <c r="X16">
        <v>0</v>
      </c>
      <c r="Y16">
        <v>0</v>
      </c>
      <c r="Z16">
        <v>77.365639000000002</v>
      </c>
      <c r="AA16">
        <v>268.36508199999997</v>
      </c>
      <c r="AB16">
        <v>0.71171499999999999</v>
      </c>
      <c r="AC16">
        <v>0.5</v>
      </c>
      <c r="AD16">
        <v>0.8</v>
      </c>
      <c r="AE16">
        <v>55.344287999999999</v>
      </c>
      <c r="AF16">
        <v>61.82</v>
      </c>
      <c r="AG16">
        <v>60.12</v>
      </c>
      <c r="AH16">
        <v>26.36</v>
      </c>
      <c r="AI16">
        <v>26.52</v>
      </c>
      <c r="AJ16">
        <v>95.37</v>
      </c>
      <c r="AK16">
        <v>156.30000000000001</v>
      </c>
      <c r="AL16">
        <v>158.30000000000001</v>
      </c>
      <c r="AM16">
        <v>-1.3</v>
      </c>
      <c r="AN16">
        <v>194</v>
      </c>
      <c r="AO16">
        <v>4.0309999999999997</v>
      </c>
      <c r="AP16" s="3">
        <v>0.44988425925925929</v>
      </c>
      <c r="AQ16" s="1">
        <v>45176</v>
      </c>
      <c r="AR16">
        <v>-0.54</v>
      </c>
      <c r="AS16">
        <v>1E-3</v>
      </c>
      <c r="AT16">
        <v>2E-3</v>
      </c>
      <c r="AU16">
        <v>1.0999999999999999E-2</v>
      </c>
      <c r="AV16">
        <v>-3.5999999999999997E-2</v>
      </c>
      <c r="AW16">
        <v>-1.2999999999999999E-2</v>
      </c>
      <c r="AX16">
        <v>0.246</v>
      </c>
      <c r="AY16">
        <v>1</v>
      </c>
      <c r="AZ16">
        <v>150</v>
      </c>
      <c r="BA16">
        <v>5.0000000000000001E-3</v>
      </c>
      <c r="BB16">
        <v>2</v>
      </c>
      <c r="BC16">
        <v>0</v>
      </c>
      <c r="BD16" t="s">
        <v>200</v>
      </c>
      <c r="BE16">
        <v>7000</v>
      </c>
      <c r="BF16">
        <v>500</v>
      </c>
      <c r="BG16">
        <v>5</v>
      </c>
      <c r="BH16">
        <v>2</v>
      </c>
      <c r="BI16">
        <v>300</v>
      </c>
      <c r="BJ16">
        <v>300</v>
      </c>
      <c r="BK16">
        <v>300</v>
      </c>
      <c r="BL16">
        <v>254.27842699999999</v>
      </c>
      <c r="BM16">
        <v>25</v>
      </c>
      <c r="BN16">
        <v>-9.5306239999999995</v>
      </c>
      <c r="BO16">
        <v>257.55465700000002</v>
      </c>
      <c r="BP16">
        <v>254.69523599999999</v>
      </c>
      <c r="BQ16">
        <v>2.8594210000000002</v>
      </c>
      <c r="BR16">
        <v>2.4344980000000001</v>
      </c>
      <c r="BS16">
        <v>2.5060980000000002</v>
      </c>
      <c r="BT16">
        <v>1.587626</v>
      </c>
      <c r="BU16">
        <v>1.0049779999999999</v>
      </c>
      <c r="BV16">
        <v>0.25833600000000001</v>
      </c>
      <c r="BW16">
        <v>1.841E-3</v>
      </c>
      <c r="BX16">
        <v>0.15281</v>
      </c>
      <c r="BY16">
        <v>0.27967900000000001</v>
      </c>
      <c r="BZ16">
        <v>77.365639000000002</v>
      </c>
      <c r="CA16">
        <v>3.3700000000000001E-4</v>
      </c>
      <c r="CB16">
        <v>2.3486280000000002</v>
      </c>
      <c r="CC16">
        <v>-5.1E-5</v>
      </c>
      <c r="CD16">
        <v>1</v>
      </c>
      <c r="CE16">
        <v>2.4109430000000001</v>
      </c>
      <c r="CF16">
        <v>-5.7000000000000003E-5</v>
      </c>
      <c r="CG16">
        <v>1</v>
      </c>
      <c r="CH16">
        <v>0.60051900000000002</v>
      </c>
      <c r="CI16">
        <v>0.60216099999999995</v>
      </c>
      <c r="CJ16">
        <v>0.107265</v>
      </c>
      <c r="CK16">
        <v>0</v>
      </c>
      <c r="CL16" t="s">
        <v>1377</v>
      </c>
      <c r="CM16" t="s">
        <v>201</v>
      </c>
      <c r="CN16" t="s">
        <v>202</v>
      </c>
      <c r="CO16" t="s">
        <v>203</v>
      </c>
      <c r="CP16" t="s">
        <v>204</v>
      </c>
      <c r="CQ16" t="s">
        <v>205</v>
      </c>
      <c r="CR16" t="s">
        <v>206</v>
      </c>
    </row>
    <row r="17" spans="1:96">
      <c r="A17">
        <v>14</v>
      </c>
      <c r="B17" s="3">
        <v>0.45077546296296295</v>
      </c>
      <c r="C17" s="1">
        <v>45176</v>
      </c>
      <c r="D17" t="s">
        <v>196</v>
      </c>
      <c r="E17" t="s">
        <v>197</v>
      </c>
      <c r="G17">
        <v>14</v>
      </c>
      <c r="J17">
        <v>4.3186000000000002E-2</v>
      </c>
      <c r="K17">
        <v>2.9182239999999999</v>
      </c>
      <c r="L17">
        <v>4.2555999999999997E-2</v>
      </c>
      <c r="M17">
        <v>0.68255900000000003</v>
      </c>
      <c r="N17">
        <v>2.1614620000000002</v>
      </c>
      <c r="O17">
        <v>2.1434760000000002</v>
      </c>
      <c r="P17">
        <v>3.644482</v>
      </c>
      <c r="Q17">
        <v>1.4830209999999999</v>
      </c>
      <c r="R17">
        <v>22.476199999999999</v>
      </c>
      <c r="S17">
        <v>22.664788999999999</v>
      </c>
      <c r="T17">
        <v>38.215541999999999</v>
      </c>
      <c r="U17">
        <v>0.44178600000000001</v>
      </c>
      <c r="V17" t="s">
        <v>1378</v>
      </c>
      <c r="W17">
        <v>0</v>
      </c>
      <c r="X17">
        <v>0</v>
      </c>
      <c r="Y17">
        <v>0</v>
      </c>
      <c r="Z17">
        <v>107.701424</v>
      </c>
      <c r="AA17">
        <v>387.58514400000001</v>
      </c>
      <c r="AB17">
        <v>0.72212200000000004</v>
      </c>
      <c r="AC17">
        <v>0.5</v>
      </c>
      <c r="AD17">
        <v>0.8</v>
      </c>
      <c r="AE17">
        <v>413.873535</v>
      </c>
      <c r="AF17">
        <v>62.36</v>
      </c>
      <c r="AG17">
        <v>61.84</v>
      </c>
      <c r="AH17">
        <v>26.46</v>
      </c>
      <c r="AI17">
        <v>27.31</v>
      </c>
      <c r="AJ17">
        <v>95.37</v>
      </c>
      <c r="AK17">
        <v>156.30000000000001</v>
      </c>
      <c r="AL17">
        <v>126.3</v>
      </c>
      <c r="AM17">
        <v>19.2</v>
      </c>
      <c r="AN17">
        <v>1433</v>
      </c>
      <c r="AO17">
        <v>4.0250000000000004</v>
      </c>
      <c r="AP17" s="3">
        <v>0.44988425925925929</v>
      </c>
      <c r="AQ17" s="1">
        <v>45176</v>
      </c>
      <c r="AR17">
        <v>-0.54</v>
      </c>
      <c r="AS17">
        <v>0</v>
      </c>
      <c r="AT17">
        <v>-2E-3</v>
      </c>
      <c r="AU17">
        <v>-1.0999999999999999E-2</v>
      </c>
      <c r="AV17">
        <v>0.65900000000000003</v>
      </c>
      <c r="AW17">
        <v>1.248</v>
      </c>
      <c r="AX17">
        <v>1.1850000000000001</v>
      </c>
      <c r="AY17">
        <v>1</v>
      </c>
      <c r="AZ17">
        <v>150</v>
      </c>
      <c r="BA17">
        <v>5.0000000000000001E-3</v>
      </c>
      <c r="BB17">
        <v>2</v>
      </c>
      <c r="BC17">
        <v>0</v>
      </c>
      <c r="BD17" t="s">
        <v>200</v>
      </c>
      <c r="BE17">
        <v>7000</v>
      </c>
      <c r="BF17">
        <v>500</v>
      </c>
      <c r="BG17">
        <v>5</v>
      </c>
      <c r="BH17">
        <v>2</v>
      </c>
      <c r="BI17">
        <v>300</v>
      </c>
      <c r="BJ17">
        <v>300</v>
      </c>
      <c r="BK17">
        <v>300</v>
      </c>
      <c r="BL17">
        <v>370.55538899999999</v>
      </c>
      <c r="BM17">
        <v>25</v>
      </c>
      <c r="BN17">
        <v>-11.653972</v>
      </c>
      <c r="BO17">
        <v>372.53488199999998</v>
      </c>
      <c r="BP17">
        <v>370.86975100000001</v>
      </c>
      <c r="BQ17">
        <v>1.6651309999999999</v>
      </c>
      <c r="BR17">
        <v>2.436598</v>
      </c>
      <c r="BS17">
        <v>2.5067849999999998</v>
      </c>
      <c r="BT17">
        <v>1.5873699999999999</v>
      </c>
      <c r="BU17">
        <v>0.90656199999999998</v>
      </c>
      <c r="BV17">
        <v>0.25736900000000001</v>
      </c>
      <c r="BW17">
        <v>1.0312999999999999E-2</v>
      </c>
      <c r="BX17">
        <v>0.154895</v>
      </c>
      <c r="BY17">
        <v>1.37802</v>
      </c>
      <c r="BZ17">
        <v>107.701424</v>
      </c>
      <c r="CA17">
        <v>3.39E-4</v>
      </c>
      <c r="CB17">
        <v>2.3486280000000002</v>
      </c>
      <c r="CC17">
        <v>-5.1E-5</v>
      </c>
      <c r="CD17">
        <v>1</v>
      </c>
      <c r="CE17">
        <v>2.4109430000000001</v>
      </c>
      <c r="CF17">
        <v>-5.7000000000000003E-5</v>
      </c>
      <c r="CG17">
        <v>1</v>
      </c>
      <c r="CH17">
        <v>0.60051900000000002</v>
      </c>
      <c r="CI17">
        <v>0.60216099999999995</v>
      </c>
      <c r="CJ17">
        <v>0.107265</v>
      </c>
      <c r="CK17">
        <v>0</v>
      </c>
      <c r="CL17" t="s">
        <v>1378</v>
      </c>
      <c r="CM17" t="s">
        <v>201</v>
      </c>
      <c r="CN17" t="s">
        <v>202</v>
      </c>
      <c r="CO17" t="s">
        <v>203</v>
      </c>
      <c r="CP17" t="s">
        <v>204</v>
      </c>
      <c r="CQ17" t="s">
        <v>205</v>
      </c>
      <c r="CR17" t="s">
        <v>206</v>
      </c>
    </row>
    <row r="18" spans="1:96">
      <c r="A18">
        <v>15</v>
      </c>
      <c r="B18" s="3">
        <v>0.45414351851851853</v>
      </c>
      <c r="C18" s="1">
        <v>45176</v>
      </c>
      <c r="D18" t="s">
        <v>196</v>
      </c>
      <c r="E18" t="s">
        <v>197</v>
      </c>
      <c r="G18">
        <v>15</v>
      </c>
      <c r="J18">
        <v>4.0468999999999998E-2</v>
      </c>
      <c r="K18">
        <v>2.9166979999999998</v>
      </c>
      <c r="L18">
        <v>3.9914999999999999E-2</v>
      </c>
      <c r="M18">
        <v>0.74853700000000001</v>
      </c>
      <c r="N18">
        <v>2.1075210000000002</v>
      </c>
      <c r="O18">
        <v>2.0877590000000001</v>
      </c>
      <c r="P18">
        <v>3.8404739999999999</v>
      </c>
      <c r="Q18">
        <v>1.732953</v>
      </c>
      <c r="R18">
        <v>21.88822</v>
      </c>
      <c r="S18">
        <v>22.095407000000002</v>
      </c>
      <c r="T18">
        <v>40.263821</v>
      </c>
      <c r="U18">
        <v>0.44178600000000001</v>
      </c>
      <c r="V18" t="s">
        <v>1379</v>
      </c>
      <c r="W18">
        <v>0</v>
      </c>
      <c r="X18">
        <v>0</v>
      </c>
      <c r="Y18">
        <v>0</v>
      </c>
      <c r="Z18">
        <v>76.518776000000003</v>
      </c>
      <c r="AA18">
        <v>186.336502</v>
      </c>
      <c r="AB18">
        <v>0.58935199999999999</v>
      </c>
      <c r="AC18">
        <v>0.5</v>
      </c>
      <c r="AD18">
        <v>0.8</v>
      </c>
      <c r="AE18">
        <v>231.29167200000001</v>
      </c>
      <c r="AF18">
        <v>57.55</v>
      </c>
      <c r="AG18">
        <v>57.01</v>
      </c>
      <c r="AH18">
        <v>27.39</v>
      </c>
      <c r="AI18">
        <v>28.21</v>
      </c>
      <c r="AJ18">
        <v>95.38</v>
      </c>
      <c r="AK18">
        <v>156.1</v>
      </c>
      <c r="AL18">
        <v>158.19999999999999</v>
      </c>
      <c r="AM18">
        <v>-1.3</v>
      </c>
      <c r="AN18">
        <v>981</v>
      </c>
      <c r="AO18">
        <v>4.0250000000000004</v>
      </c>
      <c r="AP18" s="3">
        <v>0.44988425925925929</v>
      </c>
      <c r="AQ18" s="1">
        <v>45176</v>
      </c>
      <c r="AR18">
        <v>-0.54</v>
      </c>
      <c r="AS18">
        <v>0</v>
      </c>
      <c r="AT18">
        <v>3.0000000000000001E-3</v>
      </c>
      <c r="AU18">
        <v>1.4999999999999999E-2</v>
      </c>
      <c r="AV18">
        <v>-0.80600000000000005</v>
      </c>
      <c r="AW18">
        <v>-1.52</v>
      </c>
      <c r="AX18">
        <v>1.1839999999999999</v>
      </c>
      <c r="AY18">
        <v>1</v>
      </c>
      <c r="AZ18">
        <v>150</v>
      </c>
      <c r="BA18">
        <v>5.0000000000000001E-3</v>
      </c>
      <c r="BB18">
        <v>2</v>
      </c>
      <c r="BC18">
        <v>0</v>
      </c>
      <c r="BD18" t="s">
        <v>200</v>
      </c>
      <c r="BE18">
        <v>7000</v>
      </c>
      <c r="BF18">
        <v>500</v>
      </c>
      <c r="BG18">
        <v>5</v>
      </c>
      <c r="BH18">
        <v>2</v>
      </c>
      <c r="BI18">
        <v>300</v>
      </c>
      <c r="BJ18">
        <v>300</v>
      </c>
      <c r="BK18">
        <v>300</v>
      </c>
      <c r="BL18">
        <v>173.10977199999999</v>
      </c>
      <c r="BM18">
        <v>25</v>
      </c>
      <c r="BN18">
        <v>-9.1378149999999998</v>
      </c>
      <c r="BO18">
        <v>173.79534899999999</v>
      </c>
      <c r="BP18">
        <v>173.23007200000001</v>
      </c>
      <c r="BQ18">
        <v>0.56527700000000003</v>
      </c>
      <c r="BR18">
        <v>2.4303840000000001</v>
      </c>
      <c r="BS18">
        <v>2.5001630000000001</v>
      </c>
      <c r="BT18">
        <v>1.585901</v>
      </c>
      <c r="BU18">
        <v>1.0044120000000001</v>
      </c>
      <c r="BV18">
        <v>0.24799099999999999</v>
      </c>
      <c r="BW18">
        <v>9.9010000000000001E-3</v>
      </c>
      <c r="BX18">
        <v>0.185838</v>
      </c>
      <c r="BY18">
        <v>0.97740700000000003</v>
      </c>
      <c r="BZ18">
        <v>76.518776000000003</v>
      </c>
      <c r="CA18">
        <v>3.48E-4</v>
      </c>
      <c r="CB18">
        <v>2.3486280000000002</v>
      </c>
      <c r="CC18">
        <v>-5.1E-5</v>
      </c>
      <c r="CD18">
        <v>1</v>
      </c>
      <c r="CE18">
        <v>2.4109430000000001</v>
      </c>
      <c r="CF18">
        <v>-5.7000000000000003E-5</v>
      </c>
      <c r="CG18">
        <v>1</v>
      </c>
      <c r="CH18">
        <v>0.60051900000000002</v>
      </c>
      <c r="CI18">
        <v>0.60216099999999995</v>
      </c>
      <c r="CJ18">
        <v>0.107265</v>
      </c>
      <c r="CK18">
        <v>0</v>
      </c>
      <c r="CL18" t="s">
        <v>1379</v>
      </c>
      <c r="CM18" t="s">
        <v>201</v>
      </c>
      <c r="CN18" t="s">
        <v>202</v>
      </c>
      <c r="CO18" t="s">
        <v>203</v>
      </c>
      <c r="CP18" t="s">
        <v>204</v>
      </c>
      <c r="CQ18" t="s">
        <v>205</v>
      </c>
      <c r="CR18" t="s">
        <v>206</v>
      </c>
    </row>
    <row r="19" spans="1:96">
      <c r="A19">
        <v>16</v>
      </c>
      <c r="B19" s="3">
        <v>0.45429398148148148</v>
      </c>
      <c r="C19" s="1">
        <v>45176</v>
      </c>
      <c r="D19" t="s">
        <v>196</v>
      </c>
      <c r="E19" t="s">
        <v>197</v>
      </c>
      <c r="G19">
        <v>16</v>
      </c>
      <c r="J19">
        <v>1.1924000000000001E-2</v>
      </c>
      <c r="K19">
        <v>2.9198930000000001</v>
      </c>
      <c r="L19">
        <v>1.1875999999999999E-2</v>
      </c>
      <c r="M19">
        <v>0.198768</v>
      </c>
      <c r="N19">
        <v>2.1352850000000001</v>
      </c>
      <c r="O19">
        <v>2.1300520000000001</v>
      </c>
      <c r="P19">
        <v>3.682985</v>
      </c>
      <c r="Q19">
        <v>1.5477000000000001</v>
      </c>
      <c r="R19">
        <v>22.332326999999999</v>
      </c>
      <c r="S19">
        <v>22.38719</v>
      </c>
      <c r="T19">
        <v>38.613903000000001</v>
      </c>
      <c r="U19">
        <v>0.44178600000000001</v>
      </c>
      <c r="V19" t="s">
        <v>1380</v>
      </c>
      <c r="W19">
        <v>0</v>
      </c>
      <c r="X19">
        <v>0</v>
      </c>
      <c r="Y19">
        <v>0</v>
      </c>
      <c r="Z19">
        <v>79.509972000000005</v>
      </c>
      <c r="AA19">
        <v>188.579498</v>
      </c>
      <c r="AB19">
        <v>0.57837400000000005</v>
      </c>
      <c r="AC19">
        <v>0.5</v>
      </c>
      <c r="AD19">
        <v>0.8</v>
      </c>
      <c r="AE19">
        <v>194.71260100000001</v>
      </c>
      <c r="AF19">
        <v>58.17</v>
      </c>
      <c r="AG19">
        <v>58.03</v>
      </c>
      <c r="AH19">
        <v>27.43</v>
      </c>
      <c r="AI19">
        <v>27.49</v>
      </c>
      <c r="AJ19">
        <v>95.38</v>
      </c>
      <c r="AK19">
        <v>156.5</v>
      </c>
      <c r="AL19">
        <v>158</v>
      </c>
      <c r="AM19">
        <v>-1</v>
      </c>
      <c r="AN19">
        <v>842</v>
      </c>
      <c r="AO19">
        <v>4.0250000000000004</v>
      </c>
      <c r="AP19" s="3">
        <v>0.44988425925925929</v>
      </c>
      <c r="AQ19" s="1">
        <v>45176</v>
      </c>
      <c r="AR19">
        <v>-0.54</v>
      </c>
      <c r="AS19">
        <v>1E-3</v>
      </c>
      <c r="AT19">
        <v>2E-3</v>
      </c>
      <c r="AU19">
        <v>-9999</v>
      </c>
      <c r="AV19">
        <v>0.35</v>
      </c>
      <c r="AW19">
        <v>1.19</v>
      </c>
      <c r="AX19">
        <v>-9999</v>
      </c>
      <c r="AY19">
        <v>1</v>
      </c>
      <c r="AZ19">
        <v>150</v>
      </c>
      <c r="BA19">
        <v>5.0000000000000001E-3</v>
      </c>
      <c r="BB19">
        <v>2</v>
      </c>
      <c r="BC19">
        <v>0</v>
      </c>
      <c r="BD19" t="s">
        <v>200</v>
      </c>
      <c r="BE19">
        <v>7000</v>
      </c>
      <c r="BF19">
        <v>500</v>
      </c>
      <c r="BG19">
        <v>5</v>
      </c>
      <c r="BH19">
        <v>2</v>
      </c>
      <c r="BI19">
        <v>300</v>
      </c>
      <c r="BJ19">
        <v>300</v>
      </c>
      <c r="BK19">
        <v>300</v>
      </c>
      <c r="BL19">
        <v>176.648132</v>
      </c>
      <c r="BM19">
        <v>25</v>
      </c>
      <c r="BN19">
        <v>-8.2698309999999999</v>
      </c>
      <c r="BO19">
        <v>179.14259300000001</v>
      </c>
      <c r="BP19">
        <v>176.718018</v>
      </c>
      <c r="BQ19">
        <v>2.4245760000000001</v>
      </c>
      <c r="BR19">
        <v>2.4316330000000002</v>
      </c>
      <c r="BS19">
        <v>2.5009730000000001</v>
      </c>
      <c r="BT19">
        <v>1.588984</v>
      </c>
      <c r="BU19">
        <v>1.0038320000000001</v>
      </c>
      <c r="BV19">
        <v>0.24757999999999999</v>
      </c>
      <c r="BW19">
        <v>5.6999999999999998E-4</v>
      </c>
      <c r="BX19">
        <v>0.187059</v>
      </c>
      <c r="BY19">
        <v>0.85369600000000001</v>
      </c>
      <c r="BZ19">
        <v>79.509972000000005</v>
      </c>
      <c r="CA19">
        <v>3.4200000000000002E-4</v>
      </c>
      <c r="CB19">
        <v>2.3486280000000002</v>
      </c>
      <c r="CC19">
        <v>-5.1E-5</v>
      </c>
      <c r="CD19">
        <v>1</v>
      </c>
      <c r="CE19">
        <v>2.4109430000000001</v>
      </c>
      <c r="CF19">
        <v>-5.7000000000000003E-5</v>
      </c>
      <c r="CG19">
        <v>1</v>
      </c>
      <c r="CH19">
        <v>0.60051900000000002</v>
      </c>
      <c r="CI19">
        <v>0.60216099999999995</v>
      </c>
      <c r="CJ19">
        <v>0.107265</v>
      </c>
      <c r="CK19">
        <v>0</v>
      </c>
      <c r="CL19" t="s">
        <v>1380</v>
      </c>
      <c r="CM19" t="s">
        <v>201</v>
      </c>
      <c r="CN19" t="s">
        <v>202</v>
      </c>
      <c r="CO19" t="s">
        <v>203</v>
      </c>
      <c r="CP19" t="s">
        <v>204</v>
      </c>
      <c r="CQ19" t="s">
        <v>205</v>
      </c>
      <c r="CR19" t="s">
        <v>206</v>
      </c>
    </row>
    <row r="20" spans="1:96">
      <c r="A20">
        <v>17</v>
      </c>
      <c r="B20" s="3">
        <v>0.45458333333333334</v>
      </c>
      <c r="C20" s="1">
        <v>45176</v>
      </c>
      <c r="D20" t="s">
        <v>196</v>
      </c>
      <c r="E20" t="s">
        <v>197</v>
      </c>
      <c r="G20">
        <v>17</v>
      </c>
      <c r="J20">
        <v>6.6870000000000002E-3</v>
      </c>
      <c r="K20">
        <v>2.9194909999999998</v>
      </c>
      <c r="L20">
        <v>6.672E-3</v>
      </c>
      <c r="M20">
        <v>0.12839999999999999</v>
      </c>
      <c r="N20">
        <v>2.128943</v>
      </c>
      <c r="O20">
        <v>2.125562</v>
      </c>
      <c r="P20">
        <v>3.9064589999999999</v>
      </c>
      <c r="Q20">
        <v>1.7775160000000001</v>
      </c>
      <c r="R20">
        <v>22.285136999999999</v>
      </c>
      <c r="S20">
        <v>22.320591</v>
      </c>
      <c r="T20">
        <v>40.956688</v>
      </c>
      <c r="U20">
        <v>0.44178600000000001</v>
      </c>
      <c r="V20" t="s">
        <v>1381</v>
      </c>
      <c r="W20">
        <v>0</v>
      </c>
      <c r="X20">
        <v>0</v>
      </c>
      <c r="Y20">
        <v>0</v>
      </c>
      <c r="Z20">
        <v>66.692229999999995</v>
      </c>
      <c r="AA20">
        <v>154.02259799999999</v>
      </c>
      <c r="AB20">
        <v>0.56699699999999997</v>
      </c>
      <c r="AC20">
        <v>0.5</v>
      </c>
      <c r="AD20">
        <v>0.8</v>
      </c>
      <c r="AE20">
        <v>37.784568999999998</v>
      </c>
      <c r="AF20">
        <v>57.8</v>
      </c>
      <c r="AG20">
        <v>57.7</v>
      </c>
      <c r="AH20">
        <v>27.49</v>
      </c>
      <c r="AI20">
        <v>28.5</v>
      </c>
      <c r="AJ20">
        <v>95.38</v>
      </c>
      <c r="AK20">
        <v>156.4</v>
      </c>
      <c r="AL20">
        <v>157.69999999999999</v>
      </c>
      <c r="AM20">
        <v>-0.8</v>
      </c>
      <c r="AN20">
        <v>167</v>
      </c>
      <c r="AO20">
        <v>4.024</v>
      </c>
      <c r="AP20" s="3">
        <v>0.44988425925925929</v>
      </c>
      <c r="AQ20" s="1">
        <v>45176</v>
      </c>
      <c r="AR20">
        <v>-0.54</v>
      </c>
      <c r="AS20">
        <v>0</v>
      </c>
      <c r="AT20">
        <v>1E-3</v>
      </c>
      <c r="AU20">
        <v>1.0999999999999999E-2</v>
      </c>
      <c r="AV20">
        <v>0.379</v>
      </c>
      <c r="AW20">
        <v>0.75</v>
      </c>
      <c r="AX20">
        <v>1.796</v>
      </c>
      <c r="AY20">
        <v>1</v>
      </c>
      <c r="AZ20">
        <v>150</v>
      </c>
      <c r="BA20">
        <v>5.0000000000000001E-3</v>
      </c>
      <c r="BB20">
        <v>2</v>
      </c>
      <c r="BC20">
        <v>0</v>
      </c>
      <c r="BD20" t="s">
        <v>200</v>
      </c>
      <c r="BE20">
        <v>7000</v>
      </c>
      <c r="BF20">
        <v>500</v>
      </c>
      <c r="BG20">
        <v>5</v>
      </c>
      <c r="BH20">
        <v>2</v>
      </c>
      <c r="BI20">
        <v>300</v>
      </c>
      <c r="BJ20">
        <v>300</v>
      </c>
      <c r="BK20">
        <v>300</v>
      </c>
      <c r="BL20">
        <v>142.68421900000001</v>
      </c>
      <c r="BM20">
        <v>25</v>
      </c>
      <c r="BN20">
        <v>-8.5314029999999992</v>
      </c>
      <c r="BO20">
        <v>141.565201</v>
      </c>
      <c r="BP20">
        <v>141.78595000000001</v>
      </c>
      <c r="BQ20">
        <v>-0.220749</v>
      </c>
      <c r="BR20">
        <v>2.4312179999999999</v>
      </c>
      <c r="BS20">
        <v>2.5004599999999999</v>
      </c>
      <c r="BT20">
        <v>1.588595</v>
      </c>
      <c r="BU20">
        <v>1.003077</v>
      </c>
      <c r="BV20">
        <v>0.246998</v>
      </c>
      <c r="BW20">
        <v>1.2278000000000001E-2</v>
      </c>
      <c r="BX20">
        <v>0.18949299999999999</v>
      </c>
      <c r="BY20">
        <v>0.255019</v>
      </c>
      <c r="BZ20">
        <v>66.692229999999995</v>
      </c>
      <c r="CA20">
        <v>3.4299999999999999E-4</v>
      </c>
      <c r="CB20">
        <v>2.3486280000000002</v>
      </c>
      <c r="CC20">
        <v>-5.1E-5</v>
      </c>
      <c r="CD20">
        <v>1</v>
      </c>
      <c r="CE20">
        <v>2.4109430000000001</v>
      </c>
      <c r="CF20">
        <v>-5.7000000000000003E-5</v>
      </c>
      <c r="CG20">
        <v>1</v>
      </c>
      <c r="CH20">
        <v>0.60051900000000002</v>
      </c>
      <c r="CI20">
        <v>0.60216099999999995</v>
      </c>
      <c r="CJ20">
        <v>0.107265</v>
      </c>
      <c r="CK20">
        <v>0</v>
      </c>
      <c r="CL20" t="s">
        <v>1381</v>
      </c>
      <c r="CM20" t="s">
        <v>201</v>
      </c>
      <c r="CN20" t="s">
        <v>202</v>
      </c>
      <c r="CO20" t="s">
        <v>203</v>
      </c>
      <c r="CP20" t="s">
        <v>204</v>
      </c>
      <c r="CQ20" t="s">
        <v>205</v>
      </c>
      <c r="CR20" t="s">
        <v>206</v>
      </c>
    </row>
    <row r="21" spans="1:96">
      <c r="A21">
        <v>18</v>
      </c>
      <c r="B21" s="3">
        <v>0.45493055555555556</v>
      </c>
      <c r="C21" s="1">
        <v>45176</v>
      </c>
      <c r="D21" t="s">
        <v>196</v>
      </c>
      <c r="E21" t="s">
        <v>197</v>
      </c>
      <c r="G21">
        <v>18</v>
      </c>
      <c r="J21">
        <v>3.1371999999999997E-2</v>
      </c>
      <c r="K21">
        <v>2.9174530000000001</v>
      </c>
      <c r="L21">
        <v>3.1038E-2</v>
      </c>
      <c r="M21">
        <v>0.52542199999999994</v>
      </c>
      <c r="N21">
        <v>2.1572969999999998</v>
      </c>
      <c r="O21">
        <v>2.1434419999999998</v>
      </c>
      <c r="P21">
        <v>3.7221060000000001</v>
      </c>
      <c r="Q21">
        <v>1.5648089999999999</v>
      </c>
      <c r="R21">
        <v>22.473365999999999</v>
      </c>
      <c r="S21">
        <v>22.618632999999999</v>
      </c>
      <c r="T21">
        <v>39.025196000000001</v>
      </c>
      <c r="U21">
        <v>0.44178600000000001</v>
      </c>
      <c r="V21" t="s">
        <v>1382</v>
      </c>
      <c r="W21">
        <v>0</v>
      </c>
      <c r="X21">
        <v>0</v>
      </c>
      <c r="Y21">
        <v>0</v>
      </c>
      <c r="Z21">
        <v>94.597221000000005</v>
      </c>
      <c r="AA21">
        <v>294.50387599999999</v>
      </c>
      <c r="AB21">
        <v>0.67879100000000003</v>
      </c>
      <c r="AC21">
        <v>0.5</v>
      </c>
      <c r="AD21">
        <v>0.8</v>
      </c>
      <c r="AE21">
        <v>193.81918300000001</v>
      </c>
      <c r="AF21">
        <v>58.34</v>
      </c>
      <c r="AG21">
        <v>57.96</v>
      </c>
      <c r="AH21">
        <v>27.56</v>
      </c>
      <c r="AI21">
        <v>27.67</v>
      </c>
      <c r="AJ21">
        <v>95.38</v>
      </c>
      <c r="AK21">
        <v>156.19999999999999</v>
      </c>
      <c r="AL21">
        <v>157.69999999999999</v>
      </c>
      <c r="AM21">
        <v>-1</v>
      </c>
      <c r="AN21">
        <v>714</v>
      </c>
      <c r="AO21">
        <v>4.0149999999999997</v>
      </c>
      <c r="AP21" s="3">
        <v>0.44988425925925929</v>
      </c>
      <c r="AQ21" s="1">
        <v>45176</v>
      </c>
      <c r="AR21">
        <v>-0.54</v>
      </c>
      <c r="AS21">
        <v>-2E-3</v>
      </c>
      <c r="AT21">
        <v>0</v>
      </c>
      <c r="AU21">
        <v>8.9999999999999993E-3</v>
      </c>
      <c r="AV21">
        <v>-0.109</v>
      </c>
      <c r="AW21">
        <v>1.1539999999999999</v>
      </c>
      <c r="AX21">
        <v>0.77100000000000002</v>
      </c>
      <c r="AY21">
        <v>1</v>
      </c>
      <c r="AZ21">
        <v>150</v>
      </c>
      <c r="BA21">
        <v>5.0000000000000001E-3</v>
      </c>
      <c r="BB21">
        <v>2</v>
      </c>
      <c r="BC21">
        <v>0</v>
      </c>
      <c r="BD21" t="s">
        <v>200</v>
      </c>
      <c r="BE21">
        <v>7000</v>
      </c>
      <c r="BF21">
        <v>500</v>
      </c>
      <c r="BG21">
        <v>5</v>
      </c>
      <c r="BH21">
        <v>2</v>
      </c>
      <c r="BI21">
        <v>300</v>
      </c>
      <c r="BJ21">
        <v>300</v>
      </c>
      <c r="BK21">
        <v>300</v>
      </c>
      <c r="BL21">
        <v>272.51745599999998</v>
      </c>
      <c r="BM21">
        <v>25</v>
      </c>
      <c r="BN21">
        <v>-15.306926000000001</v>
      </c>
      <c r="BO21">
        <v>272.47308299999997</v>
      </c>
      <c r="BP21">
        <v>272.54904199999999</v>
      </c>
      <c r="BQ21">
        <v>-7.5957999999999998E-2</v>
      </c>
      <c r="BR21">
        <v>2.4315199999999999</v>
      </c>
      <c r="BS21">
        <v>2.5011610000000002</v>
      </c>
      <c r="BT21">
        <v>1.586627</v>
      </c>
      <c r="BU21">
        <v>1.0030809999999999</v>
      </c>
      <c r="BV21">
        <v>0.246339</v>
      </c>
      <c r="BW21">
        <v>1.2290000000000001E-3</v>
      </c>
      <c r="BX21">
        <v>0.19242699999999999</v>
      </c>
      <c r="BY21">
        <v>0.74035499999999999</v>
      </c>
      <c r="BZ21">
        <v>94.597221000000005</v>
      </c>
      <c r="CA21">
        <v>3.4200000000000002E-4</v>
      </c>
      <c r="CB21">
        <v>2.3486280000000002</v>
      </c>
      <c r="CC21">
        <v>-5.1E-5</v>
      </c>
      <c r="CD21">
        <v>1</v>
      </c>
      <c r="CE21">
        <v>2.4109430000000001</v>
      </c>
      <c r="CF21">
        <v>-5.7000000000000003E-5</v>
      </c>
      <c r="CG21">
        <v>1</v>
      </c>
      <c r="CH21">
        <v>0.60051900000000002</v>
      </c>
      <c r="CI21">
        <v>0.60216099999999995</v>
      </c>
      <c r="CJ21">
        <v>0.107265</v>
      </c>
      <c r="CK21">
        <v>0</v>
      </c>
      <c r="CL21" t="s">
        <v>1382</v>
      </c>
      <c r="CM21" t="s">
        <v>201</v>
      </c>
      <c r="CN21" t="s">
        <v>202</v>
      </c>
      <c r="CO21" t="s">
        <v>203</v>
      </c>
      <c r="CP21" t="s">
        <v>204</v>
      </c>
      <c r="CQ21" t="s">
        <v>205</v>
      </c>
      <c r="CR21" t="s">
        <v>206</v>
      </c>
    </row>
    <row r="22" spans="1:96">
      <c r="A22">
        <v>19</v>
      </c>
      <c r="B22" s="3">
        <v>0.45973379629629635</v>
      </c>
      <c r="C22" s="1">
        <v>45176</v>
      </c>
      <c r="D22" t="s">
        <v>196</v>
      </c>
      <c r="E22" t="s">
        <v>197</v>
      </c>
      <c r="G22">
        <v>19</v>
      </c>
      <c r="J22">
        <v>5.8358E-2</v>
      </c>
      <c r="K22">
        <v>2.9186869999999998</v>
      </c>
      <c r="L22">
        <v>5.7214000000000001E-2</v>
      </c>
      <c r="M22">
        <v>1.6365209999999999</v>
      </c>
      <c r="N22">
        <v>2.2764069999999998</v>
      </c>
      <c r="O22">
        <v>2.2333379999999998</v>
      </c>
      <c r="P22">
        <v>4.9026139999999998</v>
      </c>
      <c r="Q22">
        <v>2.626207</v>
      </c>
      <c r="R22">
        <v>23.409452000000002</v>
      </c>
      <c r="S22">
        <v>23.860899</v>
      </c>
      <c r="T22">
        <v>51.388336000000002</v>
      </c>
      <c r="U22">
        <v>0.44178600000000001</v>
      </c>
      <c r="V22" t="s">
        <v>1383</v>
      </c>
      <c r="W22">
        <v>0</v>
      </c>
      <c r="X22">
        <v>0</v>
      </c>
      <c r="Y22">
        <v>0</v>
      </c>
      <c r="Z22">
        <v>84.007499999999993</v>
      </c>
      <c r="AA22">
        <v>125.78950500000001</v>
      </c>
      <c r="AB22">
        <v>0.33215800000000001</v>
      </c>
      <c r="AC22">
        <v>0.5</v>
      </c>
      <c r="AD22">
        <v>0.8</v>
      </c>
      <c r="AE22">
        <v>223.288498</v>
      </c>
      <c r="AF22">
        <v>57.29</v>
      </c>
      <c r="AG22">
        <v>56.21</v>
      </c>
      <c r="AH22">
        <v>28.79</v>
      </c>
      <c r="AI22">
        <v>32.47</v>
      </c>
      <c r="AJ22">
        <v>95.4</v>
      </c>
      <c r="AK22">
        <v>156.30000000000001</v>
      </c>
      <c r="AL22">
        <v>157.6</v>
      </c>
      <c r="AM22">
        <v>-0.8</v>
      </c>
      <c r="AN22">
        <v>1681</v>
      </c>
      <c r="AO22">
        <v>4.0129999999999999</v>
      </c>
      <c r="AP22" s="3">
        <v>0.4596412037037037</v>
      </c>
      <c r="AQ22" s="1">
        <v>45176</v>
      </c>
      <c r="AR22">
        <v>-0.44</v>
      </c>
      <c r="AS22">
        <v>2E-3</v>
      </c>
      <c r="AT22">
        <v>2E-3</v>
      </c>
      <c r="AU22">
        <v>-9999</v>
      </c>
      <c r="AV22">
        <v>-0.34699999999999998</v>
      </c>
      <c r="AW22">
        <v>-0.45200000000000001</v>
      </c>
      <c r="AX22">
        <v>-9999</v>
      </c>
      <c r="AY22">
        <v>1</v>
      </c>
      <c r="AZ22">
        <v>150</v>
      </c>
      <c r="BA22">
        <v>5.0000000000000001E-3</v>
      </c>
      <c r="BB22">
        <v>2</v>
      </c>
      <c r="BC22">
        <v>0</v>
      </c>
      <c r="BD22" t="s">
        <v>200</v>
      </c>
      <c r="BE22">
        <v>7000</v>
      </c>
      <c r="BF22">
        <v>500</v>
      </c>
      <c r="BG22">
        <v>5</v>
      </c>
      <c r="BH22">
        <v>2</v>
      </c>
      <c r="BI22">
        <v>300</v>
      </c>
      <c r="BJ22">
        <v>300</v>
      </c>
      <c r="BK22">
        <v>300</v>
      </c>
      <c r="BL22">
        <v>115.535614</v>
      </c>
      <c r="BM22">
        <v>25</v>
      </c>
      <c r="BN22">
        <v>-7.2597480000000001</v>
      </c>
      <c r="BO22">
        <v>113.807205</v>
      </c>
      <c r="BP22">
        <v>115.37679300000001</v>
      </c>
      <c r="BQ22">
        <v>-1.569588</v>
      </c>
      <c r="BR22">
        <v>2.4290449999999999</v>
      </c>
      <c r="BS22">
        <v>2.499323</v>
      </c>
      <c r="BT22">
        <v>1.587818</v>
      </c>
      <c r="BU22">
        <v>1.0026660000000001</v>
      </c>
      <c r="BV22">
        <v>0.234598</v>
      </c>
      <c r="BW22">
        <v>4.6329000000000002E-2</v>
      </c>
      <c r="BX22">
        <v>0.232042</v>
      </c>
      <c r="BY22">
        <v>1.597745</v>
      </c>
      <c r="BZ22">
        <v>84.007499999999993</v>
      </c>
      <c r="CA22">
        <v>3.3799999999999998E-4</v>
      </c>
      <c r="CB22">
        <v>2.3486280000000002</v>
      </c>
      <c r="CC22">
        <v>-5.1E-5</v>
      </c>
      <c r="CD22">
        <v>1</v>
      </c>
      <c r="CE22">
        <v>2.4109430000000001</v>
      </c>
      <c r="CF22">
        <v>-5.7000000000000003E-5</v>
      </c>
      <c r="CG22">
        <v>1</v>
      </c>
      <c r="CH22">
        <v>0.60051900000000002</v>
      </c>
      <c r="CI22">
        <v>0.60216099999999995</v>
      </c>
      <c r="CJ22">
        <v>0.107265</v>
      </c>
      <c r="CK22">
        <v>0</v>
      </c>
      <c r="CL22" t="s">
        <v>1383</v>
      </c>
      <c r="CM22" t="s">
        <v>201</v>
      </c>
      <c r="CN22" t="s">
        <v>202</v>
      </c>
      <c r="CO22" t="s">
        <v>203</v>
      </c>
      <c r="CP22" t="s">
        <v>204</v>
      </c>
      <c r="CQ22" t="s">
        <v>205</v>
      </c>
      <c r="CR22" t="s">
        <v>206</v>
      </c>
    </row>
    <row r="23" spans="1:96">
      <c r="A23">
        <v>20</v>
      </c>
      <c r="B23" s="3">
        <v>0.45986111111111111</v>
      </c>
      <c r="C23" s="1">
        <v>45176</v>
      </c>
      <c r="D23" t="s">
        <v>196</v>
      </c>
      <c r="E23" t="s">
        <v>197</v>
      </c>
      <c r="G23">
        <v>20</v>
      </c>
      <c r="J23">
        <v>9.4670000000000004E-2</v>
      </c>
      <c r="K23">
        <v>2.92</v>
      </c>
      <c r="L23">
        <v>9.1697000000000001E-2</v>
      </c>
      <c r="M23">
        <v>1.805658</v>
      </c>
      <c r="N23">
        <v>2.2478479999999998</v>
      </c>
      <c r="O23">
        <v>2.2003620000000002</v>
      </c>
      <c r="P23">
        <v>4.0643269999999996</v>
      </c>
      <c r="Q23">
        <v>1.816479</v>
      </c>
      <c r="R23">
        <v>23.063987999999998</v>
      </c>
      <c r="S23">
        <v>23.561729</v>
      </c>
      <c r="T23">
        <v>42.601894000000001</v>
      </c>
      <c r="U23">
        <v>0.44178600000000001</v>
      </c>
      <c r="V23" t="s">
        <v>1384</v>
      </c>
      <c r="W23">
        <v>0</v>
      </c>
      <c r="X23">
        <v>0</v>
      </c>
      <c r="Y23">
        <v>0</v>
      </c>
      <c r="Z23">
        <v>114.004257</v>
      </c>
      <c r="AA23">
        <v>318.00289900000001</v>
      </c>
      <c r="AB23">
        <v>0.64149900000000004</v>
      </c>
      <c r="AC23">
        <v>0.5</v>
      </c>
      <c r="AD23">
        <v>0.8</v>
      </c>
      <c r="AE23">
        <v>237.95486500000001</v>
      </c>
      <c r="AF23">
        <v>56.42</v>
      </c>
      <c r="AG23">
        <v>55.23</v>
      </c>
      <c r="AH23">
        <v>28.84</v>
      </c>
      <c r="AI23">
        <v>29.18</v>
      </c>
      <c r="AJ23">
        <v>95.4</v>
      </c>
      <c r="AK23">
        <v>156.5</v>
      </c>
      <c r="AL23">
        <v>157.80000000000001</v>
      </c>
      <c r="AM23">
        <v>-0.8</v>
      </c>
      <c r="AN23">
        <v>927</v>
      </c>
      <c r="AO23">
        <v>4.0129999999999999</v>
      </c>
      <c r="AP23" s="3">
        <v>0.4596412037037037</v>
      </c>
      <c r="AQ23" s="1">
        <v>45176</v>
      </c>
      <c r="AR23">
        <v>-0.44</v>
      </c>
      <c r="AS23">
        <v>2E-3</v>
      </c>
      <c r="AT23">
        <v>1E-3</v>
      </c>
      <c r="AU23">
        <v>1.2E-2</v>
      </c>
      <c r="AV23">
        <v>-0.89</v>
      </c>
      <c r="AW23">
        <v>-1.478</v>
      </c>
      <c r="AX23">
        <v>-3.2759999999999998</v>
      </c>
      <c r="AY23">
        <v>1</v>
      </c>
      <c r="AZ23">
        <v>150</v>
      </c>
      <c r="BA23">
        <v>5.0000000000000001E-3</v>
      </c>
      <c r="BB23">
        <v>2</v>
      </c>
      <c r="BC23">
        <v>0</v>
      </c>
      <c r="BD23" t="s">
        <v>200</v>
      </c>
      <c r="BE23">
        <v>7000</v>
      </c>
      <c r="BF23">
        <v>500</v>
      </c>
      <c r="BG23">
        <v>5</v>
      </c>
      <c r="BH23">
        <v>2</v>
      </c>
      <c r="BI23">
        <v>300</v>
      </c>
      <c r="BJ23">
        <v>300</v>
      </c>
      <c r="BK23">
        <v>300</v>
      </c>
      <c r="BL23">
        <v>297.23202500000002</v>
      </c>
      <c r="BM23">
        <v>25</v>
      </c>
      <c r="BN23">
        <v>-14.5738</v>
      </c>
      <c r="BO23">
        <v>296.03970299999997</v>
      </c>
      <c r="BP23">
        <v>297.09957900000001</v>
      </c>
      <c r="BQ23">
        <v>-1.0598749999999999</v>
      </c>
      <c r="BR23">
        <v>2.427816</v>
      </c>
      <c r="BS23">
        <v>2.4981520000000002</v>
      </c>
      <c r="BT23">
        <v>1.5890880000000001</v>
      </c>
      <c r="BU23">
        <v>1.003226</v>
      </c>
      <c r="BV23">
        <v>0.23416999999999999</v>
      </c>
      <c r="BW23">
        <v>4.1120000000000002E-3</v>
      </c>
      <c r="BX23">
        <v>0.23289899999999999</v>
      </c>
      <c r="BY23">
        <v>0.92970299999999995</v>
      </c>
      <c r="BZ23">
        <v>114.004257</v>
      </c>
      <c r="CA23">
        <v>3.4200000000000002E-4</v>
      </c>
      <c r="CB23">
        <v>2.3486280000000002</v>
      </c>
      <c r="CC23">
        <v>-5.1E-5</v>
      </c>
      <c r="CD23">
        <v>1</v>
      </c>
      <c r="CE23">
        <v>2.4109430000000001</v>
      </c>
      <c r="CF23">
        <v>-5.7000000000000003E-5</v>
      </c>
      <c r="CG23">
        <v>1</v>
      </c>
      <c r="CH23">
        <v>0.60051900000000002</v>
      </c>
      <c r="CI23">
        <v>0.60216099999999995</v>
      </c>
      <c r="CJ23">
        <v>0.107265</v>
      </c>
      <c r="CK23">
        <v>0</v>
      </c>
      <c r="CL23" t="s">
        <v>1384</v>
      </c>
      <c r="CM23" t="s">
        <v>201</v>
      </c>
      <c r="CN23" t="s">
        <v>202</v>
      </c>
      <c r="CO23" t="s">
        <v>203</v>
      </c>
      <c r="CP23" t="s">
        <v>204</v>
      </c>
      <c r="CQ23" t="s">
        <v>205</v>
      </c>
      <c r="CR23" t="s">
        <v>206</v>
      </c>
    </row>
    <row r="24" spans="1:96">
      <c r="A24">
        <v>21</v>
      </c>
      <c r="B24" s="3">
        <v>0.46003472222222225</v>
      </c>
      <c r="C24" s="1">
        <v>45176</v>
      </c>
      <c r="D24" t="s">
        <v>196</v>
      </c>
      <c r="E24" t="s">
        <v>197</v>
      </c>
      <c r="G24">
        <v>21</v>
      </c>
      <c r="J24">
        <v>0.10523299999999999</v>
      </c>
      <c r="K24">
        <v>2.9186109999999998</v>
      </c>
      <c r="L24">
        <v>0.10157099999999999</v>
      </c>
      <c r="M24">
        <v>1.708164</v>
      </c>
      <c r="N24">
        <v>2.2936369999999999</v>
      </c>
      <c r="O24">
        <v>2.2486860000000002</v>
      </c>
      <c r="P24">
        <v>3.8465099999999999</v>
      </c>
      <c r="Q24">
        <v>1.5528729999999999</v>
      </c>
      <c r="R24">
        <v>23.569400999999999</v>
      </c>
      <c r="S24">
        <v>24.040554</v>
      </c>
      <c r="T24">
        <v>40.316856000000001</v>
      </c>
      <c r="U24">
        <v>0.44178600000000001</v>
      </c>
      <c r="V24" t="s">
        <v>1385</v>
      </c>
      <c r="W24">
        <v>0</v>
      </c>
      <c r="X24">
        <v>0</v>
      </c>
      <c r="Y24">
        <v>0</v>
      </c>
      <c r="Z24">
        <v>83.342315999999997</v>
      </c>
      <c r="AA24">
        <v>315.091431</v>
      </c>
      <c r="AB24">
        <v>0.73549799999999999</v>
      </c>
      <c r="AC24">
        <v>0.5</v>
      </c>
      <c r="AD24">
        <v>0.8</v>
      </c>
      <c r="AE24">
        <v>29.875086</v>
      </c>
      <c r="AF24">
        <v>57.43</v>
      </c>
      <c r="AG24">
        <v>56.31</v>
      </c>
      <c r="AH24">
        <v>28.88</v>
      </c>
      <c r="AI24">
        <v>28.23</v>
      </c>
      <c r="AJ24">
        <v>95.41</v>
      </c>
      <c r="AK24">
        <v>156.30000000000001</v>
      </c>
      <c r="AL24">
        <v>157.9</v>
      </c>
      <c r="AM24">
        <v>-1</v>
      </c>
      <c r="AN24">
        <v>102</v>
      </c>
      <c r="AO24">
        <v>4.0129999999999999</v>
      </c>
      <c r="AP24" s="3">
        <v>0.4596412037037037</v>
      </c>
      <c r="AQ24" s="1">
        <v>45176</v>
      </c>
      <c r="AR24">
        <v>-0.44</v>
      </c>
      <c r="AS24">
        <v>0</v>
      </c>
      <c r="AT24">
        <v>-1E-3</v>
      </c>
      <c r="AU24">
        <v>1.4E-2</v>
      </c>
      <c r="AV24">
        <v>-4.8000000000000001E-2</v>
      </c>
      <c r="AW24">
        <v>-0.17199999999999999</v>
      </c>
      <c r="AX24">
        <v>-0.27500000000000002</v>
      </c>
      <c r="AY24">
        <v>1</v>
      </c>
      <c r="AZ24">
        <v>150</v>
      </c>
      <c r="BA24">
        <v>5.0000000000000001E-3</v>
      </c>
      <c r="BB24">
        <v>2</v>
      </c>
      <c r="BC24">
        <v>0</v>
      </c>
      <c r="BD24" t="s">
        <v>200</v>
      </c>
      <c r="BE24">
        <v>7000</v>
      </c>
      <c r="BF24">
        <v>500</v>
      </c>
      <c r="BG24">
        <v>5</v>
      </c>
      <c r="BH24">
        <v>2</v>
      </c>
      <c r="BI24">
        <v>300</v>
      </c>
      <c r="BJ24">
        <v>300</v>
      </c>
      <c r="BK24">
        <v>300</v>
      </c>
      <c r="BL24">
        <v>294.40033</v>
      </c>
      <c r="BM24">
        <v>25</v>
      </c>
      <c r="BN24">
        <v>-14.285981</v>
      </c>
      <c r="BO24">
        <v>296.19278000000003</v>
      </c>
      <c r="BP24">
        <v>294.60095200000001</v>
      </c>
      <c r="BQ24">
        <v>1.5918270000000001</v>
      </c>
      <c r="BR24">
        <v>2.429144</v>
      </c>
      <c r="BS24">
        <v>2.499485</v>
      </c>
      <c r="BT24">
        <v>1.587744</v>
      </c>
      <c r="BU24">
        <v>1.003506</v>
      </c>
      <c r="BV24">
        <v>0.23377700000000001</v>
      </c>
      <c r="BW24">
        <v>-8.1650000000000004E-3</v>
      </c>
      <c r="BX24">
        <v>0.23418700000000001</v>
      </c>
      <c r="BY24">
        <v>0.197325</v>
      </c>
      <c r="BZ24">
        <v>83.342315999999997</v>
      </c>
      <c r="CA24">
        <v>3.5E-4</v>
      </c>
      <c r="CB24">
        <v>2.3486280000000002</v>
      </c>
      <c r="CC24">
        <v>-5.1E-5</v>
      </c>
      <c r="CD24">
        <v>1</v>
      </c>
      <c r="CE24">
        <v>2.4109430000000001</v>
      </c>
      <c r="CF24">
        <v>-5.7000000000000003E-5</v>
      </c>
      <c r="CG24">
        <v>1</v>
      </c>
      <c r="CH24">
        <v>0.60051900000000002</v>
      </c>
      <c r="CI24">
        <v>0.60216099999999995</v>
      </c>
      <c r="CJ24">
        <v>0.107265</v>
      </c>
      <c r="CK24">
        <v>0</v>
      </c>
      <c r="CL24" t="s">
        <v>1385</v>
      </c>
      <c r="CM24" t="s">
        <v>201</v>
      </c>
      <c r="CN24" t="s">
        <v>202</v>
      </c>
      <c r="CO24" t="s">
        <v>203</v>
      </c>
      <c r="CP24" t="s">
        <v>204</v>
      </c>
      <c r="CQ24" t="s">
        <v>205</v>
      </c>
      <c r="CR24" t="s">
        <v>206</v>
      </c>
    </row>
    <row r="25" spans="1:96">
      <c r="A25">
        <v>22</v>
      </c>
      <c r="B25" s="3">
        <v>0.46019675925925929</v>
      </c>
      <c r="C25" s="1">
        <v>45176</v>
      </c>
      <c r="D25" t="s">
        <v>196</v>
      </c>
      <c r="E25" t="s">
        <v>197</v>
      </c>
      <c r="G25">
        <v>22</v>
      </c>
      <c r="J25">
        <v>6.6894999999999996E-2</v>
      </c>
      <c r="K25">
        <v>2.91859</v>
      </c>
      <c r="L25">
        <v>6.5395999999999996E-2</v>
      </c>
      <c r="M25">
        <v>1.1947319999999999</v>
      </c>
      <c r="N25">
        <v>2.2899989999999999</v>
      </c>
      <c r="O25">
        <v>2.258556</v>
      </c>
      <c r="P25">
        <v>3.9757950000000002</v>
      </c>
      <c r="Q25">
        <v>1.6857960000000001</v>
      </c>
      <c r="R25">
        <v>23.672421</v>
      </c>
      <c r="S25">
        <v>24.001974000000001</v>
      </c>
      <c r="T25">
        <v>41.671177</v>
      </c>
      <c r="U25">
        <v>0.44178600000000001</v>
      </c>
      <c r="V25" t="s">
        <v>1386</v>
      </c>
      <c r="W25">
        <v>0</v>
      </c>
      <c r="X25">
        <v>0</v>
      </c>
      <c r="Y25">
        <v>0</v>
      </c>
      <c r="Z25">
        <v>95.436927999999995</v>
      </c>
      <c r="AA25">
        <v>306.44635</v>
      </c>
      <c r="AB25">
        <v>0.68856899999999999</v>
      </c>
      <c r="AC25">
        <v>0.5</v>
      </c>
      <c r="AD25">
        <v>0.8</v>
      </c>
      <c r="AE25">
        <v>62.021599000000002</v>
      </c>
      <c r="AF25">
        <v>57.25</v>
      </c>
      <c r="AG25">
        <v>56.47</v>
      </c>
      <c r="AH25">
        <v>28.91</v>
      </c>
      <c r="AI25">
        <v>28.8</v>
      </c>
      <c r="AJ25">
        <v>95.41</v>
      </c>
      <c r="AK25">
        <v>156.30000000000001</v>
      </c>
      <c r="AL25">
        <v>158</v>
      </c>
      <c r="AM25">
        <v>-1.1000000000000001</v>
      </c>
      <c r="AN25">
        <v>225</v>
      </c>
      <c r="AO25">
        <v>4.008</v>
      </c>
      <c r="AP25" s="3">
        <v>0.4596412037037037</v>
      </c>
      <c r="AQ25" s="1">
        <v>45176</v>
      </c>
      <c r="AR25">
        <v>-0.44</v>
      </c>
      <c r="AS25">
        <v>3.0000000000000001E-3</v>
      </c>
      <c r="AT25">
        <v>3.0000000000000001E-3</v>
      </c>
      <c r="AU25">
        <v>1.4E-2</v>
      </c>
      <c r="AV25">
        <v>-4.3310000000000004</v>
      </c>
      <c r="AW25">
        <v>6.2E-2</v>
      </c>
      <c r="AX25">
        <v>-1.7569999999999999</v>
      </c>
      <c r="AY25">
        <v>1</v>
      </c>
      <c r="AZ25">
        <v>150</v>
      </c>
      <c r="BA25">
        <v>5.0000000000000001E-3</v>
      </c>
      <c r="BB25">
        <v>2</v>
      </c>
      <c r="BC25">
        <v>0</v>
      </c>
      <c r="BD25" t="s">
        <v>200</v>
      </c>
      <c r="BE25">
        <v>7000</v>
      </c>
      <c r="BF25">
        <v>500</v>
      </c>
      <c r="BG25">
        <v>5</v>
      </c>
      <c r="BH25">
        <v>2</v>
      </c>
      <c r="BI25">
        <v>300</v>
      </c>
      <c r="BJ25">
        <v>300</v>
      </c>
      <c r="BK25">
        <v>300</v>
      </c>
      <c r="BL25">
        <v>282.79638699999998</v>
      </c>
      <c r="BM25">
        <v>25</v>
      </c>
      <c r="BN25">
        <v>-16.374935000000001</v>
      </c>
      <c r="BO25">
        <v>282.98092700000001</v>
      </c>
      <c r="BP25">
        <v>282.959656</v>
      </c>
      <c r="BQ25">
        <v>2.1271000000000002E-2</v>
      </c>
      <c r="BR25">
        <v>2.4293369999999999</v>
      </c>
      <c r="BS25">
        <v>2.4992390000000002</v>
      </c>
      <c r="BT25">
        <v>1.5877239999999999</v>
      </c>
      <c r="BU25">
        <v>1.0038229999999999</v>
      </c>
      <c r="BV25">
        <v>0.23353199999999999</v>
      </c>
      <c r="BW25">
        <v>-1.469E-3</v>
      </c>
      <c r="BX25">
        <v>0.23533699999999999</v>
      </c>
      <c r="BY25">
        <v>0.306975</v>
      </c>
      <c r="BZ25">
        <v>95.436927999999995</v>
      </c>
      <c r="CA25">
        <v>3.3700000000000001E-4</v>
      </c>
      <c r="CB25">
        <v>2.3486280000000002</v>
      </c>
      <c r="CC25">
        <v>-5.1E-5</v>
      </c>
      <c r="CD25">
        <v>1</v>
      </c>
      <c r="CE25">
        <v>2.4109430000000001</v>
      </c>
      <c r="CF25">
        <v>-5.7000000000000003E-5</v>
      </c>
      <c r="CG25">
        <v>1</v>
      </c>
      <c r="CH25">
        <v>0.60051900000000002</v>
      </c>
      <c r="CI25">
        <v>0.60216099999999995</v>
      </c>
      <c r="CJ25">
        <v>0.107265</v>
      </c>
      <c r="CK25">
        <v>0</v>
      </c>
      <c r="CL25" t="s">
        <v>1386</v>
      </c>
      <c r="CM25" t="s">
        <v>201</v>
      </c>
      <c r="CN25" t="s">
        <v>202</v>
      </c>
      <c r="CO25" t="s">
        <v>203</v>
      </c>
      <c r="CP25" t="s">
        <v>204</v>
      </c>
      <c r="CQ25" t="s">
        <v>205</v>
      </c>
      <c r="CR25" t="s">
        <v>206</v>
      </c>
    </row>
    <row r="26" spans="1:96">
      <c r="A26">
        <v>23</v>
      </c>
      <c r="B26" s="3">
        <v>0.46336805555555555</v>
      </c>
      <c r="C26" s="1">
        <v>45176</v>
      </c>
      <c r="D26" t="s">
        <v>196</v>
      </c>
      <c r="E26" t="s">
        <v>197</v>
      </c>
      <c r="G26">
        <v>23</v>
      </c>
      <c r="J26">
        <v>8.5129999999999997E-2</v>
      </c>
      <c r="K26">
        <v>2.9187820000000002</v>
      </c>
      <c r="L26">
        <v>8.2718E-2</v>
      </c>
      <c r="M26">
        <v>2.05558</v>
      </c>
      <c r="N26">
        <v>2.2601170000000002</v>
      </c>
      <c r="O26">
        <v>2.2059980000000001</v>
      </c>
      <c r="P26">
        <v>4.547015</v>
      </c>
      <c r="Q26">
        <v>2.2868979999999999</v>
      </c>
      <c r="R26">
        <v>23.116523999999998</v>
      </c>
      <c r="S26">
        <v>23.683631999999999</v>
      </c>
      <c r="T26">
        <v>47.6479</v>
      </c>
      <c r="U26">
        <v>0.44178600000000001</v>
      </c>
      <c r="V26" t="s">
        <v>1387</v>
      </c>
      <c r="W26">
        <v>0</v>
      </c>
      <c r="X26">
        <v>0</v>
      </c>
      <c r="Y26">
        <v>0</v>
      </c>
      <c r="Z26">
        <v>113.426682</v>
      </c>
      <c r="AA26">
        <v>215.42434700000001</v>
      </c>
      <c r="AB26">
        <v>0.47347299999999998</v>
      </c>
      <c r="AC26">
        <v>0.5</v>
      </c>
      <c r="AD26">
        <v>0.8</v>
      </c>
      <c r="AE26">
        <v>275.34124800000001</v>
      </c>
      <c r="AF26">
        <v>55.32</v>
      </c>
      <c r="AG26">
        <v>54</v>
      </c>
      <c r="AH26">
        <v>29.27</v>
      </c>
      <c r="AI26">
        <v>31.14</v>
      </c>
      <c r="AJ26">
        <v>95.43</v>
      </c>
      <c r="AK26">
        <v>156.30000000000001</v>
      </c>
      <c r="AL26">
        <v>158</v>
      </c>
      <c r="AM26">
        <v>-1</v>
      </c>
      <c r="AN26">
        <v>1454</v>
      </c>
      <c r="AO26">
        <v>4.0069999999999997</v>
      </c>
      <c r="AP26" s="3">
        <v>0.4596412037037037</v>
      </c>
      <c r="AQ26" s="1">
        <v>45176</v>
      </c>
      <c r="AR26">
        <v>-0.44</v>
      </c>
      <c r="AS26">
        <v>-1E-3</v>
      </c>
      <c r="AT26">
        <v>-1E-3</v>
      </c>
      <c r="AU26">
        <v>-7.0000000000000001E-3</v>
      </c>
      <c r="AV26">
        <v>1.052</v>
      </c>
      <c r="AW26">
        <v>2.6920000000000002</v>
      </c>
      <c r="AX26">
        <v>24.295000000000002</v>
      </c>
      <c r="AY26">
        <v>1</v>
      </c>
      <c r="AZ26">
        <v>150</v>
      </c>
      <c r="BA26">
        <v>5.0000000000000001E-3</v>
      </c>
      <c r="BB26">
        <v>2</v>
      </c>
      <c r="BC26">
        <v>0</v>
      </c>
      <c r="BD26" t="s">
        <v>200</v>
      </c>
      <c r="BE26">
        <v>7000</v>
      </c>
      <c r="BF26">
        <v>500</v>
      </c>
      <c r="BG26">
        <v>5</v>
      </c>
      <c r="BH26">
        <v>2</v>
      </c>
      <c r="BI26">
        <v>300</v>
      </c>
      <c r="BJ26">
        <v>300</v>
      </c>
      <c r="BK26">
        <v>300</v>
      </c>
      <c r="BL26">
        <v>198.837524</v>
      </c>
      <c r="BM26">
        <v>25</v>
      </c>
      <c r="BN26">
        <v>-11.425888</v>
      </c>
      <c r="BO26">
        <v>197.87550400000001</v>
      </c>
      <c r="BP26">
        <v>199.036102</v>
      </c>
      <c r="BQ26">
        <v>-1.1605989999999999</v>
      </c>
      <c r="BR26">
        <v>2.4261720000000002</v>
      </c>
      <c r="BS26">
        <v>2.4965700000000002</v>
      </c>
      <c r="BT26">
        <v>1.5879099999999999</v>
      </c>
      <c r="BU26">
        <v>1.0038100000000001</v>
      </c>
      <c r="BV26">
        <v>0.23017399999999999</v>
      </c>
      <c r="BW26">
        <v>2.3268E-2</v>
      </c>
      <c r="BX26">
        <v>0.259378</v>
      </c>
      <c r="BY26">
        <v>1.396644</v>
      </c>
      <c r="BZ26">
        <v>113.426682</v>
      </c>
      <c r="CA26">
        <v>3.4099999999999999E-4</v>
      </c>
      <c r="CB26">
        <v>2.3486280000000002</v>
      </c>
      <c r="CC26">
        <v>-5.1E-5</v>
      </c>
      <c r="CD26">
        <v>1</v>
      </c>
      <c r="CE26">
        <v>2.4109430000000001</v>
      </c>
      <c r="CF26">
        <v>-5.7000000000000003E-5</v>
      </c>
      <c r="CG26">
        <v>1</v>
      </c>
      <c r="CH26">
        <v>0.60051900000000002</v>
      </c>
      <c r="CI26">
        <v>0.60216099999999995</v>
      </c>
      <c r="CJ26">
        <v>0.107265</v>
      </c>
      <c r="CK26">
        <v>0</v>
      </c>
      <c r="CL26" t="s">
        <v>1387</v>
      </c>
      <c r="CM26" t="s">
        <v>201</v>
      </c>
      <c r="CN26" t="s">
        <v>202</v>
      </c>
      <c r="CO26" t="s">
        <v>203</v>
      </c>
      <c r="CP26" t="s">
        <v>204</v>
      </c>
      <c r="CQ26" t="s">
        <v>205</v>
      </c>
      <c r="CR26" t="s">
        <v>206</v>
      </c>
    </row>
    <row r="27" spans="1:96">
      <c r="A27">
        <v>24</v>
      </c>
      <c r="B27" s="3">
        <v>0.46347222222222223</v>
      </c>
      <c r="C27" s="1">
        <v>45176</v>
      </c>
      <c r="D27" t="s">
        <v>196</v>
      </c>
      <c r="E27" t="s">
        <v>197</v>
      </c>
      <c r="G27">
        <v>24</v>
      </c>
      <c r="J27">
        <v>7.0524000000000003E-2</v>
      </c>
      <c r="K27">
        <v>2.919645</v>
      </c>
      <c r="L27">
        <v>6.8861000000000006E-2</v>
      </c>
      <c r="M27">
        <v>1.909513</v>
      </c>
      <c r="N27">
        <v>2.2491349999999999</v>
      </c>
      <c r="O27">
        <v>2.19889</v>
      </c>
      <c r="P27">
        <v>4.7976989999999997</v>
      </c>
      <c r="Q27">
        <v>2.5485639999999998</v>
      </c>
      <c r="R27">
        <v>23.041981</v>
      </c>
      <c r="S27">
        <v>23.568494999999999</v>
      </c>
      <c r="T27">
        <v>50.274673</v>
      </c>
      <c r="U27">
        <v>0.44178600000000001</v>
      </c>
      <c r="V27" t="s">
        <v>1388</v>
      </c>
      <c r="W27">
        <v>0</v>
      </c>
      <c r="X27">
        <v>0</v>
      </c>
      <c r="Y27">
        <v>0</v>
      </c>
      <c r="Z27">
        <v>78.425644000000005</v>
      </c>
      <c r="AA27">
        <v>127.33229799999999</v>
      </c>
      <c r="AB27">
        <v>0.38408700000000001</v>
      </c>
      <c r="AC27">
        <v>0.5</v>
      </c>
      <c r="AD27">
        <v>0.8</v>
      </c>
      <c r="AE27">
        <v>240.427322</v>
      </c>
      <c r="AF27">
        <v>54.98</v>
      </c>
      <c r="AG27">
        <v>53.76</v>
      </c>
      <c r="AH27">
        <v>29.29</v>
      </c>
      <c r="AI27">
        <v>32.08</v>
      </c>
      <c r="AJ27">
        <v>95.43</v>
      </c>
      <c r="AK27">
        <v>156.4</v>
      </c>
      <c r="AL27">
        <v>156.80000000000001</v>
      </c>
      <c r="AM27">
        <v>-0.2</v>
      </c>
      <c r="AN27">
        <v>1565</v>
      </c>
      <c r="AO27">
        <v>4.0069999999999997</v>
      </c>
      <c r="AP27" s="3">
        <v>0.4596412037037037</v>
      </c>
      <c r="AQ27" s="1">
        <v>45176</v>
      </c>
      <c r="AR27">
        <v>-0.44</v>
      </c>
      <c r="AS27">
        <v>4.0000000000000001E-3</v>
      </c>
      <c r="AT27">
        <v>1E-3</v>
      </c>
      <c r="AU27">
        <v>-9999</v>
      </c>
      <c r="AV27">
        <v>3.2000000000000001E-2</v>
      </c>
      <c r="AW27">
        <v>9.0999999999999998E-2</v>
      </c>
      <c r="AX27">
        <v>-9999</v>
      </c>
      <c r="AY27">
        <v>1</v>
      </c>
      <c r="AZ27">
        <v>150</v>
      </c>
      <c r="BA27">
        <v>5.0000000000000001E-3</v>
      </c>
      <c r="BB27">
        <v>2</v>
      </c>
      <c r="BC27">
        <v>0</v>
      </c>
      <c r="BD27" t="s">
        <v>200</v>
      </c>
      <c r="BE27">
        <v>7000</v>
      </c>
      <c r="BF27">
        <v>500</v>
      </c>
      <c r="BG27">
        <v>5</v>
      </c>
      <c r="BH27">
        <v>2</v>
      </c>
      <c r="BI27">
        <v>300</v>
      </c>
      <c r="BJ27">
        <v>300</v>
      </c>
      <c r="BK27">
        <v>300</v>
      </c>
      <c r="BL27">
        <v>121.161102</v>
      </c>
      <c r="BM27">
        <v>25</v>
      </c>
      <c r="BN27">
        <v>-4.1878630000000001</v>
      </c>
      <c r="BO27">
        <v>124.427673</v>
      </c>
      <c r="BP27">
        <v>121.325615</v>
      </c>
      <c r="BQ27">
        <v>3.102058</v>
      </c>
      <c r="BR27">
        <v>2.4258670000000002</v>
      </c>
      <c r="BS27">
        <v>2.4961150000000001</v>
      </c>
      <c r="BT27">
        <v>1.5887439999999999</v>
      </c>
      <c r="BU27">
        <v>0.99999700000000002</v>
      </c>
      <c r="BV27">
        <v>0.22998099999999999</v>
      </c>
      <c r="BW27">
        <v>3.5082000000000002E-2</v>
      </c>
      <c r="BX27">
        <v>0.26004699999999997</v>
      </c>
      <c r="BY27">
        <v>1.4951680000000001</v>
      </c>
      <c r="BZ27">
        <v>78.425644000000005</v>
      </c>
      <c r="CA27">
        <v>3.3399999999999999E-4</v>
      </c>
      <c r="CB27">
        <v>2.3486280000000002</v>
      </c>
      <c r="CC27">
        <v>-5.1E-5</v>
      </c>
      <c r="CD27">
        <v>1</v>
      </c>
      <c r="CE27">
        <v>2.4109430000000001</v>
      </c>
      <c r="CF27">
        <v>-5.7000000000000003E-5</v>
      </c>
      <c r="CG27">
        <v>1</v>
      </c>
      <c r="CH27">
        <v>0.60051900000000002</v>
      </c>
      <c r="CI27">
        <v>0.60216099999999995</v>
      </c>
      <c r="CJ27">
        <v>0.107265</v>
      </c>
      <c r="CK27">
        <v>0</v>
      </c>
      <c r="CL27" t="s">
        <v>1388</v>
      </c>
      <c r="CM27" t="s">
        <v>201</v>
      </c>
      <c r="CN27" t="s">
        <v>202</v>
      </c>
      <c r="CO27" t="s">
        <v>203</v>
      </c>
      <c r="CP27" t="s">
        <v>204</v>
      </c>
      <c r="CQ27" t="s">
        <v>205</v>
      </c>
      <c r="CR27" t="s">
        <v>206</v>
      </c>
    </row>
    <row r="28" spans="1:96">
      <c r="A28">
        <v>25</v>
      </c>
      <c r="B28" s="3">
        <v>0.46361111111111114</v>
      </c>
      <c r="C28" s="1">
        <v>45176</v>
      </c>
      <c r="D28" t="s">
        <v>196</v>
      </c>
      <c r="E28" t="s">
        <v>197</v>
      </c>
      <c r="G28">
        <v>25</v>
      </c>
      <c r="J28">
        <v>0.109791</v>
      </c>
      <c r="K28">
        <v>2.9191720000000001</v>
      </c>
      <c r="L28">
        <v>0.105812</v>
      </c>
      <c r="M28">
        <v>2.7605019999999998</v>
      </c>
      <c r="N28">
        <v>2.2001390000000001</v>
      </c>
      <c r="O28">
        <v>2.1274419999999998</v>
      </c>
      <c r="P28">
        <v>4.6008899999999997</v>
      </c>
      <c r="Q28">
        <v>2.4007510000000001</v>
      </c>
      <c r="R28">
        <v>22.294909000000001</v>
      </c>
      <c r="S28">
        <v>23.056750999999998</v>
      </c>
      <c r="T28">
        <v>48.215854999999998</v>
      </c>
      <c r="U28">
        <v>0.44178600000000001</v>
      </c>
      <c r="V28" t="s">
        <v>1389</v>
      </c>
      <c r="W28">
        <v>0</v>
      </c>
      <c r="X28">
        <v>0</v>
      </c>
      <c r="Y28">
        <v>0</v>
      </c>
      <c r="Z28">
        <v>202.37231399999999</v>
      </c>
      <c r="AA28">
        <v>299.20245399999999</v>
      </c>
      <c r="AB28">
        <v>0.32362800000000003</v>
      </c>
      <c r="AC28">
        <v>0.5</v>
      </c>
      <c r="AD28">
        <v>0.8</v>
      </c>
      <c r="AE28">
        <v>208.467072</v>
      </c>
      <c r="AF28">
        <v>53.7</v>
      </c>
      <c r="AG28">
        <v>51.93</v>
      </c>
      <c r="AH28">
        <v>29.32</v>
      </c>
      <c r="AI28">
        <v>31.35</v>
      </c>
      <c r="AJ28">
        <v>95.42</v>
      </c>
      <c r="AK28">
        <v>156.4</v>
      </c>
      <c r="AL28">
        <v>158</v>
      </c>
      <c r="AM28">
        <v>-1</v>
      </c>
      <c r="AN28">
        <v>1610</v>
      </c>
      <c r="AO28">
        <v>4.0069999999999997</v>
      </c>
      <c r="AP28" s="3">
        <v>0.4596412037037037</v>
      </c>
      <c r="AQ28" s="1">
        <v>45176</v>
      </c>
      <c r="AR28">
        <v>-0.44</v>
      </c>
      <c r="AS28">
        <v>-1E-3</v>
      </c>
      <c r="AT28">
        <v>1E-3</v>
      </c>
      <c r="AU28">
        <v>2.1000000000000001E-2</v>
      </c>
      <c r="AV28">
        <v>-0.59199999999999997</v>
      </c>
      <c r="AW28">
        <v>1.621</v>
      </c>
      <c r="AX28">
        <v>10.198</v>
      </c>
      <c r="AY28">
        <v>1</v>
      </c>
      <c r="AZ28">
        <v>150</v>
      </c>
      <c r="BA28">
        <v>5.0000000000000001E-3</v>
      </c>
      <c r="BB28">
        <v>2</v>
      </c>
      <c r="BC28">
        <v>0</v>
      </c>
      <c r="BD28" t="s">
        <v>200</v>
      </c>
      <c r="BE28">
        <v>7000</v>
      </c>
      <c r="BF28">
        <v>500</v>
      </c>
      <c r="BG28">
        <v>5</v>
      </c>
      <c r="BH28">
        <v>2</v>
      </c>
      <c r="BI28">
        <v>300</v>
      </c>
      <c r="BJ28">
        <v>300</v>
      </c>
      <c r="BK28">
        <v>300</v>
      </c>
      <c r="BL28">
        <v>285.77612299999998</v>
      </c>
      <c r="BM28">
        <v>25</v>
      </c>
      <c r="BN28">
        <v>-9.7007820000000002</v>
      </c>
      <c r="BO28">
        <v>284.138214</v>
      </c>
      <c r="BP28">
        <v>285.288544</v>
      </c>
      <c r="BQ28">
        <v>-1.1503300000000001</v>
      </c>
      <c r="BR28">
        <v>2.4235760000000002</v>
      </c>
      <c r="BS28">
        <v>2.4943949999999999</v>
      </c>
      <c r="BT28">
        <v>1.5882860000000001</v>
      </c>
      <c r="BU28">
        <v>1.0039720000000001</v>
      </c>
      <c r="BV28">
        <v>0.22974</v>
      </c>
      <c r="BW28">
        <v>2.5301000000000001E-2</v>
      </c>
      <c r="BX28">
        <v>0.260905</v>
      </c>
      <c r="BY28">
        <v>1.5354909999999999</v>
      </c>
      <c r="BZ28">
        <v>202.37231399999999</v>
      </c>
      <c r="CA28">
        <v>3.3700000000000001E-4</v>
      </c>
      <c r="CB28">
        <v>2.3486280000000002</v>
      </c>
      <c r="CC28">
        <v>-5.1E-5</v>
      </c>
      <c r="CD28">
        <v>1</v>
      </c>
      <c r="CE28">
        <v>2.4109430000000001</v>
      </c>
      <c r="CF28">
        <v>-5.7000000000000003E-5</v>
      </c>
      <c r="CG28">
        <v>1</v>
      </c>
      <c r="CH28">
        <v>0.60051900000000002</v>
      </c>
      <c r="CI28">
        <v>0.60216099999999995</v>
      </c>
      <c r="CJ28">
        <v>0.107265</v>
      </c>
      <c r="CK28">
        <v>0</v>
      </c>
      <c r="CL28" t="s">
        <v>1389</v>
      </c>
      <c r="CM28" t="s">
        <v>201</v>
      </c>
      <c r="CN28" t="s">
        <v>202</v>
      </c>
      <c r="CO28" t="s">
        <v>203</v>
      </c>
      <c r="CP28" t="s">
        <v>204</v>
      </c>
      <c r="CQ28" t="s">
        <v>205</v>
      </c>
      <c r="CR28" t="s">
        <v>206</v>
      </c>
    </row>
    <row r="29" spans="1:96">
      <c r="A29">
        <v>26</v>
      </c>
      <c r="B29" s="3">
        <v>0.46377314814814818</v>
      </c>
      <c r="C29" s="1">
        <v>45176</v>
      </c>
      <c r="D29" t="s">
        <v>196</v>
      </c>
      <c r="E29" t="s">
        <v>197</v>
      </c>
      <c r="G29">
        <v>26</v>
      </c>
      <c r="J29">
        <v>0.18510799999999999</v>
      </c>
      <c r="K29">
        <v>2.9193630000000002</v>
      </c>
      <c r="L29">
        <v>0.17407</v>
      </c>
      <c r="M29">
        <v>3.9818519999999999</v>
      </c>
      <c r="N29">
        <v>2.2594319999999999</v>
      </c>
      <c r="O29">
        <v>2.1546509999999999</v>
      </c>
      <c r="P29">
        <v>4.3664899999999998</v>
      </c>
      <c r="Q29">
        <v>2.1070579999999999</v>
      </c>
      <c r="R29">
        <v>22.579525</v>
      </c>
      <c r="S29">
        <v>23.677569999999999</v>
      </c>
      <c r="T29">
        <v>45.758347000000001</v>
      </c>
      <c r="U29">
        <v>0.44178600000000001</v>
      </c>
      <c r="V29" t="s">
        <v>1390</v>
      </c>
      <c r="W29">
        <v>0</v>
      </c>
      <c r="X29">
        <v>0</v>
      </c>
      <c r="Y29">
        <v>0</v>
      </c>
      <c r="Z29">
        <v>90.528487999999996</v>
      </c>
      <c r="AA29">
        <v>241.23216199999999</v>
      </c>
      <c r="AB29">
        <v>0.62472499999999997</v>
      </c>
      <c r="AC29">
        <v>0.5</v>
      </c>
      <c r="AD29">
        <v>0.8</v>
      </c>
      <c r="AE29">
        <v>214.27375799999999</v>
      </c>
      <c r="AF29">
        <v>55.06</v>
      </c>
      <c r="AG29">
        <v>52.51</v>
      </c>
      <c r="AH29">
        <v>29.35</v>
      </c>
      <c r="AI29">
        <v>30.43</v>
      </c>
      <c r="AJ29">
        <v>95.43</v>
      </c>
      <c r="AK29">
        <v>156.4</v>
      </c>
      <c r="AL29">
        <v>157.6</v>
      </c>
      <c r="AM29">
        <v>-0.8</v>
      </c>
      <c r="AN29">
        <v>857</v>
      </c>
      <c r="AO29">
        <v>3.996</v>
      </c>
      <c r="AP29" s="3">
        <v>0.4596412037037037</v>
      </c>
      <c r="AQ29" s="1">
        <v>45176</v>
      </c>
      <c r="AR29">
        <v>-0.44</v>
      </c>
      <c r="AS29">
        <v>-1E-3</v>
      </c>
      <c r="AT29">
        <v>-4.0000000000000001E-3</v>
      </c>
      <c r="AU29">
        <v>8.0000000000000002E-3</v>
      </c>
      <c r="AV29">
        <v>1.5509999999999999</v>
      </c>
      <c r="AW29">
        <v>1.254</v>
      </c>
      <c r="AX29">
        <v>-4.6639999999999997</v>
      </c>
      <c r="AY29">
        <v>1</v>
      </c>
      <c r="AZ29">
        <v>150</v>
      </c>
      <c r="BA29">
        <v>5.0000000000000001E-3</v>
      </c>
      <c r="BB29">
        <v>2</v>
      </c>
      <c r="BC29">
        <v>0</v>
      </c>
      <c r="BD29" t="s">
        <v>200</v>
      </c>
      <c r="BE29">
        <v>7000</v>
      </c>
      <c r="BF29">
        <v>500</v>
      </c>
      <c r="BG29">
        <v>5</v>
      </c>
      <c r="BH29">
        <v>2</v>
      </c>
      <c r="BI29">
        <v>300</v>
      </c>
      <c r="BJ29">
        <v>300</v>
      </c>
      <c r="BK29">
        <v>300</v>
      </c>
      <c r="BL29">
        <v>218.638306</v>
      </c>
      <c r="BM29">
        <v>25</v>
      </c>
      <c r="BN29">
        <v>-15.583883</v>
      </c>
      <c r="BO29">
        <v>219.51449600000001</v>
      </c>
      <c r="BP29">
        <v>218.88008099999999</v>
      </c>
      <c r="BQ29">
        <v>0.63441499999999995</v>
      </c>
      <c r="BR29">
        <v>2.424299</v>
      </c>
      <c r="BS29">
        <v>2.4962110000000002</v>
      </c>
      <c r="BT29">
        <v>1.588471</v>
      </c>
      <c r="BU29">
        <v>1.002739</v>
      </c>
      <c r="BV29">
        <v>0.22949600000000001</v>
      </c>
      <c r="BW29">
        <v>1.3356E-2</v>
      </c>
      <c r="BX29">
        <v>0.26197599999999999</v>
      </c>
      <c r="BY29">
        <v>0.86773999999999996</v>
      </c>
      <c r="BZ29">
        <v>90.528487999999996</v>
      </c>
      <c r="CA29">
        <v>3.3500000000000001E-4</v>
      </c>
      <c r="CB29">
        <v>2.3486280000000002</v>
      </c>
      <c r="CC29">
        <v>-5.1E-5</v>
      </c>
      <c r="CD29">
        <v>1</v>
      </c>
      <c r="CE29">
        <v>2.4109430000000001</v>
      </c>
      <c r="CF29">
        <v>-5.7000000000000003E-5</v>
      </c>
      <c r="CG29">
        <v>1</v>
      </c>
      <c r="CH29">
        <v>0.60051900000000002</v>
      </c>
      <c r="CI29">
        <v>0.60216099999999995</v>
      </c>
      <c r="CJ29">
        <v>0.107265</v>
      </c>
      <c r="CK29">
        <v>0</v>
      </c>
      <c r="CL29" t="s">
        <v>1390</v>
      </c>
      <c r="CM29" t="s">
        <v>201</v>
      </c>
      <c r="CN29" t="s">
        <v>202</v>
      </c>
      <c r="CO29" t="s">
        <v>203</v>
      </c>
      <c r="CP29" t="s">
        <v>204</v>
      </c>
      <c r="CQ29" t="s">
        <v>205</v>
      </c>
      <c r="CR29" t="s">
        <v>206</v>
      </c>
    </row>
    <row r="30" spans="1:96">
      <c r="A30">
        <v>27</v>
      </c>
      <c r="B30" s="3">
        <v>0.47037037037037038</v>
      </c>
      <c r="C30" s="1">
        <v>45176</v>
      </c>
      <c r="D30" t="s">
        <v>196</v>
      </c>
      <c r="E30" t="s">
        <v>197</v>
      </c>
      <c r="G30">
        <v>27</v>
      </c>
      <c r="J30">
        <v>1.9581000000000001E-2</v>
      </c>
      <c r="K30">
        <v>2.919225</v>
      </c>
      <c r="L30">
        <v>1.9451E-2</v>
      </c>
      <c r="M30">
        <v>0.63709199999999999</v>
      </c>
      <c r="N30">
        <v>2.1488330000000002</v>
      </c>
      <c r="O30">
        <v>2.1320709999999998</v>
      </c>
      <c r="P30">
        <v>5.150506</v>
      </c>
      <c r="Q30">
        <v>3.0016729999999998</v>
      </c>
      <c r="R30">
        <v>22.373783</v>
      </c>
      <c r="S30">
        <v>22.549689999999998</v>
      </c>
      <c r="T30">
        <v>54.049011</v>
      </c>
      <c r="U30">
        <v>0.44178600000000001</v>
      </c>
      <c r="V30" t="s">
        <v>1391</v>
      </c>
      <c r="W30">
        <v>0</v>
      </c>
      <c r="X30">
        <v>0</v>
      </c>
      <c r="Y30">
        <v>0</v>
      </c>
      <c r="Z30">
        <v>75.071808000000004</v>
      </c>
      <c r="AA30">
        <v>105.78890199999999</v>
      </c>
      <c r="AB30">
        <v>0.29036200000000001</v>
      </c>
      <c r="AC30">
        <v>0.5</v>
      </c>
      <c r="AD30">
        <v>0.8</v>
      </c>
      <c r="AE30">
        <v>194.69816599999999</v>
      </c>
      <c r="AF30">
        <v>47.89</v>
      </c>
      <c r="AG30">
        <v>47.51</v>
      </c>
      <c r="AH30">
        <v>30.91</v>
      </c>
      <c r="AI30">
        <v>33.340000000000003</v>
      </c>
      <c r="AJ30">
        <v>95.29</v>
      </c>
      <c r="AK30">
        <v>156.4</v>
      </c>
      <c r="AL30">
        <v>157.4</v>
      </c>
      <c r="AM30">
        <v>-0.6</v>
      </c>
      <c r="AN30">
        <v>1676</v>
      </c>
      <c r="AO30">
        <v>3.9940000000000002</v>
      </c>
      <c r="AP30" s="3">
        <v>0.47027777777777779</v>
      </c>
      <c r="AQ30" s="1">
        <v>45176</v>
      </c>
      <c r="AR30">
        <v>-0.46</v>
      </c>
      <c r="AS30">
        <v>1E-3</v>
      </c>
      <c r="AT30">
        <v>1E-3</v>
      </c>
      <c r="AU30">
        <v>-9999</v>
      </c>
      <c r="AV30">
        <v>2.496</v>
      </c>
      <c r="AW30">
        <v>-0.86699999999999999</v>
      </c>
      <c r="AX30">
        <v>-9999</v>
      </c>
      <c r="AY30">
        <v>1</v>
      </c>
      <c r="AZ30">
        <v>150</v>
      </c>
      <c r="BA30">
        <v>5.0000000000000001E-3</v>
      </c>
      <c r="BB30">
        <v>2</v>
      </c>
      <c r="BC30">
        <v>0</v>
      </c>
      <c r="BD30" t="s">
        <v>200</v>
      </c>
      <c r="BE30">
        <v>7000</v>
      </c>
      <c r="BF30">
        <v>500</v>
      </c>
      <c r="BG30">
        <v>5</v>
      </c>
      <c r="BH30">
        <v>2</v>
      </c>
      <c r="BI30">
        <v>300</v>
      </c>
      <c r="BJ30">
        <v>300</v>
      </c>
      <c r="BK30">
        <v>300</v>
      </c>
      <c r="BL30">
        <v>100.37827299999999</v>
      </c>
      <c r="BM30">
        <v>25</v>
      </c>
      <c r="BN30">
        <v>-3.7479879999999999</v>
      </c>
      <c r="BO30">
        <v>99.767448000000002</v>
      </c>
      <c r="BP30">
        <v>100.413132</v>
      </c>
      <c r="BQ30">
        <v>-0.64568300000000001</v>
      </c>
      <c r="BR30">
        <v>2.4176639999999998</v>
      </c>
      <c r="BS30">
        <v>2.486208</v>
      </c>
      <c r="BT30">
        <v>1.588338</v>
      </c>
      <c r="BU30">
        <v>1.0019130000000001</v>
      </c>
      <c r="BV30">
        <v>0.21581800000000001</v>
      </c>
      <c r="BW30">
        <v>3.0979E-2</v>
      </c>
      <c r="BX30">
        <v>0.30597200000000002</v>
      </c>
      <c r="BY30">
        <v>1.5939760000000001</v>
      </c>
      <c r="BZ30">
        <v>75.071808000000004</v>
      </c>
      <c r="CA30">
        <v>3.3599999999999998E-4</v>
      </c>
      <c r="CB30">
        <v>2.3486280000000002</v>
      </c>
      <c r="CC30">
        <v>-5.1E-5</v>
      </c>
      <c r="CD30">
        <v>1</v>
      </c>
      <c r="CE30">
        <v>2.4109430000000001</v>
      </c>
      <c r="CF30">
        <v>-5.7000000000000003E-5</v>
      </c>
      <c r="CG30">
        <v>1</v>
      </c>
      <c r="CH30">
        <v>0.60051900000000002</v>
      </c>
      <c r="CI30">
        <v>0.60216099999999995</v>
      </c>
      <c r="CJ30">
        <v>0.107265</v>
      </c>
      <c r="CK30">
        <v>0</v>
      </c>
      <c r="CL30" t="s">
        <v>1391</v>
      </c>
      <c r="CM30" t="s">
        <v>201</v>
      </c>
      <c r="CN30" t="s">
        <v>202</v>
      </c>
      <c r="CO30" t="s">
        <v>203</v>
      </c>
      <c r="CP30" t="s">
        <v>204</v>
      </c>
      <c r="CQ30" t="s">
        <v>205</v>
      </c>
      <c r="CR30" t="s">
        <v>206</v>
      </c>
    </row>
    <row r="31" spans="1:96">
      <c r="A31">
        <v>28</v>
      </c>
      <c r="B31" s="3">
        <v>0.47076388888888893</v>
      </c>
      <c r="C31" s="1">
        <v>45176</v>
      </c>
      <c r="D31" t="s">
        <v>196</v>
      </c>
      <c r="E31" t="s">
        <v>197</v>
      </c>
      <c r="G31">
        <v>28</v>
      </c>
      <c r="J31">
        <v>6.3062000000000007E-2</v>
      </c>
      <c r="K31">
        <v>2.917891</v>
      </c>
      <c r="L31">
        <v>6.1727999999999998E-2</v>
      </c>
      <c r="M31">
        <v>1.5660620000000001</v>
      </c>
      <c r="N31">
        <v>2.202445</v>
      </c>
      <c r="O31">
        <v>2.161216</v>
      </c>
      <c r="P31">
        <v>4.5347970000000002</v>
      </c>
      <c r="Q31">
        <v>2.3323520000000002</v>
      </c>
      <c r="R31">
        <v>22.677731999999999</v>
      </c>
      <c r="S31">
        <v>23.110347999999998</v>
      </c>
      <c r="T31">
        <v>47.583817000000003</v>
      </c>
      <c r="U31">
        <v>0.44178600000000001</v>
      </c>
      <c r="V31" t="s">
        <v>1392</v>
      </c>
      <c r="W31">
        <v>0</v>
      </c>
      <c r="X31">
        <v>0</v>
      </c>
      <c r="Y31">
        <v>0</v>
      </c>
      <c r="Z31">
        <v>68.384170999999995</v>
      </c>
      <c r="AA31">
        <v>158.02688599999999</v>
      </c>
      <c r="AB31">
        <v>0.56726200000000004</v>
      </c>
      <c r="AC31">
        <v>0.5</v>
      </c>
      <c r="AD31">
        <v>0.8</v>
      </c>
      <c r="AE31">
        <v>231.945435</v>
      </c>
      <c r="AF31">
        <v>48.87</v>
      </c>
      <c r="AG31">
        <v>47.96</v>
      </c>
      <c r="AH31">
        <v>30.98</v>
      </c>
      <c r="AI31">
        <v>31.09</v>
      </c>
      <c r="AJ31">
        <v>95.3</v>
      </c>
      <c r="AK31">
        <v>156.19999999999999</v>
      </c>
      <c r="AL31">
        <v>157.4</v>
      </c>
      <c r="AM31">
        <v>-0.8</v>
      </c>
      <c r="AN31">
        <v>1022</v>
      </c>
      <c r="AO31">
        <v>3.9940000000000002</v>
      </c>
      <c r="AP31" s="3">
        <v>0.47027777777777779</v>
      </c>
      <c r="AQ31" s="1">
        <v>45176</v>
      </c>
      <c r="AR31">
        <v>-0.46</v>
      </c>
      <c r="AS31">
        <v>1E-3</v>
      </c>
      <c r="AT31">
        <v>2E-3</v>
      </c>
      <c r="AU31">
        <v>0.01</v>
      </c>
      <c r="AV31">
        <v>0.33800000000000002</v>
      </c>
      <c r="AW31">
        <v>1.0329999999999999</v>
      </c>
      <c r="AX31">
        <v>2.6440000000000001</v>
      </c>
      <c r="AY31">
        <v>1</v>
      </c>
      <c r="AZ31">
        <v>150</v>
      </c>
      <c r="BA31">
        <v>5.0000000000000001E-3</v>
      </c>
      <c r="BB31">
        <v>2</v>
      </c>
      <c r="BC31">
        <v>0</v>
      </c>
      <c r="BD31" t="s">
        <v>200</v>
      </c>
      <c r="BE31">
        <v>7000</v>
      </c>
      <c r="BF31">
        <v>500</v>
      </c>
      <c r="BG31">
        <v>5</v>
      </c>
      <c r="BH31">
        <v>2</v>
      </c>
      <c r="BI31">
        <v>300</v>
      </c>
      <c r="BJ31">
        <v>300</v>
      </c>
      <c r="BK31">
        <v>300</v>
      </c>
      <c r="BL31">
        <v>145.95257599999999</v>
      </c>
      <c r="BM31">
        <v>25</v>
      </c>
      <c r="BN31">
        <v>-8.7567699999999995</v>
      </c>
      <c r="BO31">
        <v>145.471924</v>
      </c>
      <c r="BP31">
        <v>145.46698000000001</v>
      </c>
      <c r="BQ31">
        <v>4.9439999999999996E-3</v>
      </c>
      <c r="BR31">
        <v>2.4182090000000001</v>
      </c>
      <c r="BS31">
        <v>2.4875250000000002</v>
      </c>
      <c r="BT31">
        <v>1.5870489999999999</v>
      </c>
      <c r="BU31">
        <v>1.002119</v>
      </c>
      <c r="BV31">
        <v>0.21518599999999999</v>
      </c>
      <c r="BW31">
        <v>1.158E-3</v>
      </c>
      <c r="BX31">
        <v>0.30841800000000003</v>
      </c>
      <c r="BY31">
        <v>1.013846</v>
      </c>
      <c r="BZ31">
        <v>68.384170999999995</v>
      </c>
      <c r="CA31">
        <v>3.5E-4</v>
      </c>
      <c r="CB31">
        <v>2.3486280000000002</v>
      </c>
      <c r="CC31">
        <v>-5.1E-5</v>
      </c>
      <c r="CD31">
        <v>1</v>
      </c>
      <c r="CE31">
        <v>2.4109430000000001</v>
      </c>
      <c r="CF31">
        <v>-5.7000000000000003E-5</v>
      </c>
      <c r="CG31">
        <v>1</v>
      </c>
      <c r="CH31">
        <v>0.60051900000000002</v>
      </c>
      <c r="CI31">
        <v>0.60216099999999995</v>
      </c>
      <c r="CJ31">
        <v>0.107265</v>
      </c>
      <c r="CK31">
        <v>0</v>
      </c>
      <c r="CL31" t="s">
        <v>1392</v>
      </c>
      <c r="CM31" t="s">
        <v>201</v>
      </c>
      <c r="CN31" t="s">
        <v>202</v>
      </c>
      <c r="CO31" t="s">
        <v>203</v>
      </c>
      <c r="CP31" t="s">
        <v>204</v>
      </c>
      <c r="CQ31" t="s">
        <v>205</v>
      </c>
      <c r="CR31" t="s">
        <v>206</v>
      </c>
    </row>
    <row r="32" spans="1:96">
      <c r="A32">
        <v>29</v>
      </c>
      <c r="B32" s="3">
        <v>0.47093750000000001</v>
      </c>
      <c r="C32" s="1">
        <v>45176</v>
      </c>
      <c r="D32" t="s">
        <v>196</v>
      </c>
      <c r="E32" t="s">
        <v>197</v>
      </c>
      <c r="G32">
        <v>29</v>
      </c>
      <c r="J32">
        <v>1.9708E-2</v>
      </c>
      <c r="K32">
        <v>2.919327</v>
      </c>
      <c r="L32">
        <v>1.9574999999999999E-2</v>
      </c>
      <c r="M32">
        <v>0.66496</v>
      </c>
      <c r="N32">
        <v>2.1791179999999999</v>
      </c>
      <c r="O32">
        <v>2.161629</v>
      </c>
      <c r="P32">
        <v>5.2892380000000001</v>
      </c>
      <c r="Q32">
        <v>3.1101200000000002</v>
      </c>
      <c r="R32">
        <v>22.684443999999999</v>
      </c>
      <c r="S32">
        <v>22.867971000000001</v>
      </c>
      <c r="T32">
        <v>55.506016000000002</v>
      </c>
      <c r="U32">
        <v>0.44178600000000001</v>
      </c>
      <c r="V32" t="s">
        <v>1393</v>
      </c>
      <c r="W32">
        <v>0</v>
      </c>
      <c r="X32">
        <v>0</v>
      </c>
      <c r="Y32">
        <v>0</v>
      </c>
      <c r="Z32">
        <v>83.702445999999995</v>
      </c>
      <c r="AA32">
        <v>119.80210099999999</v>
      </c>
      <c r="AB32">
        <v>0.30132700000000001</v>
      </c>
      <c r="AC32">
        <v>0.5</v>
      </c>
      <c r="AD32">
        <v>0.8</v>
      </c>
      <c r="AE32">
        <v>25.248327</v>
      </c>
      <c r="AF32">
        <v>48.33</v>
      </c>
      <c r="AG32">
        <v>47.94</v>
      </c>
      <c r="AH32">
        <v>30.99</v>
      </c>
      <c r="AI32">
        <v>33.82</v>
      </c>
      <c r="AJ32">
        <v>95.29</v>
      </c>
      <c r="AK32">
        <v>156.4</v>
      </c>
      <c r="AL32">
        <v>157.5</v>
      </c>
      <c r="AM32">
        <v>-0.7</v>
      </c>
      <c r="AN32">
        <v>209</v>
      </c>
      <c r="AO32">
        <v>3.9929999999999999</v>
      </c>
      <c r="AP32" s="3">
        <v>0.47027777777777779</v>
      </c>
      <c r="AQ32" s="1">
        <v>45176</v>
      </c>
      <c r="AR32">
        <v>-0.46</v>
      </c>
      <c r="AS32">
        <v>1E-3</v>
      </c>
      <c r="AT32">
        <v>0</v>
      </c>
      <c r="AU32">
        <v>-9999</v>
      </c>
      <c r="AV32">
        <v>-1.0920000000000001</v>
      </c>
      <c r="AW32">
        <v>-1.966</v>
      </c>
      <c r="AX32">
        <v>-9999</v>
      </c>
      <c r="AY32">
        <v>1</v>
      </c>
      <c r="AZ32">
        <v>150</v>
      </c>
      <c r="BA32">
        <v>5.0000000000000001E-3</v>
      </c>
      <c r="BB32">
        <v>2</v>
      </c>
      <c r="BC32">
        <v>0</v>
      </c>
      <c r="BD32" t="s">
        <v>200</v>
      </c>
      <c r="BE32">
        <v>7000</v>
      </c>
      <c r="BF32">
        <v>500</v>
      </c>
      <c r="BG32">
        <v>5</v>
      </c>
      <c r="BH32">
        <v>2</v>
      </c>
      <c r="BI32">
        <v>300</v>
      </c>
      <c r="BJ32">
        <v>300</v>
      </c>
      <c r="BK32">
        <v>300</v>
      </c>
      <c r="BL32">
        <v>111.32562299999999</v>
      </c>
      <c r="BM32">
        <v>25</v>
      </c>
      <c r="BN32">
        <v>-6.1166150000000004</v>
      </c>
      <c r="BO32">
        <v>109.59684799999999</v>
      </c>
      <c r="BP32">
        <v>111.028992</v>
      </c>
      <c r="BQ32">
        <v>-1.4321440000000001</v>
      </c>
      <c r="BR32">
        <v>2.4181789999999999</v>
      </c>
      <c r="BS32">
        <v>2.4867810000000001</v>
      </c>
      <c r="BT32">
        <v>1.5884370000000001</v>
      </c>
      <c r="BU32">
        <v>1.002383</v>
      </c>
      <c r="BV32">
        <v>0.21509</v>
      </c>
      <c r="BW32">
        <v>3.6069999999999998E-2</v>
      </c>
      <c r="BX32">
        <v>0.30941000000000002</v>
      </c>
      <c r="BY32">
        <v>0.293045</v>
      </c>
      <c r="BZ32">
        <v>83.702445999999995</v>
      </c>
      <c r="CA32">
        <v>3.4000000000000002E-4</v>
      </c>
      <c r="CB32">
        <v>2.3486280000000002</v>
      </c>
      <c r="CC32">
        <v>-5.1E-5</v>
      </c>
      <c r="CD32">
        <v>1</v>
      </c>
      <c r="CE32">
        <v>2.4109430000000001</v>
      </c>
      <c r="CF32">
        <v>-5.7000000000000003E-5</v>
      </c>
      <c r="CG32">
        <v>1</v>
      </c>
      <c r="CH32">
        <v>0.60051900000000002</v>
      </c>
      <c r="CI32">
        <v>0.60216099999999995</v>
      </c>
      <c r="CJ32">
        <v>0.107265</v>
      </c>
      <c r="CK32">
        <v>0</v>
      </c>
      <c r="CL32" t="s">
        <v>1393</v>
      </c>
      <c r="CM32" t="s">
        <v>201</v>
      </c>
      <c r="CN32" t="s">
        <v>202</v>
      </c>
      <c r="CO32" t="s">
        <v>203</v>
      </c>
      <c r="CP32" t="s">
        <v>204</v>
      </c>
      <c r="CQ32" t="s">
        <v>205</v>
      </c>
      <c r="CR32" t="s">
        <v>206</v>
      </c>
    </row>
    <row r="33" spans="1:96">
      <c r="A33">
        <v>30</v>
      </c>
      <c r="B33" s="3">
        <v>0.47114583333333332</v>
      </c>
      <c r="C33" s="1">
        <v>45176</v>
      </c>
      <c r="D33" t="s">
        <v>196</v>
      </c>
      <c r="E33" t="s">
        <v>197</v>
      </c>
      <c r="G33">
        <v>30</v>
      </c>
      <c r="J33">
        <v>1.8724000000000001E-2</v>
      </c>
      <c r="K33">
        <v>2.9192640000000001</v>
      </c>
      <c r="L33">
        <v>1.8603999999999999E-2</v>
      </c>
      <c r="M33">
        <v>0.49270799999999998</v>
      </c>
      <c r="N33">
        <v>2.1652</v>
      </c>
      <c r="O33">
        <v>2.1522389999999998</v>
      </c>
      <c r="P33">
        <v>4.5993040000000001</v>
      </c>
      <c r="Q33">
        <v>2.434104</v>
      </c>
      <c r="R33">
        <v>22.585545</v>
      </c>
      <c r="S33">
        <v>22.72156</v>
      </c>
      <c r="T33">
        <v>48.264991999999999</v>
      </c>
      <c r="U33">
        <v>0.44178600000000001</v>
      </c>
      <c r="V33" t="s">
        <v>1394</v>
      </c>
      <c r="W33">
        <v>0</v>
      </c>
      <c r="X33">
        <v>0</v>
      </c>
      <c r="Y33">
        <v>0</v>
      </c>
      <c r="Z33">
        <v>85.698723000000001</v>
      </c>
      <c r="AA33">
        <v>239.78286700000001</v>
      </c>
      <c r="AB33">
        <v>0.64259900000000003</v>
      </c>
      <c r="AC33">
        <v>0.5</v>
      </c>
      <c r="AD33">
        <v>0.8</v>
      </c>
      <c r="AE33">
        <v>462.45166</v>
      </c>
      <c r="AF33">
        <v>47.98</v>
      </c>
      <c r="AG33">
        <v>47.69</v>
      </c>
      <c r="AH33">
        <v>31.01</v>
      </c>
      <c r="AI33">
        <v>31.34</v>
      </c>
      <c r="AJ33">
        <v>95.29</v>
      </c>
      <c r="AK33">
        <v>156.4</v>
      </c>
      <c r="AL33">
        <v>157.4</v>
      </c>
      <c r="AM33">
        <v>-0.6</v>
      </c>
      <c r="AN33">
        <v>1799</v>
      </c>
      <c r="AO33">
        <v>3.9830000000000001</v>
      </c>
      <c r="AP33" s="3">
        <v>0.47027777777777779</v>
      </c>
      <c r="AQ33" s="1">
        <v>45176</v>
      </c>
      <c r="AR33">
        <v>-0.46</v>
      </c>
      <c r="AS33">
        <v>-1E-3</v>
      </c>
      <c r="AT33">
        <v>-1E-3</v>
      </c>
      <c r="AU33">
        <v>0.01</v>
      </c>
      <c r="AV33">
        <v>0.69799999999999995</v>
      </c>
      <c r="AW33">
        <v>0.38</v>
      </c>
      <c r="AX33">
        <v>-5.6150000000000002</v>
      </c>
      <c r="AY33">
        <v>1</v>
      </c>
      <c r="AZ33">
        <v>150</v>
      </c>
      <c r="BA33">
        <v>5.0000000000000001E-3</v>
      </c>
      <c r="BB33">
        <v>2</v>
      </c>
      <c r="BC33">
        <v>0</v>
      </c>
      <c r="BD33" t="s">
        <v>200</v>
      </c>
      <c r="BE33">
        <v>7000</v>
      </c>
      <c r="BF33">
        <v>500</v>
      </c>
      <c r="BG33">
        <v>5</v>
      </c>
      <c r="BH33">
        <v>2</v>
      </c>
      <c r="BI33">
        <v>300</v>
      </c>
      <c r="BJ33">
        <v>300</v>
      </c>
      <c r="BK33">
        <v>300</v>
      </c>
      <c r="BL33">
        <v>228.86038199999999</v>
      </c>
      <c r="BM33">
        <v>25</v>
      </c>
      <c r="BN33">
        <v>-7.3909859999999998</v>
      </c>
      <c r="BO33">
        <v>231.23002600000001</v>
      </c>
      <c r="BP33">
        <v>229.181915</v>
      </c>
      <c r="BQ33">
        <v>2.048111</v>
      </c>
      <c r="BR33">
        <v>2.4178630000000001</v>
      </c>
      <c r="BS33">
        <v>2.4863050000000002</v>
      </c>
      <c r="BT33">
        <v>1.5883750000000001</v>
      </c>
      <c r="BU33">
        <v>1.0020210000000001</v>
      </c>
      <c r="BV33">
        <v>0.21496699999999999</v>
      </c>
      <c r="BW33">
        <v>3.9740000000000001E-3</v>
      </c>
      <c r="BX33">
        <v>0.31061499999999997</v>
      </c>
      <c r="BY33">
        <v>1.7028920000000001</v>
      </c>
      <c r="BZ33">
        <v>85.698723000000001</v>
      </c>
      <c r="CA33">
        <v>3.4400000000000001E-4</v>
      </c>
      <c r="CB33">
        <v>2.3486280000000002</v>
      </c>
      <c r="CC33">
        <v>-5.1E-5</v>
      </c>
      <c r="CD33">
        <v>1</v>
      </c>
      <c r="CE33">
        <v>2.4109430000000001</v>
      </c>
      <c r="CF33">
        <v>-5.7000000000000003E-5</v>
      </c>
      <c r="CG33">
        <v>1</v>
      </c>
      <c r="CH33">
        <v>0.60051900000000002</v>
      </c>
      <c r="CI33">
        <v>0.60216099999999995</v>
      </c>
      <c r="CJ33">
        <v>0.107265</v>
      </c>
      <c r="CK33">
        <v>0</v>
      </c>
      <c r="CL33" t="s">
        <v>1394</v>
      </c>
      <c r="CM33" t="s">
        <v>201</v>
      </c>
      <c r="CN33" t="s">
        <v>202</v>
      </c>
      <c r="CO33" t="s">
        <v>203</v>
      </c>
      <c r="CP33" t="s">
        <v>204</v>
      </c>
      <c r="CQ33" t="s">
        <v>205</v>
      </c>
      <c r="CR33" t="s">
        <v>206</v>
      </c>
    </row>
    <row r="34" spans="1:96">
      <c r="A34">
        <v>31</v>
      </c>
      <c r="B34" s="3">
        <v>0.47700231481481481</v>
      </c>
      <c r="C34" s="1">
        <v>45176</v>
      </c>
      <c r="D34" t="s">
        <v>196</v>
      </c>
      <c r="E34" t="s">
        <v>197</v>
      </c>
      <c r="G34">
        <v>31</v>
      </c>
      <c r="J34">
        <v>2.8747999999999999E-2</v>
      </c>
      <c r="K34">
        <v>2.9181949999999999</v>
      </c>
      <c r="L34">
        <v>2.8466999999999999E-2</v>
      </c>
      <c r="M34">
        <v>1.0781890000000001</v>
      </c>
      <c r="N34">
        <v>2.2319879999999999</v>
      </c>
      <c r="O34">
        <v>2.203589</v>
      </c>
      <c r="P34">
        <v>5.6950820000000002</v>
      </c>
      <c r="Q34">
        <v>3.4630939999999999</v>
      </c>
      <c r="R34">
        <v>23.098535999999999</v>
      </c>
      <c r="S34">
        <v>23.396218999999999</v>
      </c>
      <c r="T34">
        <v>59.697192999999999</v>
      </c>
      <c r="U34">
        <v>0.44178600000000001</v>
      </c>
      <c r="V34" t="s">
        <v>1395</v>
      </c>
      <c r="W34">
        <v>0</v>
      </c>
      <c r="X34">
        <v>0</v>
      </c>
      <c r="Y34">
        <v>0</v>
      </c>
      <c r="Z34">
        <v>76.809166000000005</v>
      </c>
      <c r="AA34">
        <v>123.003021</v>
      </c>
      <c r="AB34">
        <v>0.37555100000000002</v>
      </c>
      <c r="AC34">
        <v>0.5</v>
      </c>
      <c r="AD34">
        <v>0.8</v>
      </c>
      <c r="AE34">
        <v>243.31938199999999</v>
      </c>
      <c r="AF34">
        <v>46.13</v>
      </c>
      <c r="AG34">
        <v>45.55</v>
      </c>
      <c r="AH34">
        <v>32.229999999999997</v>
      </c>
      <c r="AI34">
        <v>35.15</v>
      </c>
      <c r="AJ34">
        <v>95.4</v>
      </c>
      <c r="AK34">
        <v>156.30000000000001</v>
      </c>
      <c r="AL34">
        <v>157.69999999999999</v>
      </c>
      <c r="AM34">
        <v>-0.9</v>
      </c>
      <c r="AN34">
        <v>1620</v>
      </c>
      <c r="AO34">
        <v>3.9830000000000001</v>
      </c>
      <c r="AP34" s="3">
        <v>0.47027777777777779</v>
      </c>
      <c r="AQ34" s="1">
        <v>45176</v>
      </c>
      <c r="AR34">
        <v>-0.46</v>
      </c>
      <c r="AS34">
        <v>2E-3</v>
      </c>
      <c r="AT34">
        <v>1E-3</v>
      </c>
      <c r="AU34">
        <v>0.01</v>
      </c>
      <c r="AV34">
        <v>0.88</v>
      </c>
      <c r="AW34">
        <v>1.643</v>
      </c>
      <c r="AX34">
        <v>1.3029999999999999</v>
      </c>
      <c r="AY34">
        <v>1</v>
      </c>
      <c r="AZ34">
        <v>150</v>
      </c>
      <c r="BA34">
        <v>5.0000000000000001E-3</v>
      </c>
      <c r="BB34">
        <v>2</v>
      </c>
      <c r="BC34">
        <v>0</v>
      </c>
      <c r="BD34" t="s">
        <v>200</v>
      </c>
      <c r="BE34">
        <v>7000</v>
      </c>
      <c r="BF34">
        <v>500</v>
      </c>
      <c r="BG34">
        <v>5</v>
      </c>
      <c r="BH34">
        <v>2</v>
      </c>
      <c r="BI34">
        <v>300</v>
      </c>
      <c r="BJ34">
        <v>300</v>
      </c>
      <c r="BK34">
        <v>300</v>
      </c>
      <c r="BL34">
        <v>113.204956</v>
      </c>
      <c r="BM34">
        <v>25</v>
      </c>
      <c r="BN34">
        <v>-6.7302679999999997</v>
      </c>
      <c r="BO34">
        <v>112.30909699999999</v>
      </c>
      <c r="BP34">
        <v>113.34974699999999</v>
      </c>
      <c r="BQ34">
        <v>-1.0406489999999999</v>
      </c>
      <c r="BR34">
        <v>2.4148860000000001</v>
      </c>
      <c r="BS34">
        <v>2.4835219999999998</v>
      </c>
      <c r="BT34">
        <v>1.587342</v>
      </c>
      <c r="BU34">
        <v>1.0028410000000001</v>
      </c>
      <c r="BV34">
        <v>0.20486799999999999</v>
      </c>
      <c r="BW34">
        <v>3.7647E-2</v>
      </c>
      <c r="BX34">
        <v>0.34509299999999998</v>
      </c>
      <c r="BY34">
        <v>1.54379</v>
      </c>
      <c r="BZ34">
        <v>76.809166000000005</v>
      </c>
      <c r="CA34">
        <v>3.4000000000000002E-4</v>
      </c>
      <c r="CB34">
        <v>2.3486280000000002</v>
      </c>
      <c r="CC34">
        <v>-5.1E-5</v>
      </c>
      <c r="CD34">
        <v>1</v>
      </c>
      <c r="CE34">
        <v>2.4109430000000001</v>
      </c>
      <c r="CF34">
        <v>-5.7000000000000003E-5</v>
      </c>
      <c r="CG34">
        <v>1</v>
      </c>
      <c r="CH34">
        <v>0.60051900000000002</v>
      </c>
      <c r="CI34">
        <v>0.60216099999999995</v>
      </c>
      <c r="CJ34">
        <v>0.107265</v>
      </c>
      <c r="CK34">
        <v>0</v>
      </c>
      <c r="CL34" t="s">
        <v>1395</v>
      </c>
      <c r="CM34" t="s">
        <v>201</v>
      </c>
      <c r="CN34" t="s">
        <v>202</v>
      </c>
      <c r="CO34" t="s">
        <v>203</v>
      </c>
      <c r="CP34" t="s">
        <v>204</v>
      </c>
      <c r="CQ34" t="s">
        <v>205</v>
      </c>
      <c r="CR34" t="s">
        <v>206</v>
      </c>
    </row>
    <row r="35" spans="1:96">
      <c r="A35">
        <v>32</v>
      </c>
      <c r="B35" s="3">
        <v>0.47711805555555559</v>
      </c>
      <c r="C35" s="1">
        <v>45176</v>
      </c>
      <c r="D35" t="s">
        <v>196</v>
      </c>
      <c r="E35" t="s">
        <v>197</v>
      </c>
      <c r="G35">
        <v>32</v>
      </c>
      <c r="J35">
        <v>4.7182000000000002E-2</v>
      </c>
      <c r="K35">
        <v>2.9191389999999999</v>
      </c>
      <c r="L35">
        <v>4.6432000000000001E-2</v>
      </c>
      <c r="M35">
        <v>1.570349</v>
      </c>
      <c r="N35">
        <v>2.170598</v>
      </c>
      <c r="O35">
        <v>2.1292390000000001</v>
      </c>
      <c r="P35">
        <v>5.2712349999999999</v>
      </c>
      <c r="Q35">
        <v>3.1006369999999999</v>
      </c>
      <c r="R35">
        <v>22.319189000000001</v>
      </c>
      <c r="S35">
        <v>22.75272</v>
      </c>
      <c r="T35">
        <v>55.254333000000003</v>
      </c>
      <c r="U35">
        <v>0.44178600000000001</v>
      </c>
      <c r="V35" t="s">
        <v>1396</v>
      </c>
      <c r="W35">
        <v>0</v>
      </c>
      <c r="X35">
        <v>0</v>
      </c>
      <c r="Y35">
        <v>0</v>
      </c>
      <c r="Z35">
        <v>102.51725</v>
      </c>
      <c r="AA35">
        <v>163.006348</v>
      </c>
      <c r="AB35">
        <v>0.37108400000000002</v>
      </c>
      <c r="AC35">
        <v>0.5</v>
      </c>
      <c r="AD35">
        <v>0.8</v>
      </c>
      <c r="AE35">
        <v>38.110123000000002</v>
      </c>
      <c r="AF35">
        <v>44.84</v>
      </c>
      <c r="AG35">
        <v>43.99</v>
      </c>
      <c r="AH35">
        <v>32.24</v>
      </c>
      <c r="AI35">
        <v>33.76</v>
      </c>
      <c r="AJ35">
        <v>95.4</v>
      </c>
      <c r="AK35">
        <v>156.4</v>
      </c>
      <c r="AL35">
        <v>157.5</v>
      </c>
      <c r="AM35">
        <v>-0.7</v>
      </c>
      <c r="AN35">
        <v>257</v>
      </c>
      <c r="AO35">
        <v>3.9830000000000001</v>
      </c>
      <c r="AP35" s="3">
        <v>0.47027777777777779</v>
      </c>
      <c r="AQ35" s="1">
        <v>45176</v>
      </c>
      <c r="AR35">
        <v>-0.46</v>
      </c>
      <c r="AS35">
        <v>-5.0000000000000001E-3</v>
      </c>
      <c r="AT35">
        <v>-2E-3</v>
      </c>
      <c r="AU35">
        <v>0</v>
      </c>
      <c r="AV35">
        <v>-1.825</v>
      </c>
      <c r="AW35">
        <v>-1.68</v>
      </c>
      <c r="AX35">
        <v>16.14</v>
      </c>
      <c r="AY35">
        <v>1</v>
      </c>
      <c r="AZ35">
        <v>150</v>
      </c>
      <c r="BA35">
        <v>5.0000000000000001E-3</v>
      </c>
      <c r="BB35">
        <v>2</v>
      </c>
      <c r="BC35">
        <v>0</v>
      </c>
      <c r="BD35" t="s">
        <v>200</v>
      </c>
      <c r="BE35">
        <v>7000</v>
      </c>
      <c r="BF35">
        <v>500</v>
      </c>
      <c r="BG35">
        <v>5</v>
      </c>
      <c r="BH35">
        <v>2</v>
      </c>
      <c r="BI35">
        <v>300</v>
      </c>
      <c r="BJ35">
        <v>300</v>
      </c>
      <c r="BK35">
        <v>300</v>
      </c>
      <c r="BL35">
        <v>147.889847</v>
      </c>
      <c r="BM35">
        <v>25</v>
      </c>
      <c r="BN35">
        <v>-11.280169000000001</v>
      </c>
      <c r="BO35">
        <v>143.91767899999999</v>
      </c>
      <c r="BP35">
        <v>146.82711800000001</v>
      </c>
      <c r="BQ35">
        <v>-2.9094389999999999</v>
      </c>
      <c r="BR35">
        <v>2.412909</v>
      </c>
      <c r="BS35">
        <v>2.4817670000000001</v>
      </c>
      <c r="BT35">
        <v>1.5882540000000001</v>
      </c>
      <c r="BU35">
        <v>1.002148</v>
      </c>
      <c r="BV35">
        <v>0.20480499999999999</v>
      </c>
      <c r="BW35">
        <v>1.9307000000000001E-2</v>
      </c>
      <c r="BX35">
        <v>0.34565800000000002</v>
      </c>
      <c r="BY35">
        <v>0.33496999999999999</v>
      </c>
      <c r="BZ35">
        <v>102.51725</v>
      </c>
      <c r="CA35">
        <v>3.39E-4</v>
      </c>
      <c r="CB35">
        <v>2.3486280000000002</v>
      </c>
      <c r="CC35">
        <v>-5.1E-5</v>
      </c>
      <c r="CD35">
        <v>1</v>
      </c>
      <c r="CE35">
        <v>2.4109430000000001</v>
      </c>
      <c r="CF35">
        <v>-5.7000000000000003E-5</v>
      </c>
      <c r="CG35">
        <v>1</v>
      </c>
      <c r="CH35">
        <v>0.60051900000000002</v>
      </c>
      <c r="CI35">
        <v>0.60216099999999995</v>
      </c>
      <c r="CJ35">
        <v>0.107265</v>
      </c>
      <c r="CK35">
        <v>0</v>
      </c>
      <c r="CL35" t="s">
        <v>1396</v>
      </c>
      <c r="CM35" t="s">
        <v>201</v>
      </c>
      <c r="CN35" t="s">
        <v>202</v>
      </c>
      <c r="CO35" t="s">
        <v>203</v>
      </c>
      <c r="CP35" t="s">
        <v>204</v>
      </c>
      <c r="CQ35" t="s">
        <v>205</v>
      </c>
      <c r="CR35" t="s">
        <v>206</v>
      </c>
    </row>
    <row r="36" spans="1:96">
      <c r="A36">
        <v>33</v>
      </c>
      <c r="B36" s="3">
        <v>0.47726851851851854</v>
      </c>
      <c r="C36" s="1">
        <v>45176</v>
      </c>
      <c r="D36" t="s">
        <v>196</v>
      </c>
      <c r="E36" t="s">
        <v>197</v>
      </c>
      <c r="G36">
        <v>33</v>
      </c>
      <c r="J36">
        <v>0.1178</v>
      </c>
      <c r="K36">
        <v>2.919476</v>
      </c>
      <c r="L36">
        <v>0.113231</v>
      </c>
      <c r="M36">
        <v>3.7649849999999998</v>
      </c>
      <c r="N36">
        <v>2.2244809999999999</v>
      </c>
      <c r="O36">
        <v>2.125407</v>
      </c>
      <c r="P36">
        <v>5.2718930000000004</v>
      </c>
      <c r="Q36">
        <v>3.047412</v>
      </c>
      <c r="R36">
        <v>22.279243000000001</v>
      </c>
      <c r="S36">
        <v>23.317775999999999</v>
      </c>
      <c r="T36">
        <v>55.261803</v>
      </c>
      <c r="U36">
        <v>0.44178600000000001</v>
      </c>
      <c r="V36" t="s">
        <v>1397</v>
      </c>
      <c r="W36">
        <v>0</v>
      </c>
      <c r="X36">
        <v>0</v>
      </c>
      <c r="Y36">
        <v>0</v>
      </c>
      <c r="Z36">
        <v>85.520263999999997</v>
      </c>
      <c r="AA36">
        <v>160.57882699999999</v>
      </c>
      <c r="AB36">
        <v>0.46742499999999998</v>
      </c>
      <c r="AC36">
        <v>0.5</v>
      </c>
      <c r="AD36">
        <v>0.8</v>
      </c>
      <c r="AE36">
        <v>328.331726</v>
      </c>
      <c r="AF36">
        <v>45.94</v>
      </c>
      <c r="AG36">
        <v>43.9</v>
      </c>
      <c r="AH36">
        <v>32.25</v>
      </c>
      <c r="AI36">
        <v>33.76</v>
      </c>
      <c r="AJ36">
        <v>95.4</v>
      </c>
      <c r="AK36">
        <v>156.4</v>
      </c>
      <c r="AL36">
        <v>157.6</v>
      </c>
      <c r="AM36">
        <v>-0.8</v>
      </c>
      <c r="AN36">
        <v>1756</v>
      </c>
      <c r="AO36">
        <v>3.9820000000000002</v>
      </c>
      <c r="AP36" s="3">
        <v>0.47027777777777779</v>
      </c>
      <c r="AQ36" s="1">
        <v>45176</v>
      </c>
      <c r="AR36">
        <v>-0.46</v>
      </c>
      <c r="AS36">
        <v>0</v>
      </c>
      <c r="AT36">
        <v>0</v>
      </c>
      <c r="AU36">
        <v>1.0999999999999999E-2</v>
      </c>
      <c r="AV36">
        <v>-1.2769999999999999</v>
      </c>
      <c r="AW36">
        <v>-1.5569999999999999</v>
      </c>
      <c r="AX36">
        <v>-5.4029999999999996</v>
      </c>
      <c r="AY36">
        <v>1</v>
      </c>
      <c r="AZ36">
        <v>150</v>
      </c>
      <c r="BA36">
        <v>5.0000000000000001E-3</v>
      </c>
      <c r="BB36">
        <v>2</v>
      </c>
      <c r="BC36">
        <v>0</v>
      </c>
      <c r="BD36" t="s">
        <v>200</v>
      </c>
      <c r="BE36">
        <v>7000</v>
      </c>
      <c r="BF36">
        <v>500</v>
      </c>
      <c r="BG36">
        <v>5</v>
      </c>
      <c r="BH36">
        <v>2</v>
      </c>
      <c r="BI36">
        <v>300</v>
      </c>
      <c r="BJ36">
        <v>300</v>
      </c>
      <c r="BK36">
        <v>300</v>
      </c>
      <c r="BL36">
        <v>136.24406400000001</v>
      </c>
      <c r="BM36">
        <v>25</v>
      </c>
      <c r="BN36">
        <v>-17.156029</v>
      </c>
      <c r="BO36">
        <v>143.26286300000001</v>
      </c>
      <c r="BP36">
        <v>135.971802</v>
      </c>
      <c r="BQ36">
        <v>7.291061</v>
      </c>
      <c r="BR36">
        <v>2.4127890000000001</v>
      </c>
      <c r="BS36">
        <v>2.4832610000000002</v>
      </c>
      <c r="BT36">
        <v>1.5885800000000001</v>
      </c>
      <c r="BU36">
        <v>1.0027140000000001</v>
      </c>
      <c r="BV36">
        <v>0.204761</v>
      </c>
      <c r="BW36">
        <v>1.9265000000000001E-2</v>
      </c>
      <c r="BX36">
        <v>0.34640300000000002</v>
      </c>
      <c r="BY36">
        <v>1.664685</v>
      </c>
      <c r="BZ36">
        <v>85.520263999999997</v>
      </c>
      <c r="CA36">
        <v>3.3399999999999999E-4</v>
      </c>
      <c r="CB36">
        <v>2.3486280000000002</v>
      </c>
      <c r="CC36">
        <v>-5.1E-5</v>
      </c>
      <c r="CD36">
        <v>1</v>
      </c>
      <c r="CE36">
        <v>2.4109430000000001</v>
      </c>
      <c r="CF36">
        <v>-5.7000000000000003E-5</v>
      </c>
      <c r="CG36">
        <v>1</v>
      </c>
      <c r="CH36">
        <v>0.60051900000000002</v>
      </c>
      <c r="CI36">
        <v>0.60216099999999995</v>
      </c>
      <c r="CJ36">
        <v>0.107265</v>
      </c>
      <c r="CK36">
        <v>0</v>
      </c>
      <c r="CL36" t="s">
        <v>1397</v>
      </c>
      <c r="CM36" t="s">
        <v>201</v>
      </c>
      <c r="CN36" t="s">
        <v>202</v>
      </c>
      <c r="CO36" t="s">
        <v>203</v>
      </c>
      <c r="CP36" t="s">
        <v>204</v>
      </c>
      <c r="CQ36" t="s">
        <v>205</v>
      </c>
      <c r="CR36" t="s">
        <v>206</v>
      </c>
    </row>
    <row r="37" spans="1:96">
      <c r="A37">
        <v>34</v>
      </c>
      <c r="B37" s="3">
        <v>0.47753472222222221</v>
      </c>
      <c r="C37" s="1">
        <v>45176</v>
      </c>
      <c r="D37" t="s">
        <v>196</v>
      </c>
      <c r="E37" t="s">
        <v>197</v>
      </c>
      <c r="G37">
        <v>34</v>
      </c>
      <c r="J37">
        <v>8.2975999999999994E-2</v>
      </c>
      <c r="K37">
        <v>2.9187810000000001</v>
      </c>
      <c r="L37">
        <v>8.0682000000000004E-2</v>
      </c>
      <c r="M37">
        <v>2.6705610000000002</v>
      </c>
      <c r="N37">
        <v>2.2142919999999999</v>
      </c>
      <c r="O37">
        <v>2.1439729999999999</v>
      </c>
      <c r="P37">
        <v>5.2483259999999996</v>
      </c>
      <c r="Q37">
        <v>3.0340340000000001</v>
      </c>
      <c r="R37">
        <v>22.474748999999999</v>
      </c>
      <c r="S37">
        <v>23.211880000000001</v>
      </c>
      <c r="T37">
        <v>55.016922000000001</v>
      </c>
      <c r="U37">
        <v>0.44178600000000001</v>
      </c>
      <c r="V37" t="s">
        <v>1398</v>
      </c>
      <c r="W37">
        <v>0</v>
      </c>
      <c r="X37">
        <v>0</v>
      </c>
      <c r="Y37">
        <v>0</v>
      </c>
      <c r="Z37">
        <v>152.444244</v>
      </c>
      <c r="AA37">
        <v>255.47036700000001</v>
      </c>
      <c r="AB37">
        <v>0.40328000000000003</v>
      </c>
      <c r="AC37">
        <v>0.5</v>
      </c>
      <c r="AD37">
        <v>0.8</v>
      </c>
      <c r="AE37">
        <v>283.3974</v>
      </c>
      <c r="AF37">
        <v>45.73</v>
      </c>
      <c r="AG37">
        <v>44.27</v>
      </c>
      <c r="AH37">
        <v>32.25</v>
      </c>
      <c r="AI37">
        <v>33.68</v>
      </c>
      <c r="AJ37">
        <v>95.39</v>
      </c>
      <c r="AK37">
        <v>156.30000000000001</v>
      </c>
      <c r="AL37">
        <v>157.69999999999999</v>
      </c>
      <c r="AM37">
        <v>-0.9</v>
      </c>
      <c r="AN37">
        <v>1757</v>
      </c>
      <c r="AO37">
        <v>3.9820000000000002</v>
      </c>
      <c r="AP37" s="3">
        <v>0.47744212962962962</v>
      </c>
      <c r="AQ37" s="1">
        <v>45176</v>
      </c>
      <c r="AR37">
        <v>-0.43</v>
      </c>
      <c r="AS37">
        <v>0</v>
      </c>
      <c r="AT37">
        <v>1E-3</v>
      </c>
      <c r="AU37">
        <v>1.7000000000000001E-2</v>
      </c>
      <c r="AV37">
        <v>1.9219999999999999</v>
      </c>
      <c r="AW37">
        <v>-0.78100000000000003</v>
      </c>
      <c r="AX37">
        <v>2.173</v>
      </c>
      <c r="AY37">
        <v>1</v>
      </c>
      <c r="AZ37">
        <v>150</v>
      </c>
      <c r="BA37">
        <v>5.0000000000000001E-3</v>
      </c>
      <c r="BB37">
        <v>2</v>
      </c>
      <c r="BC37">
        <v>0</v>
      </c>
      <c r="BD37" t="s">
        <v>200</v>
      </c>
      <c r="BE37">
        <v>7000</v>
      </c>
      <c r="BF37">
        <v>500</v>
      </c>
      <c r="BG37">
        <v>5</v>
      </c>
      <c r="BH37">
        <v>2</v>
      </c>
      <c r="BI37">
        <v>300</v>
      </c>
      <c r="BJ37">
        <v>300</v>
      </c>
      <c r="BK37">
        <v>300</v>
      </c>
      <c r="BL37">
        <v>235.72290000000001</v>
      </c>
      <c r="BM37">
        <v>25</v>
      </c>
      <c r="BN37">
        <v>-14.363818999999999</v>
      </c>
      <c r="BO37">
        <v>232.38301100000001</v>
      </c>
      <c r="BP37">
        <v>234.868225</v>
      </c>
      <c r="BQ37">
        <v>-2.485214</v>
      </c>
      <c r="BR37">
        <v>2.4132690000000001</v>
      </c>
      <c r="BS37">
        <v>2.4829249999999998</v>
      </c>
      <c r="BT37">
        <v>1.587909</v>
      </c>
      <c r="BU37">
        <v>1.002874</v>
      </c>
      <c r="BV37">
        <v>0.20474100000000001</v>
      </c>
      <c r="BW37">
        <v>1.8190999999999999E-2</v>
      </c>
      <c r="BX37">
        <v>0.34786</v>
      </c>
      <c r="BY37">
        <v>1.66536</v>
      </c>
      <c r="BZ37">
        <v>152.444244</v>
      </c>
      <c r="CA37">
        <v>3.3300000000000002E-4</v>
      </c>
      <c r="CB37">
        <v>2.3486280000000002</v>
      </c>
      <c r="CC37">
        <v>-5.1E-5</v>
      </c>
      <c r="CD37">
        <v>1</v>
      </c>
      <c r="CE37">
        <v>2.4109430000000001</v>
      </c>
      <c r="CF37">
        <v>-5.7000000000000003E-5</v>
      </c>
      <c r="CG37">
        <v>1</v>
      </c>
      <c r="CH37">
        <v>0.60051900000000002</v>
      </c>
      <c r="CI37">
        <v>0.60216099999999995</v>
      </c>
      <c r="CJ37">
        <v>0.107265</v>
      </c>
      <c r="CK37">
        <v>0</v>
      </c>
      <c r="CL37" t="s">
        <v>1398</v>
      </c>
      <c r="CM37" t="s">
        <v>201</v>
      </c>
      <c r="CN37" t="s">
        <v>202</v>
      </c>
      <c r="CO37" t="s">
        <v>203</v>
      </c>
      <c r="CP37" t="s">
        <v>204</v>
      </c>
      <c r="CQ37" t="s">
        <v>205</v>
      </c>
      <c r="CR37" t="s">
        <v>206</v>
      </c>
    </row>
    <row r="38" spans="1:96">
      <c r="A38">
        <v>35</v>
      </c>
      <c r="B38" s="3">
        <v>0.47770833333333335</v>
      </c>
      <c r="C38" s="1">
        <v>45176</v>
      </c>
      <c r="D38" t="s">
        <v>196</v>
      </c>
      <c r="E38" t="s">
        <v>197</v>
      </c>
      <c r="G38">
        <v>35</v>
      </c>
      <c r="J38">
        <v>4.3393000000000001E-2</v>
      </c>
      <c r="K38">
        <v>2.9182649999999999</v>
      </c>
      <c r="L38">
        <v>4.2757999999999997E-2</v>
      </c>
      <c r="M38">
        <v>1.1756629999999999</v>
      </c>
      <c r="N38">
        <v>2.1758060000000001</v>
      </c>
      <c r="O38">
        <v>2.144822</v>
      </c>
      <c r="P38">
        <v>4.7043999999999997</v>
      </c>
      <c r="Q38">
        <v>2.528594</v>
      </c>
      <c r="R38">
        <v>22.481819000000002</v>
      </c>
      <c r="S38">
        <v>22.806595000000002</v>
      </c>
      <c r="T38">
        <v>49.311076999999997</v>
      </c>
      <c r="U38">
        <v>0.44178600000000001</v>
      </c>
      <c r="V38" t="s">
        <v>1399</v>
      </c>
      <c r="W38">
        <v>0</v>
      </c>
      <c r="X38">
        <v>0</v>
      </c>
      <c r="Y38">
        <v>0</v>
      </c>
      <c r="Z38">
        <v>83.347320999999994</v>
      </c>
      <c r="AA38">
        <v>260.09835800000002</v>
      </c>
      <c r="AB38">
        <v>0.67955500000000002</v>
      </c>
      <c r="AC38">
        <v>0.5</v>
      </c>
      <c r="AD38">
        <v>0.8</v>
      </c>
      <c r="AE38">
        <v>428.88207999999997</v>
      </c>
      <c r="AF38">
        <v>44.96</v>
      </c>
      <c r="AG38">
        <v>44.32</v>
      </c>
      <c r="AH38">
        <v>32.24</v>
      </c>
      <c r="AI38">
        <v>31.74</v>
      </c>
      <c r="AJ38">
        <v>95.4</v>
      </c>
      <c r="AK38">
        <v>156.30000000000001</v>
      </c>
      <c r="AL38">
        <v>157.5</v>
      </c>
      <c r="AM38">
        <v>-0.8</v>
      </c>
      <c r="AN38">
        <v>1578</v>
      </c>
      <c r="AO38">
        <v>3.9750000000000001</v>
      </c>
      <c r="AP38" s="3">
        <v>0.47744212962962962</v>
      </c>
      <c r="AQ38" s="1">
        <v>45176</v>
      </c>
      <c r="AR38">
        <v>-0.43</v>
      </c>
      <c r="AS38">
        <v>0</v>
      </c>
      <c r="AT38">
        <v>-1E-3</v>
      </c>
      <c r="AU38">
        <v>-3.0000000000000001E-3</v>
      </c>
      <c r="AV38">
        <v>-6.0999999999999999E-2</v>
      </c>
      <c r="AW38">
        <v>-4.2309999999999999</v>
      </c>
      <c r="AX38">
        <v>-21.971</v>
      </c>
      <c r="AY38">
        <v>1</v>
      </c>
      <c r="AZ38">
        <v>150</v>
      </c>
      <c r="BA38">
        <v>5.0000000000000001E-3</v>
      </c>
      <c r="BB38">
        <v>2</v>
      </c>
      <c r="BC38">
        <v>0</v>
      </c>
      <c r="BD38" t="s">
        <v>200</v>
      </c>
      <c r="BE38">
        <v>7000</v>
      </c>
      <c r="BF38">
        <v>500</v>
      </c>
      <c r="BG38">
        <v>5</v>
      </c>
      <c r="BH38">
        <v>2</v>
      </c>
      <c r="BI38">
        <v>300</v>
      </c>
      <c r="BJ38">
        <v>300</v>
      </c>
      <c r="BK38">
        <v>300</v>
      </c>
      <c r="BL38">
        <v>238.44909699999999</v>
      </c>
      <c r="BM38">
        <v>25</v>
      </c>
      <c r="BN38">
        <v>-15.051689</v>
      </c>
      <c r="BO38">
        <v>238.64471399999999</v>
      </c>
      <c r="BP38">
        <v>238.50959800000001</v>
      </c>
      <c r="BQ38">
        <v>0.13511699999999999</v>
      </c>
      <c r="BR38">
        <v>2.4133270000000002</v>
      </c>
      <c r="BS38">
        <v>2.4818820000000001</v>
      </c>
      <c r="BT38">
        <v>1.58741</v>
      </c>
      <c r="BU38">
        <v>1.002251</v>
      </c>
      <c r="BV38">
        <v>0.20482500000000001</v>
      </c>
      <c r="BW38">
        <v>-6.6499999999999997E-3</v>
      </c>
      <c r="BX38">
        <v>0.34877599999999997</v>
      </c>
      <c r="BY38">
        <v>1.506589</v>
      </c>
      <c r="BZ38">
        <v>83.347320999999994</v>
      </c>
      <c r="CA38">
        <v>3.4299999999999999E-4</v>
      </c>
      <c r="CB38">
        <v>2.3486280000000002</v>
      </c>
      <c r="CC38">
        <v>-5.1E-5</v>
      </c>
      <c r="CD38">
        <v>1</v>
      </c>
      <c r="CE38">
        <v>2.4109430000000001</v>
      </c>
      <c r="CF38">
        <v>-5.7000000000000003E-5</v>
      </c>
      <c r="CG38">
        <v>1</v>
      </c>
      <c r="CH38">
        <v>0.60051900000000002</v>
      </c>
      <c r="CI38">
        <v>0.60216099999999995</v>
      </c>
      <c r="CJ38">
        <v>0.107265</v>
      </c>
      <c r="CK38">
        <v>0</v>
      </c>
      <c r="CL38" t="s">
        <v>1399</v>
      </c>
      <c r="CM38" t="s">
        <v>201</v>
      </c>
      <c r="CN38" t="s">
        <v>202</v>
      </c>
      <c r="CO38" t="s">
        <v>203</v>
      </c>
      <c r="CP38" t="s">
        <v>204</v>
      </c>
      <c r="CQ38" t="s">
        <v>205</v>
      </c>
      <c r="CR38" t="s">
        <v>206</v>
      </c>
    </row>
    <row r="39" spans="1:96">
      <c r="A39">
        <v>36</v>
      </c>
      <c r="B39" s="3">
        <v>0.48181712962962964</v>
      </c>
      <c r="C39" s="1">
        <v>45176</v>
      </c>
      <c r="D39" t="s">
        <v>196</v>
      </c>
      <c r="E39" t="s">
        <v>197</v>
      </c>
      <c r="G39">
        <v>36</v>
      </c>
      <c r="J39">
        <v>6.1407999999999997E-2</v>
      </c>
      <c r="K39">
        <v>2.9191280000000002</v>
      </c>
      <c r="L39">
        <v>6.0142000000000001E-2</v>
      </c>
      <c r="M39">
        <v>2.1879279999999999</v>
      </c>
      <c r="N39">
        <v>2.1775099999999998</v>
      </c>
      <c r="O39">
        <v>2.1198779999999999</v>
      </c>
      <c r="P39">
        <v>5.5089620000000004</v>
      </c>
      <c r="Q39">
        <v>3.3314520000000001</v>
      </c>
      <c r="R39">
        <v>22.216456999999998</v>
      </c>
      <c r="S39">
        <v>22.820447999999999</v>
      </c>
      <c r="T39">
        <v>57.734282999999998</v>
      </c>
      <c r="U39">
        <v>0.44178600000000001</v>
      </c>
      <c r="V39" t="s">
        <v>1400</v>
      </c>
      <c r="W39">
        <v>0</v>
      </c>
      <c r="X39">
        <v>0</v>
      </c>
      <c r="Y39">
        <v>0</v>
      </c>
      <c r="Z39">
        <v>86.413978999999998</v>
      </c>
      <c r="AA39">
        <v>160.87588500000001</v>
      </c>
      <c r="AB39">
        <v>0.46285300000000001</v>
      </c>
      <c r="AC39">
        <v>0.5</v>
      </c>
      <c r="AD39">
        <v>0.8</v>
      </c>
      <c r="AE39">
        <v>307.10076900000001</v>
      </c>
      <c r="AF39">
        <v>45.31</v>
      </c>
      <c r="AG39">
        <v>44.11</v>
      </c>
      <c r="AH39">
        <v>32.11</v>
      </c>
      <c r="AI39">
        <v>34.549999999999997</v>
      </c>
      <c r="AJ39">
        <v>95.42</v>
      </c>
      <c r="AK39">
        <v>156.4</v>
      </c>
      <c r="AL39">
        <v>157.5</v>
      </c>
      <c r="AM39">
        <v>-0.7</v>
      </c>
      <c r="AN39">
        <v>1659</v>
      </c>
      <c r="AO39">
        <v>3.9750000000000001</v>
      </c>
      <c r="AP39" s="3">
        <v>0.47744212962962962</v>
      </c>
      <c r="AQ39" s="1">
        <v>45176</v>
      </c>
      <c r="AR39">
        <v>-0.43</v>
      </c>
      <c r="AS39">
        <v>4.0000000000000001E-3</v>
      </c>
      <c r="AT39">
        <v>3.0000000000000001E-3</v>
      </c>
      <c r="AU39">
        <v>-9999</v>
      </c>
      <c r="AV39">
        <v>-0.60199999999999998</v>
      </c>
      <c r="AW39">
        <v>-0.90800000000000003</v>
      </c>
      <c r="AX39">
        <v>-9999</v>
      </c>
      <c r="AY39">
        <v>1</v>
      </c>
      <c r="AZ39">
        <v>150</v>
      </c>
      <c r="BA39">
        <v>5.0000000000000001E-3</v>
      </c>
      <c r="BB39">
        <v>2</v>
      </c>
      <c r="BC39">
        <v>0</v>
      </c>
      <c r="BD39" t="s">
        <v>200</v>
      </c>
      <c r="BE39">
        <v>7000</v>
      </c>
      <c r="BF39">
        <v>500</v>
      </c>
      <c r="BG39">
        <v>5</v>
      </c>
      <c r="BH39">
        <v>2</v>
      </c>
      <c r="BI39">
        <v>300</v>
      </c>
      <c r="BJ39">
        <v>300</v>
      </c>
      <c r="BK39">
        <v>300</v>
      </c>
      <c r="BL39">
        <v>138.83900499999999</v>
      </c>
      <c r="BM39">
        <v>25</v>
      </c>
      <c r="BN39">
        <v>-16.12875</v>
      </c>
      <c r="BO39">
        <v>133.00895700000001</v>
      </c>
      <c r="BP39">
        <v>137.74229399999999</v>
      </c>
      <c r="BQ39">
        <v>-4.7333369999999997</v>
      </c>
      <c r="BR39">
        <v>2.4130850000000001</v>
      </c>
      <c r="BS39">
        <v>2.4823840000000001</v>
      </c>
      <c r="BT39">
        <v>1.588244</v>
      </c>
      <c r="BU39">
        <v>1.002311</v>
      </c>
      <c r="BV39">
        <v>0.20581199999999999</v>
      </c>
      <c r="BW39">
        <v>3.1260999999999997E-2</v>
      </c>
      <c r="BX39">
        <v>0.37130600000000002</v>
      </c>
      <c r="BY39">
        <v>1.5783659999999999</v>
      </c>
      <c r="BZ39">
        <v>86.413978999999998</v>
      </c>
      <c r="CA39">
        <v>3.4400000000000001E-4</v>
      </c>
      <c r="CB39">
        <v>2.3486280000000002</v>
      </c>
      <c r="CC39">
        <v>-5.1E-5</v>
      </c>
      <c r="CD39">
        <v>1</v>
      </c>
      <c r="CE39">
        <v>2.4109430000000001</v>
      </c>
      <c r="CF39">
        <v>-5.7000000000000003E-5</v>
      </c>
      <c r="CG39">
        <v>1</v>
      </c>
      <c r="CH39">
        <v>0.60051900000000002</v>
      </c>
      <c r="CI39">
        <v>0.60216099999999995</v>
      </c>
      <c r="CJ39">
        <v>0.107265</v>
      </c>
      <c r="CK39">
        <v>0</v>
      </c>
      <c r="CL39" t="s">
        <v>1400</v>
      </c>
      <c r="CM39" t="s">
        <v>201</v>
      </c>
      <c r="CN39" t="s">
        <v>202</v>
      </c>
      <c r="CO39" t="s">
        <v>203</v>
      </c>
      <c r="CP39" t="s">
        <v>204</v>
      </c>
      <c r="CQ39" t="s">
        <v>205</v>
      </c>
      <c r="CR39" t="s">
        <v>206</v>
      </c>
    </row>
    <row r="40" spans="1:96">
      <c r="A40">
        <v>37</v>
      </c>
      <c r="B40" s="3">
        <v>0.48192129629629626</v>
      </c>
      <c r="C40" s="1">
        <v>45176</v>
      </c>
      <c r="D40" t="s">
        <v>196</v>
      </c>
      <c r="E40" t="s">
        <v>197</v>
      </c>
      <c r="G40">
        <v>37</v>
      </c>
      <c r="J40">
        <v>3.0780999999999999E-2</v>
      </c>
      <c r="K40">
        <v>2.9189929999999999</v>
      </c>
      <c r="L40">
        <v>3.0460000000000001E-2</v>
      </c>
      <c r="M40">
        <v>1.1383890000000001</v>
      </c>
      <c r="N40">
        <v>2.1865579999999998</v>
      </c>
      <c r="O40">
        <v>2.1565729999999999</v>
      </c>
      <c r="P40">
        <v>5.606833</v>
      </c>
      <c r="Q40">
        <v>3.4202750000000002</v>
      </c>
      <c r="R40">
        <v>22.602266</v>
      </c>
      <c r="S40">
        <v>22.916526999999999</v>
      </c>
      <c r="T40">
        <v>58.763205999999997</v>
      </c>
      <c r="U40">
        <v>0.44178600000000001</v>
      </c>
      <c r="V40" t="s">
        <v>1401</v>
      </c>
      <c r="W40">
        <v>0</v>
      </c>
      <c r="X40">
        <v>0</v>
      </c>
      <c r="Y40">
        <v>0</v>
      </c>
      <c r="Z40">
        <v>100.638626</v>
      </c>
      <c r="AA40">
        <v>153.55929599999999</v>
      </c>
      <c r="AB40">
        <v>0.34462700000000002</v>
      </c>
      <c r="AC40">
        <v>0.5</v>
      </c>
      <c r="AD40">
        <v>0.8</v>
      </c>
      <c r="AE40">
        <v>245.680588</v>
      </c>
      <c r="AF40">
        <v>45.46</v>
      </c>
      <c r="AG40">
        <v>44.84</v>
      </c>
      <c r="AH40">
        <v>32.130000000000003</v>
      </c>
      <c r="AI40">
        <v>34.869999999999997</v>
      </c>
      <c r="AJ40">
        <v>95.41</v>
      </c>
      <c r="AK40">
        <v>156.4</v>
      </c>
      <c r="AL40">
        <v>157.5</v>
      </c>
      <c r="AM40">
        <v>-0.7</v>
      </c>
      <c r="AN40">
        <v>1782</v>
      </c>
      <c r="AO40">
        <v>3.9750000000000001</v>
      </c>
      <c r="AP40" s="3">
        <v>0.47744212962962962</v>
      </c>
      <c r="AQ40" s="1">
        <v>45176</v>
      </c>
      <c r="AR40">
        <v>-0.43</v>
      </c>
      <c r="AS40">
        <v>1E-3</v>
      </c>
      <c r="AT40">
        <v>2E-3</v>
      </c>
      <c r="AU40">
        <v>-9999</v>
      </c>
      <c r="AV40">
        <v>-1.5349999999999999</v>
      </c>
      <c r="AW40">
        <v>1.274</v>
      </c>
      <c r="AX40">
        <v>-9999</v>
      </c>
      <c r="AY40">
        <v>1</v>
      </c>
      <c r="AZ40">
        <v>150</v>
      </c>
      <c r="BA40">
        <v>5.0000000000000001E-3</v>
      </c>
      <c r="BB40">
        <v>2</v>
      </c>
      <c r="BC40">
        <v>0</v>
      </c>
      <c r="BD40" t="s">
        <v>200</v>
      </c>
      <c r="BE40">
        <v>7000</v>
      </c>
      <c r="BF40">
        <v>500</v>
      </c>
      <c r="BG40">
        <v>5</v>
      </c>
      <c r="BH40">
        <v>2</v>
      </c>
      <c r="BI40">
        <v>300</v>
      </c>
      <c r="BJ40">
        <v>300</v>
      </c>
      <c r="BK40">
        <v>300</v>
      </c>
      <c r="BL40">
        <v>139.901871</v>
      </c>
      <c r="BM40">
        <v>25</v>
      </c>
      <c r="BN40">
        <v>-10.366025</v>
      </c>
      <c r="BO40">
        <v>136.17396500000001</v>
      </c>
      <c r="BP40">
        <v>138.69122300000001</v>
      </c>
      <c r="BQ40">
        <v>-2.517258</v>
      </c>
      <c r="BR40">
        <v>2.4140100000000002</v>
      </c>
      <c r="BS40">
        <v>2.4825919999999999</v>
      </c>
      <c r="BT40">
        <v>1.5881130000000001</v>
      </c>
      <c r="BU40">
        <v>1.0022180000000001</v>
      </c>
      <c r="BV40">
        <v>0.205707</v>
      </c>
      <c r="BW40">
        <v>3.5267E-2</v>
      </c>
      <c r="BX40">
        <v>0.37178600000000001</v>
      </c>
      <c r="BY40">
        <v>1.687881</v>
      </c>
      <c r="BZ40">
        <v>100.638626</v>
      </c>
      <c r="CA40">
        <v>3.3799999999999998E-4</v>
      </c>
      <c r="CB40">
        <v>2.3486280000000002</v>
      </c>
      <c r="CC40">
        <v>-5.1E-5</v>
      </c>
      <c r="CD40">
        <v>1</v>
      </c>
      <c r="CE40">
        <v>2.4109430000000001</v>
      </c>
      <c r="CF40">
        <v>-5.7000000000000003E-5</v>
      </c>
      <c r="CG40">
        <v>1</v>
      </c>
      <c r="CH40">
        <v>0.60051900000000002</v>
      </c>
      <c r="CI40">
        <v>0.60216099999999995</v>
      </c>
      <c r="CJ40">
        <v>0.107265</v>
      </c>
      <c r="CK40">
        <v>0</v>
      </c>
      <c r="CL40" t="s">
        <v>1401</v>
      </c>
      <c r="CM40" t="s">
        <v>201</v>
      </c>
      <c r="CN40" t="s">
        <v>202</v>
      </c>
      <c r="CO40" t="s">
        <v>203</v>
      </c>
      <c r="CP40" t="s">
        <v>204</v>
      </c>
      <c r="CQ40" t="s">
        <v>205</v>
      </c>
      <c r="CR40" t="s">
        <v>206</v>
      </c>
    </row>
    <row r="41" spans="1:96">
      <c r="A41">
        <v>38</v>
      </c>
      <c r="B41" s="3">
        <v>0.4820949074074074</v>
      </c>
      <c r="C41" s="1">
        <v>45176</v>
      </c>
      <c r="D41" t="s">
        <v>196</v>
      </c>
      <c r="E41" t="s">
        <v>197</v>
      </c>
      <c r="G41">
        <v>38</v>
      </c>
      <c r="J41">
        <v>6.7039000000000001E-2</v>
      </c>
      <c r="K41">
        <v>2.9201830000000002</v>
      </c>
      <c r="L41">
        <v>6.5534999999999996E-2</v>
      </c>
      <c r="M41">
        <v>2.0197790000000002</v>
      </c>
      <c r="N41">
        <v>2.163449</v>
      </c>
      <c r="O41">
        <v>2.1102829999999999</v>
      </c>
      <c r="P41">
        <v>4.9939730000000004</v>
      </c>
      <c r="Q41">
        <v>2.8305229999999999</v>
      </c>
      <c r="R41">
        <v>22.115959</v>
      </c>
      <c r="S41">
        <v>22.673151000000001</v>
      </c>
      <c r="T41">
        <v>52.337299000000002</v>
      </c>
      <c r="U41">
        <v>0.44178600000000001</v>
      </c>
      <c r="V41" t="s">
        <v>1402</v>
      </c>
      <c r="W41">
        <v>0</v>
      </c>
      <c r="X41">
        <v>0</v>
      </c>
      <c r="Y41">
        <v>0</v>
      </c>
      <c r="Z41">
        <v>79.458115000000006</v>
      </c>
      <c r="AA41">
        <v>226.037735</v>
      </c>
      <c r="AB41">
        <v>0.64847399999999999</v>
      </c>
      <c r="AC41">
        <v>0.5</v>
      </c>
      <c r="AD41">
        <v>0.8</v>
      </c>
      <c r="AE41">
        <v>373.826233</v>
      </c>
      <c r="AF41">
        <v>44.95</v>
      </c>
      <c r="AG41">
        <v>43.85</v>
      </c>
      <c r="AH41">
        <v>32.14</v>
      </c>
      <c r="AI41">
        <v>32.79</v>
      </c>
      <c r="AJ41">
        <v>95.42</v>
      </c>
      <c r="AK41">
        <v>156.5</v>
      </c>
      <c r="AL41">
        <v>157.4</v>
      </c>
      <c r="AM41">
        <v>-0.6</v>
      </c>
      <c r="AN41">
        <v>1441</v>
      </c>
      <c r="AO41">
        <v>3.9740000000000002</v>
      </c>
      <c r="AP41" s="3">
        <v>0.47744212962962962</v>
      </c>
      <c r="AQ41" s="1">
        <v>45176</v>
      </c>
      <c r="AR41">
        <v>-0.43</v>
      </c>
      <c r="AS41">
        <v>1E-3</v>
      </c>
      <c r="AT41">
        <v>2E-3</v>
      </c>
      <c r="AU41">
        <v>-9999</v>
      </c>
      <c r="AV41">
        <v>1.103</v>
      </c>
      <c r="AW41">
        <v>0.91500000000000004</v>
      </c>
      <c r="AX41">
        <v>-9999</v>
      </c>
      <c r="AY41">
        <v>1</v>
      </c>
      <c r="AZ41">
        <v>150</v>
      </c>
      <c r="BA41">
        <v>5.0000000000000001E-3</v>
      </c>
      <c r="BB41">
        <v>2</v>
      </c>
      <c r="BC41">
        <v>0</v>
      </c>
      <c r="BD41" t="s">
        <v>200</v>
      </c>
      <c r="BE41">
        <v>7000</v>
      </c>
      <c r="BF41">
        <v>500</v>
      </c>
      <c r="BG41">
        <v>5</v>
      </c>
      <c r="BH41">
        <v>2</v>
      </c>
      <c r="BI41">
        <v>300</v>
      </c>
      <c r="BJ41">
        <v>300</v>
      </c>
      <c r="BK41">
        <v>300</v>
      </c>
      <c r="BL41">
        <v>203.39262400000001</v>
      </c>
      <c r="BM41">
        <v>25</v>
      </c>
      <c r="BN41">
        <v>-16.020137999999999</v>
      </c>
      <c r="BO41">
        <v>204.748749</v>
      </c>
      <c r="BP41">
        <v>203.059921</v>
      </c>
      <c r="BQ41">
        <v>1.688828</v>
      </c>
      <c r="BR41">
        <v>2.4127459999999998</v>
      </c>
      <c r="BS41">
        <v>2.4818929999999999</v>
      </c>
      <c r="BT41">
        <v>1.5892649999999999</v>
      </c>
      <c r="BU41">
        <v>1.002059</v>
      </c>
      <c r="BV41">
        <v>0.20560999999999999</v>
      </c>
      <c r="BW41">
        <v>8.1239999999999993E-3</v>
      </c>
      <c r="BX41">
        <v>0.372643</v>
      </c>
      <c r="BY41">
        <v>1.3854150000000001</v>
      </c>
      <c r="BZ41">
        <v>79.458115000000006</v>
      </c>
      <c r="CA41">
        <v>3.5100000000000002E-4</v>
      </c>
      <c r="CB41">
        <v>2.3486280000000002</v>
      </c>
      <c r="CC41">
        <v>-5.1E-5</v>
      </c>
      <c r="CD41">
        <v>1</v>
      </c>
      <c r="CE41">
        <v>2.4109430000000001</v>
      </c>
      <c r="CF41">
        <v>-5.7000000000000003E-5</v>
      </c>
      <c r="CG41">
        <v>1</v>
      </c>
      <c r="CH41">
        <v>0.60051900000000002</v>
      </c>
      <c r="CI41">
        <v>0.60216099999999995</v>
      </c>
      <c r="CJ41">
        <v>0.107265</v>
      </c>
      <c r="CK41">
        <v>0</v>
      </c>
      <c r="CL41" t="s">
        <v>1402</v>
      </c>
      <c r="CM41" t="s">
        <v>201</v>
      </c>
      <c r="CN41" t="s">
        <v>202</v>
      </c>
      <c r="CO41" t="s">
        <v>203</v>
      </c>
      <c r="CP41" t="s">
        <v>204</v>
      </c>
      <c r="CQ41" t="s">
        <v>205</v>
      </c>
      <c r="CR41" t="s">
        <v>206</v>
      </c>
    </row>
    <row r="42" spans="1:96">
      <c r="A42">
        <v>39</v>
      </c>
      <c r="B42" s="3">
        <v>0.48222222222222227</v>
      </c>
      <c r="C42" s="1">
        <v>45176</v>
      </c>
      <c r="D42" t="s">
        <v>196</v>
      </c>
      <c r="E42" t="s">
        <v>197</v>
      </c>
      <c r="G42">
        <v>39</v>
      </c>
      <c r="J42">
        <v>5.3095000000000003E-2</v>
      </c>
      <c r="K42">
        <v>2.9190659999999999</v>
      </c>
      <c r="L42">
        <v>5.2146999999999999E-2</v>
      </c>
      <c r="M42">
        <v>1.9091100000000001</v>
      </c>
      <c r="N42">
        <v>2.1323530000000002</v>
      </c>
      <c r="O42">
        <v>2.0820400000000001</v>
      </c>
      <c r="P42">
        <v>5.4861310000000003</v>
      </c>
      <c r="Q42">
        <v>3.3537780000000001</v>
      </c>
      <c r="R42">
        <v>21.820543000000001</v>
      </c>
      <c r="S42">
        <v>22.347845</v>
      </c>
      <c r="T42">
        <v>57.496673999999999</v>
      </c>
      <c r="U42">
        <v>0.44178600000000001</v>
      </c>
      <c r="V42" t="s">
        <v>1403</v>
      </c>
      <c r="W42">
        <v>0</v>
      </c>
      <c r="X42">
        <v>0</v>
      </c>
      <c r="Y42">
        <v>0</v>
      </c>
      <c r="Z42">
        <v>97.384933000000004</v>
      </c>
      <c r="AA42">
        <v>156.68956</v>
      </c>
      <c r="AB42">
        <v>0.37848500000000002</v>
      </c>
      <c r="AC42">
        <v>0.5</v>
      </c>
      <c r="AD42">
        <v>0.8</v>
      </c>
      <c r="AE42">
        <v>258.924103</v>
      </c>
      <c r="AF42">
        <v>44.3</v>
      </c>
      <c r="AG42">
        <v>43.25</v>
      </c>
      <c r="AH42">
        <v>32.14</v>
      </c>
      <c r="AI42">
        <v>34.47</v>
      </c>
      <c r="AJ42">
        <v>95.42</v>
      </c>
      <c r="AK42">
        <v>156.4</v>
      </c>
      <c r="AL42">
        <v>157.5</v>
      </c>
      <c r="AM42">
        <v>-0.7</v>
      </c>
      <c r="AN42">
        <v>1710</v>
      </c>
      <c r="AO42">
        <v>3.9489999999999998</v>
      </c>
      <c r="AP42" s="3">
        <v>0.47744212962962962</v>
      </c>
      <c r="AQ42" s="1">
        <v>45176</v>
      </c>
      <c r="AR42">
        <v>-0.43</v>
      </c>
      <c r="AS42">
        <v>1E-3</v>
      </c>
      <c r="AT42">
        <v>4.0000000000000001E-3</v>
      </c>
      <c r="AU42">
        <v>-9999</v>
      </c>
      <c r="AV42">
        <v>-0.12</v>
      </c>
      <c r="AW42">
        <v>1.65</v>
      </c>
      <c r="AX42">
        <v>-9999</v>
      </c>
      <c r="AY42">
        <v>1</v>
      </c>
      <c r="AZ42">
        <v>150</v>
      </c>
      <c r="BA42">
        <v>5.0000000000000001E-3</v>
      </c>
      <c r="BB42">
        <v>2</v>
      </c>
      <c r="BC42">
        <v>0</v>
      </c>
      <c r="BD42" t="s">
        <v>200</v>
      </c>
      <c r="BE42">
        <v>7000</v>
      </c>
      <c r="BF42">
        <v>500</v>
      </c>
      <c r="BG42">
        <v>5</v>
      </c>
      <c r="BH42">
        <v>2</v>
      </c>
      <c r="BI42">
        <v>300</v>
      </c>
      <c r="BJ42">
        <v>300</v>
      </c>
      <c r="BK42">
        <v>300</v>
      </c>
      <c r="BL42">
        <v>141.44468699999999</v>
      </c>
      <c r="BM42">
        <v>25</v>
      </c>
      <c r="BN42">
        <v>-11.369773</v>
      </c>
      <c r="BO42">
        <v>137.52436800000001</v>
      </c>
      <c r="BP42">
        <v>140.38180500000001</v>
      </c>
      <c r="BQ42">
        <v>-2.857437</v>
      </c>
      <c r="BR42">
        <v>2.4119860000000002</v>
      </c>
      <c r="BS42">
        <v>2.480998</v>
      </c>
      <c r="BT42">
        <v>1.588184</v>
      </c>
      <c r="BU42">
        <v>1.0022009999999999</v>
      </c>
      <c r="BV42">
        <v>0.20558000000000001</v>
      </c>
      <c r="BW42">
        <v>2.9909999999999999E-2</v>
      </c>
      <c r="BX42">
        <v>0.37318299999999999</v>
      </c>
      <c r="BY42">
        <v>1.624066</v>
      </c>
      <c r="BZ42">
        <v>97.384933000000004</v>
      </c>
      <c r="CA42">
        <v>3.3500000000000001E-4</v>
      </c>
      <c r="CB42">
        <v>2.3486280000000002</v>
      </c>
      <c r="CC42">
        <v>-5.1E-5</v>
      </c>
      <c r="CD42">
        <v>1</v>
      </c>
      <c r="CE42">
        <v>2.4109430000000001</v>
      </c>
      <c r="CF42">
        <v>-5.7000000000000003E-5</v>
      </c>
      <c r="CG42">
        <v>1</v>
      </c>
      <c r="CH42">
        <v>0.60051900000000002</v>
      </c>
      <c r="CI42">
        <v>0.60216099999999995</v>
      </c>
      <c r="CJ42">
        <v>0.107265</v>
      </c>
      <c r="CK42">
        <v>0</v>
      </c>
      <c r="CL42" t="s">
        <v>1403</v>
      </c>
      <c r="CM42" t="s">
        <v>201</v>
      </c>
      <c r="CN42" t="s">
        <v>202</v>
      </c>
      <c r="CO42" t="s">
        <v>203</v>
      </c>
      <c r="CP42" t="s">
        <v>204</v>
      </c>
      <c r="CQ42" t="s">
        <v>205</v>
      </c>
      <c r="CR42" t="s">
        <v>206</v>
      </c>
    </row>
    <row r="43" spans="1:96">
      <c r="A43">
        <v>1</v>
      </c>
      <c r="B43" s="3">
        <v>0.54656249999999995</v>
      </c>
      <c r="C43" s="1">
        <v>45176</v>
      </c>
      <c r="D43" t="s">
        <v>196</v>
      </c>
      <c r="E43" t="s">
        <v>197</v>
      </c>
      <c r="G43">
        <v>1</v>
      </c>
      <c r="J43">
        <v>1.3395000000000001E-2</v>
      </c>
      <c r="K43">
        <v>2.9188109999999998</v>
      </c>
      <c r="L43">
        <v>1.3334E-2</v>
      </c>
      <c r="M43">
        <v>0.47439500000000001</v>
      </c>
      <c r="N43">
        <v>1.9326479999999999</v>
      </c>
      <c r="O43">
        <v>1.9201220000000001</v>
      </c>
      <c r="P43">
        <v>5.1989780000000003</v>
      </c>
      <c r="Q43">
        <v>3.26633</v>
      </c>
      <c r="R43">
        <v>20.132286000000001</v>
      </c>
      <c r="S43">
        <v>20.263622000000002</v>
      </c>
      <c r="T43">
        <v>54.510764999999999</v>
      </c>
      <c r="U43">
        <v>0.44178600000000001</v>
      </c>
      <c r="V43" t="s">
        <v>1404</v>
      </c>
      <c r="W43">
        <v>0</v>
      </c>
      <c r="X43">
        <v>0</v>
      </c>
      <c r="Y43">
        <v>0</v>
      </c>
      <c r="Z43">
        <v>78.459259000000003</v>
      </c>
      <c r="AA43">
        <v>176.072937</v>
      </c>
      <c r="AB43">
        <v>0.55439300000000002</v>
      </c>
      <c r="AC43">
        <v>0.5</v>
      </c>
      <c r="AD43">
        <v>0.8</v>
      </c>
      <c r="AE43">
        <v>233.70426900000001</v>
      </c>
      <c r="AF43">
        <v>39.31</v>
      </c>
      <c r="AG43">
        <v>39.06</v>
      </c>
      <c r="AH43">
        <v>32.51</v>
      </c>
      <c r="AI43">
        <v>33.51</v>
      </c>
      <c r="AJ43">
        <v>95.38</v>
      </c>
      <c r="AK43">
        <v>156.30000000000001</v>
      </c>
      <c r="AL43">
        <v>157.5</v>
      </c>
      <c r="AM43">
        <v>-0.7</v>
      </c>
      <c r="AN43">
        <v>1054</v>
      </c>
      <c r="AO43">
        <v>3.9540000000000002</v>
      </c>
      <c r="AP43" s="3">
        <v>0.54631944444444447</v>
      </c>
      <c r="AQ43" s="1">
        <v>45176</v>
      </c>
      <c r="AR43">
        <v>-0.41</v>
      </c>
      <c r="AS43">
        <v>2E-3</v>
      </c>
      <c r="AT43">
        <v>5.0000000000000001E-3</v>
      </c>
      <c r="AU43">
        <v>-9999</v>
      </c>
      <c r="AV43">
        <v>0.98699999999999999</v>
      </c>
      <c r="AW43">
        <v>1.3009999999999999</v>
      </c>
      <c r="AX43">
        <v>-9999</v>
      </c>
      <c r="AY43">
        <v>1</v>
      </c>
      <c r="AZ43">
        <v>150</v>
      </c>
      <c r="BA43">
        <v>5.0000000000000001E-3</v>
      </c>
      <c r="BB43">
        <v>2</v>
      </c>
      <c r="BC43">
        <v>0</v>
      </c>
      <c r="BD43" t="s">
        <v>200</v>
      </c>
      <c r="BE43">
        <v>7000</v>
      </c>
      <c r="BF43">
        <v>500</v>
      </c>
      <c r="BG43">
        <v>5</v>
      </c>
      <c r="BH43">
        <v>2</v>
      </c>
      <c r="BI43">
        <v>300</v>
      </c>
      <c r="BJ43">
        <v>300</v>
      </c>
      <c r="BK43">
        <v>300</v>
      </c>
      <c r="BL43">
        <v>162.60015899999999</v>
      </c>
      <c r="BM43">
        <v>25</v>
      </c>
      <c r="BN43">
        <v>-9.2228929999999991</v>
      </c>
      <c r="BO43">
        <v>163.414841</v>
      </c>
      <c r="BP43">
        <v>162.84446700000001</v>
      </c>
      <c r="BQ43">
        <v>0.57037400000000005</v>
      </c>
      <c r="BR43">
        <v>2.4065279999999998</v>
      </c>
      <c r="BS43">
        <v>2.4740359999999999</v>
      </c>
      <c r="BT43">
        <v>1.5879369999999999</v>
      </c>
      <c r="BU43">
        <v>1.0021880000000001</v>
      </c>
      <c r="BV43">
        <v>0.20260900000000001</v>
      </c>
      <c r="BW43">
        <v>1.2566000000000001E-2</v>
      </c>
      <c r="BX43">
        <v>6.2213999999999998E-2</v>
      </c>
      <c r="BY43">
        <v>1.0419240000000001</v>
      </c>
      <c r="BZ43">
        <v>78.459259000000003</v>
      </c>
      <c r="CA43">
        <v>3.4499999999999998E-4</v>
      </c>
      <c r="CB43">
        <v>2.3486280000000002</v>
      </c>
      <c r="CC43">
        <v>-5.1E-5</v>
      </c>
      <c r="CD43">
        <v>1</v>
      </c>
      <c r="CE43">
        <v>2.4109430000000001</v>
      </c>
      <c r="CF43">
        <v>-5.7000000000000003E-5</v>
      </c>
      <c r="CG43">
        <v>1</v>
      </c>
      <c r="CH43">
        <v>0.60051900000000002</v>
      </c>
      <c r="CI43">
        <v>0.60216099999999995</v>
      </c>
      <c r="CJ43">
        <v>0.107265</v>
      </c>
      <c r="CK43">
        <v>0</v>
      </c>
      <c r="CL43" t="s">
        <v>1404</v>
      </c>
      <c r="CM43" t="s">
        <v>201</v>
      </c>
      <c r="CN43" t="s">
        <v>202</v>
      </c>
      <c r="CO43" t="s">
        <v>203</v>
      </c>
      <c r="CP43" t="s">
        <v>204</v>
      </c>
      <c r="CQ43" t="s">
        <v>205</v>
      </c>
      <c r="CR43" t="s">
        <v>206</v>
      </c>
    </row>
    <row r="44" spans="1:96">
      <c r="A44">
        <v>2</v>
      </c>
      <c r="B44" s="3">
        <v>0.54667824074074078</v>
      </c>
      <c r="C44" s="1">
        <v>45176</v>
      </c>
      <c r="D44" t="s">
        <v>196</v>
      </c>
      <c r="E44" t="s">
        <v>197</v>
      </c>
      <c r="G44">
        <v>2</v>
      </c>
      <c r="J44">
        <v>2.1163999999999999E-2</v>
      </c>
      <c r="K44">
        <v>2.9187500000000002</v>
      </c>
      <c r="L44">
        <v>2.1011999999999999E-2</v>
      </c>
      <c r="M44">
        <v>0.709538</v>
      </c>
      <c r="N44">
        <v>1.9271510000000001</v>
      </c>
      <c r="O44">
        <v>1.9084129999999999</v>
      </c>
      <c r="P44">
        <v>5.0305039999999996</v>
      </c>
      <c r="Q44">
        <v>3.1033529999999998</v>
      </c>
      <c r="R44">
        <v>20.008734</v>
      </c>
      <c r="S44">
        <v>20.205189000000001</v>
      </c>
      <c r="T44">
        <v>52.742255999999998</v>
      </c>
      <c r="U44">
        <v>0.44178600000000001</v>
      </c>
      <c r="V44" t="s">
        <v>1405</v>
      </c>
      <c r="W44">
        <v>0</v>
      </c>
      <c r="X44">
        <v>0</v>
      </c>
      <c r="Y44">
        <v>0</v>
      </c>
      <c r="Z44">
        <v>81.883553000000006</v>
      </c>
      <c r="AA44">
        <v>206.00155599999999</v>
      </c>
      <c r="AB44">
        <v>0.60250999999999999</v>
      </c>
      <c r="AC44">
        <v>0.5</v>
      </c>
      <c r="AD44">
        <v>0.8</v>
      </c>
      <c r="AE44">
        <v>202.319061</v>
      </c>
      <c r="AF44">
        <v>39.19</v>
      </c>
      <c r="AG44">
        <v>38.81</v>
      </c>
      <c r="AH44">
        <v>32.520000000000003</v>
      </c>
      <c r="AI44">
        <v>32.92</v>
      </c>
      <c r="AJ44">
        <v>95.38</v>
      </c>
      <c r="AK44">
        <v>156.30000000000001</v>
      </c>
      <c r="AL44">
        <v>157.5</v>
      </c>
      <c r="AM44">
        <v>-0.8</v>
      </c>
      <c r="AN44">
        <v>839</v>
      </c>
      <c r="AO44">
        <v>3.9529999999999998</v>
      </c>
      <c r="AP44" s="3">
        <v>0.54631944444444447</v>
      </c>
      <c r="AQ44" s="1">
        <v>45176</v>
      </c>
      <c r="AR44">
        <v>-0.41</v>
      </c>
      <c r="AS44">
        <v>1E-3</v>
      </c>
      <c r="AT44">
        <v>2E-3</v>
      </c>
      <c r="AU44">
        <v>-9999</v>
      </c>
      <c r="AV44">
        <v>1.512</v>
      </c>
      <c r="AW44">
        <v>1.823</v>
      </c>
      <c r="AX44">
        <v>-9999</v>
      </c>
      <c r="AY44">
        <v>1</v>
      </c>
      <c r="AZ44">
        <v>150</v>
      </c>
      <c r="BA44">
        <v>5.0000000000000001E-3</v>
      </c>
      <c r="BB44">
        <v>2</v>
      </c>
      <c r="BC44">
        <v>0</v>
      </c>
      <c r="BD44" t="s">
        <v>200</v>
      </c>
      <c r="BE44">
        <v>7000</v>
      </c>
      <c r="BF44">
        <v>500</v>
      </c>
      <c r="BG44">
        <v>5</v>
      </c>
      <c r="BH44">
        <v>2</v>
      </c>
      <c r="BI44">
        <v>300</v>
      </c>
      <c r="BJ44">
        <v>300</v>
      </c>
      <c r="BK44">
        <v>300</v>
      </c>
      <c r="BL44">
        <v>185.95004299999999</v>
      </c>
      <c r="BM44">
        <v>25</v>
      </c>
      <c r="BN44">
        <v>-14.311323</v>
      </c>
      <c r="BO44">
        <v>183.27784700000001</v>
      </c>
      <c r="BP44">
        <v>185.474716</v>
      </c>
      <c r="BQ44">
        <v>-2.196869</v>
      </c>
      <c r="BR44">
        <v>2.406199</v>
      </c>
      <c r="BS44">
        <v>2.473859</v>
      </c>
      <c r="BT44">
        <v>1.5878779999999999</v>
      </c>
      <c r="BU44">
        <v>1.0024120000000001</v>
      </c>
      <c r="BV44">
        <v>0.20255600000000001</v>
      </c>
      <c r="BW44">
        <v>4.8929999999999998E-3</v>
      </c>
      <c r="BX44">
        <v>6.3722000000000001E-2</v>
      </c>
      <c r="BY44">
        <v>0.85178699999999996</v>
      </c>
      <c r="BZ44">
        <v>81.883553000000006</v>
      </c>
      <c r="CA44">
        <v>3.4499999999999998E-4</v>
      </c>
      <c r="CB44">
        <v>2.3486280000000002</v>
      </c>
      <c r="CC44">
        <v>-5.1E-5</v>
      </c>
      <c r="CD44">
        <v>1</v>
      </c>
      <c r="CE44">
        <v>2.4109430000000001</v>
      </c>
      <c r="CF44">
        <v>-5.7000000000000003E-5</v>
      </c>
      <c r="CG44">
        <v>1</v>
      </c>
      <c r="CH44">
        <v>0.60051900000000002</v>
      </c>
      <c r="CI44">
        <v>0.60216099999999995</v>
      </c>
      <c r="CJ44">
        <v>0.107265</v>
      </c>
      <c r="CK44">
        <v>0</v>
      </c>
      <c r="CL44" t="s">
        <v>1405</v>
      </c>
      <c r="CM44" t="s">
        <v>201</v>
      </c>
      <c r="CN44" t="s">
        <v>202</v>
      </c>
      <c r="CO44" t="s">
        <v>203</v>
      </c>
      <c r="CP44" t="s">
        <v>204</v>
      </c>
      <c r="CQ44" t="s">
        <v>205</v>
      </c>
      <c r="CR44" t="s">
        <v>206</v>
      </c>
    </row>
    <row r="45" spans="1:96">
      <c r="A45">
        <v>3</v>
      </c>
      <c r="B45" s="3">
        <v>0.54686342592592596</v>
      </c>
      <c r="C45" s="1">
        <v>45176</v>
      </c>
      <c r="D45" t="s">
        <v>196</v>
      </c>
      <c r="E45" t="s">
        <v>197</v>
      </c>
      <c r="G45">
        <v>3</v>
      </c>
      <c r="J45">
        <v>1.4798E-2</v>
      </c>
      <c r="K45">
        <v>2.9179050000000002</v>
      </c>
      <c r="L45">
        <v>1.4723E-2</v>
      </c>
      <c r="M45">
        <v>0.63133700000000004</v>
      </c>
      <c r="N45">
        <v>1.863502</v>
      </c>
      <c r="O45">
        <v>1.8468070000000001</v>
      </c>
      <c r="P45">
        <v>5.7891029999999999</v>
      </c>
      <c r="Q45">
        <v>3.9256009999999999</v>
      </c>
      <c r="R45">
        <v>19.363845999999999</v>
      </c>
      <c r="S45">
        <v>19.538885000000001</v>
      </c>
      <c r="T45">
        <v>60.698962999999999</v>
      </c>
      <c r="U45">
        <v>0.44178600000000001</v>
      </c>
      <c r="V45" t="s">
        <v>1406</v>
      </c>
      <c r="W45">
        <v>0</v>
      </c>
      <c r="X45">
        <v>0</v>
      </c>
      <c r="Y45">
        <v>0</v>
      </c>
      <c r="Z45">
        <v>142.830139</v>
      </c>
      <c r="AA45">
        <v>176.92709400000001</v>
      </c>
      <c r="AB45">
        <v>0.192718</v>
      </c>
      <c r="AC45">
        <v>0.5</v>
      </c>
      <c r="AD45">
        <v>0.8</v>
      </c>
      <c r="AE45">
        <v>129.838562</v>
      </c>
      <c r="AF45">
        <v>37.880000000000003</v>
      </c>
      <c r="AG45">
        <v>37.54</v>
      </c>
      <c r="AH45">
        <v>32.53</v>
      </c>
      <c r="AI45">
        <v>35.450000000000003</v>
      </c>
      <c r="AJ45">
        <v>95.37</v>
      </c>
      <c r="AK45">
        <v>156.19999999999999</v>
      </c>
      <c r="AL45">
        <v>157.5</v>
      </c>
      <c r="AM45">
        <v>-0.8</v>
      </c>
      <c r="AN45">
        <v>1684</v>
      </c>
      <c r="AO45">
        <v>3.9140000000000001</v>
      </c>
      <c r="AP45" s="3">
        <v>0.54631944444444447</v>
      </c>
      <c r="AQ45" s="1">
        <v>45176</v>
      </c>
      <c r="AR45">
        <v>-0.41</v>
      </c>
      <c r="AS45">
        <v>-1E-3</v>
      </c>
      <c r="AT45">
        <v>-3.0000000000000001E-3</v>
      </c>
      <c r="AU45">
        <v>-3.0000000000000001E-3</v>
      </c>
      <c r="AV45">
        <v>-2.2090000000000001</v>
      </c>
      <c r="AW45">
        <v>-3.6920000000000002</v>
      </c>
      <c r="AX45">
        <v>-10.242000000000001</v>
      </c>
      <c r="AY45">
        <v>1</v>
      </c>
      <c r="AZ45">
        <v>150</v>
      </c>
      <c r="BA45">
        <v>5.0000000000000001E-3</v>
      </c>
      <c r="BB45">
        <v>2</v>
      </c>
      <c r="BC45">
        <v>0</v>
      </c>
      <c r="BD45" t="s">
        <v>200</v>
      </c>
      <c r="BE45">
        <v>7000</v>
      </c>
      <c r="BF45">
        <v>500</v>
      </c>
      <c r="BG45">
        <v>5</v>
      </c>
      <c r="BH45">
        <v>2</v>
      </c>
      <c r="BI45">
        <v>300</v>
      </c>
      <c r="BJ45">
        <v>300</v>
      </c>
      <c r="BK45">
        <v>300</v>
      </c>
      <c r="BL45">
        <v>176.92709400000001</v>
      </c>
      <c r="BM45">
        <v>25</v>
      </c>
      <c r="BN45">
        <v>0.31497199999999997</v>
      </c>
      <c r="BO45">
        <v>180.903198</v>
      </c>
      <c r="BP45">
        <v>177.37886</v>
      </c>
      <c r="BQ45">
        <v>3.5243380000000002</v>
      </c>
      <c r="BR45">
        <v>2.40455</v>
      </c>
      <c r="BS45">
        <v>2.472032</v>
      </c>
      <c r="BT45">
        <v>1.5870629999999999</v>
      </c>
      <c r="BU45">
        <v>1.0023820000000001</v>
      </c>
      <c r="BV45">
        <v>0.20249700000000001</v>
      </c>
      <c r="BW45">
        <v>3.7734999999999998E-2</v>
      </c>
      <c r="BX45">
        <v>6.6099000000000005E-2</v>
      </c>
      <c r="BY45">
        <v>1.6010470000000001</v>
      </c>
      <c r="BZ45">
        <v>142.830139</v>
      </c>
      <c r="CA45">
        <v>3.48E-4</v>
      </c>
      <c r="CB45">
        <v>2.3486280000000002</v>
      </c>
      <c r="CC45">
        <v>-5.1E-5</v>
      </c>
      <c r="CD45">
        <v>1</v>
      </c>
      <c r="CE45">
        <v>2.4109430000000001</v>
      </c>
      <c r="CF45">
        <v>-5.7000000000000003E-5</v>
      </c>
      <c r="CG45">
        <v>1</v>
      </c>
      <c r="CH45">
        <v>0.60051900000000002</v>
      </c>
      <c r="CI45">
        <v>0.60216099999999995</v>
      </c>
      <c r="CJ45">
        <v>0.107265</v>
      </c>
      <c r="CK45">
        <v>0</v>
      </c>
      <c r="CL45" t="s">
        <v>1406</v>
      </c>
      <c r="CM45" t="s">
        <v>201</v>
      </c>
      <c r="CN45" t="s">
        <v>202</v>
      </c>
      <c r="CO45" t="s">
        <v>203</v>
      </c>
      <c r="CP45" t="s">
        <v>204</v>
      </c>
      <c r="CQ45" t="s">
        <v>205</v>
      </c>
      <c r="CR45" t="s">
        <v>206</v>
      </c>
    </row>
    <row r="46" spans="1:96">
      <c r="A46">
        <v>4</v>
      </c>
      <c r="B46" s="3">
        <v>0.5470949074074074</v>
      </c>
      <c r="C46" s="1">
        <v>45176</v>
      </c>
      <c r="D46" t="s">
        <v>196</v>
      </c>
      <c r="E46" t="s">
        <v>197</v>
      </c>
      <c r="G46">
        <v>4</v>
      </c>
      <c r="J46">
        <v>5.2742999999999998E-2</v>
      </c>
      <c r="K46">
        <v>2.9183159999999999</v>
      </c>
      <c r="L46">
        <v>5.1805999999999998E-2</v>
      </c>
      <c r="M46">
        <v>2.0663749999999999</v>
      </c>
      <c r="N46">
        <v>1.935198</v>
      </c>
      <c r="O46">
        <v>1.8806149999999999</v>
      </c>
      <c r="P46">
        <v>5.5894219999999999</v>
      </c>
      <c r="Q46">
        <v>3.6542240000000001</v>
      </c>
      <c r="R46">
        <v>19.717548000000001</v>
      </c>
      <c r="S46">
        <v>20.289826999999999</v>
      </c>
      <c r="T46">
        <v>58.603000999999999</v>
      </c>
      <c r="U46">
        <v>0.44178600000000001</v>
      </c>
      <c r="V46" t="s">
        <v>1407</v>
      </c>
      <c r="W46">
        <v>0</v>
      </c>
      <c r="X46">
        <v>0</v>
      </c>
      <c r="Y46">
        <v>0</v>
      </c>
      <c r="Z46">
        <v>102.00440999999999</v>
      </c>
      <c r="AA46">
        <v>188.307266</v>
      </c>
      <c r="AB46">
        <v>0.45830900000000002</v>
      </c>
      <c r="AC46">
        <v>0.5</v>
      </c>
      <c r="AD46">
        <v>0.8</v>
      </c>
      <c r="AE46">
        <v>36.482039999999998</v>
      </c>
      <c r="AF46">
        <v>39.340000000000003</v>
      </c>
      <c r="AG46">
        <v>38.229999999999997</v>
      </c>
      <c r="AH46">
        <v>32.53</v>
      </c>
      <c r="AI46">
        <v>34.81</v>
      </c>
      <c r="AJ46">
        <v>95.38</v>
      </c>
      <c r="AK46">
        <v>156.30000000000001</v>
      </c>
      <c r="AL46">
        <v>147.19999999999999</v>
      </c>
      <c r="AM46">
        <v>5.8</v>
      </c>
      <c r="AN46">
        <v>199</v>
      </c>
      <c r="AO46">
        <v>3.9449999999999998</v>
      </c>
      <c r="AP46" s="3">
        <v>0.54631944444444447</v>
      </c>
      <c r="AQ46" s="1">
        <v>45176</v>
      </c>
      <c r="AR46">
        <v>-0.41</v>
      </c>
      <c r="AS46">
        <v>0</v>
      </c>
      <c r="AT46">
        <v>1E-3</v>
      </c>
      <c r="AU46">
        <v>2E-3</v>
      </c>
      <c r="AV46">
        <v>8.8800000000000008</v>
      </c>
      <c r="AW46">
        <v>1.958</v>
      </c>
      <c r="AX46">
        <v>-19.593</v>
      </c>
      <c r="AY46">
        <v>1</v>
      </c>
      <c r="AZ46">
        <v>150</v>
      </c>
      <c r="BA46">
        <v>5.0000000000000001E-3</v>
      </c>
      <c r="BB46">
        <v>2</v>
      </c>
      <c r="BC46">
        <v>0</v>
      </c>
      <c r="BD46" t="s">
        <v>200</v>
      </c>
      <c r="BE46">
        <v>7000</v>
      </c>
      <c r="BF46">
        <v>500</v>
      </c>
      <c r="BG46">
        <v>5</v>
      </c>
      <c r="BH46">
        <v>2</v>
      </c>
      <c r="BI46">
        <v>300</v>
      </c>
      <c r="BJ46">
        <v>300</v>
      </c>
      <c r="BK46">
        <v>300</v>
      </c>
      <c r="BL46">
        <v>184.55029300000001</v>
      </c>
      <c r="BM46">
        <v>25</v>
      </c>
      <c r="BN46">
        <v>-2.467282</v>
      </c>
      <c r="BO46">
        <v>185.65249600000001</v>
      </c>
      <c r="BP46">
        <v>184.768417</v>
      </c>
      <c r="BQ46">
        <v>0.88407899999999995</v>
      </c>
      <c r="BR46">
        <v>2.4054540000000002</v>
      </c>
      <c r="BS46">
        <v>2.4740730000000002</v>
      </c>
      <c r="BT46">
        <v>1.587459</v>
      </c>
      <c r="BU46">
        <v>0.97004100000000004</v>
      </c>
      <c r="BV46">
        <v>0.20252500000000001</v>
      </c>
      <c r="BW46">
        <v>2.9402999999999999E-2</v>
      </c>
      <c r="BX46">
        <v>6.8958000000000005E-2</v>
      </c>
      <c r="BY46">
        <v>0.28375699999999998</v>
      </c>
      <c r="BZ46">
        <v>102.00440999999999</v>
      </c>
      <c r="CA46">
        <v>3.4699999999999998E-4</v>
      </c>
      <c r="CB46">
        <v>2.3486280000000002</v>
      </c>
      <c r="CC46">
        <v>-5.1E-5</v>
      </c>
      <c r="CD46">
        <v>1</v>
      </c>
      <c r="CE46">
        <v>2.4109430000000001</v>
      </c>
      <c r="CF46">
        <v>-5.7000000000000003E-5</v>
      </c>
      <c r="CG46">
        <v>1</v>
      </c>
      <c r="CH46">
        <v>0.60051900000000002</v>
      </c>
      <c r="CI46">
        <v>0.60216099999999995</v>
      </c>
      <c r="CJ46">
        <v>0.107265</v>
      </c>
      <c r="CK46">
        <v>0</v>
      </c>
      <c r="CL46" t="s">
        <v>1407</v>
      </c>
      <c r="CM46" t="s">
        <v>201</v>
      </c>
      <c r="CN46" t="s">
        <v>202</v>
      </c>
      <c r="CO46" t="s">
        <v>203</v>
      </c>
      <c r="CP46" t="s">
        <v>204</v>
      </c>
      <c r="CQ46" t="s">
        <v>205</v>
      </c>
      <c r="CR46" t="s">
        <v>206</v>
      </c>
    </row>
    <row r="47" spans="1:96">
      <c r="A47">
        <v>5</v>
      </c>
      <c r="B47" s="3">
        <v>0.55010416666666673</v>
      </c>
      <c r="C47" s="1">
        <v>45176</v>
      </c>
      <c r="D47" t="s">
        <v>196</v>
      </c>
      <c r="E47" t="s">
        <v>197</v>
      </c>
      <c r="G47">
        <v>5</v>
      </c>
      <c r="J47">
        <v>3.3189999999999999E-3</v>
      </c>
      <c r="K47">
        <v>2.9195739999999999</v>
      </c>
      <c r="L47">
        <v>3.3149999999999998E-3</v>
      </c>
      <c r="M47">
        <v>0.15201300000000001</v>
      </c>
      <c r="N47">
        <v>1.9584509999999999</v>
      </c>
      <c r="O47">
        <v>1.9544410000000001</v>
      </c>
      <c r="P47">
        <v>6.1456080000000002</v>
      </c>
      <c r="Q47">
        <v>4.1871580000000002</v>
      </c>
      <c r="R47">
        <v>20.494267000000001</v>
      </c>
      <c r="S47">
        <v>20.536314000000001</v>
      </c>
      <c r="T47">
        <v>64.442847999999998</v>
      </c>
      <c r="U47">
        <v>0.44178600000000001</v>
      </c>
      <c r="V47" t="s">
        <v>1408</v>
      </c>
      <c r="W47">
        <v>0</v>
      </c>
      <c r="X47">
        <v>0</v>
      </c>
      <c r="Y47">
        <v>0</v>
      </c>
      <c r="Z47">
        <v>87.539794999999998</v>
      </c>
      <c r="AA47">
        <v>119.988716</v>
      </c>
      <c r="AB47">
        <v>0.27043299999999998</v>
      </c>
      <c r="AC47">
        <v>0.5</v>
      </c>
      <c r="AD47">
        <v>0.8</v>
      </c>
      <c r="AE47">
        <v>170.69639599999999</v>
      </c>
      <c r="AF47">
        <v>39.46</v>
      </c>
      <c r="AG47">
        <v>39.380000000000003</v>
      </c>
      <c r="AH47">
        <v>32.68</v>
      </c>
      <c r="AI47">
        <v>36.53</v>
      </c>
      <c r="AJ47">
        <v>95.37</v>
      </c>
      <c r="AK47">
        <v>156.4</v>
      </c>
      <c r="AL47">
        <v>157.4</v>
      </c>
      <c r="AM47">
        <v>-0.6</v>
      </c>
      <c r="AN47">
        <v>1578</v>
      </c>
      <c r="AO47">
        <v>3.944</v>
      </c>
      <c r="AP47" s="3">
        <v>0.54631944444444447</v>
      </c>
      <c r="AQ47" s="1">
        <v>45176</v>
      </c>
      <c r="AR47">
        <v>-0.41</v>
      </c>
      <c r="AS47">
        <v>0</v>
      </c>
      <c r="AT47">
        <v>1E-3</v>
      </c>
      <c r="AU47">
        <v>-9999</v>
      </c>
      <c r="AV47">
        <v>0.157</v>
      </c>
      <c r="AW47">
        <v>0.36</v>
      </c>
      <c r="AX47">
        <v>-9999</v>
      </c>
      <c r="AY47">
        <v>1</v>
      </c>
      <c r="AZ47">
        <v>150</v>
      </c>
      <c r="BA47">
        <v>5.0000000000000001E-3</v>
      </c>
      <c r="BB47">
        <v>2</v>
      </c>
      <c r="BC47">
        <v>0</v>
      </c>
      <c r="BD47" t="s">
        <v>200</v>
      </c>
      <c r="BE47">
        <v>7000</v>
      </c>
      <c r="BF47">
        <v>500</v>
      </c>
      <c r="BG47">
        <v>5</v>
      </c>
      <c r="BH47">
        <v>2</v>
      </c>
      <c r="BI47">
        <v>300</v>
      </c>
      <c r="BJ47">
        <v>300</v>
      </c>
      <c r="BK47">
        <v>300</v>
      </c>
      <c r="BL47">
        <v>116.265175</v>
      </c>
      <c r="BM47">
        <v>25</v>
      </c>
      <c r="BN47">
        <v>-2.4392239999999998</v>
      </c>
      <c r="BO47">
        <v>117.050529</v>
      </c>
      <c r="BP47">
        <v>116.49012</v>
      </c>
      <c r="BQ47">
        <v>0.56040999999999996</v>
      </c>
      <c r="BR47">
        <v>2.4069129999999999</v>
      </c>
      <c r="BS47">
        <v>2.4742090000000001</v>
      </c>
      <c r="BT47">
        <v>1.5886750000000001</v>
      </c>
      <c r="BU47">
        <v>1.002092</v>
      </c>
      <c r="BV47">
        <v>0.20128199999999999</v>
      </c>
      <c r="BW47">
        <v>5.0242000000000002E-2</v>
      </c>
      <c r="BX47">
        <v>0.10513</v>
      </c>
      <c r="BY47">
        <v>1.506753</v>
      </c>
      <c r="BZ47">
        <v>87.539794999999998</v>
      </c>
      <c r="CA47">
        <v>3.4499999999999998E-4</v>
      </c>
      <c r="CB47">
        <v>2.3486280000000002</v>
      </c>
      <c r="CC47">
        <v>-5.1E-5</v>
      </c>
      <c r="CD47">
        <v>1</v>
      </c>
      <c r="CE47">
        <v>2.4109430000000001</v>
      </c>
      <c r="CF47">
        <v>-5.7000000000000003E-5</v>
      </c>
      <c r="CG47">
        <v>1</v>
      </c>
      <c r="CH47">
        <v>0.60051900000000002</v>
      </c>
      <c r="CI47">
        <v>0.60216099999999995</v>
      </c>
      <c r="CJ47">
        <v>0.107265</v>
      </c>
      <c r="CK47">
        <v>0</v>
      </c>
      <c r="CL47" t="s">
        <v>1408</v>
      </c>
      <c r="CM47" t="s">
        <v>201</v>
      </c>
      <c r="CN47" t="s">
        <v>202</v>
      </c>
      <c r="CO47" t="s">
        <v>203</v>
      </c>
      <c r="CP47" t="s">
        <v>204</v>
      </c>
      <c r="CQ47" t="s">
        <v>205</v>
      </c>
      <c r="CR47" t="s">
        <v>206</v>
      </c>
    </row>
    <row r="48" spans="1:96">
      <c r="A48">
        <v>6</v>
      </c>
      <c r="B48" s="3">
        <v>0.55026620370370372</v>
      </c>
      <c r="C48" s="1">
        <v>45176</v>
      </c>
      <c r="D48" t="s">
        <v>196</v>
      </c>
      <c r="E48" t="s">
        <v>197</v>
      </c>
      <c r="G48">
        <v>6</v>
      </c>
      <c r="J48">
        <v>4.9016999999999998E-2</v>
      </c>
      <c r="K48">
        <v>2.9198930000000001</v>
      </c>
      <c r="L48">
        <v>4.8208000000000001E-2</v>
      </c>
      <c r="M48">
        <v>1.677381</v>
      </c>
      <c r="N48">
        <v>1.9484760000000001</v>
      </c>
      <c r="O48">
        <v>1.9042349999999999</v>
      </c>
      <c r="P48">
        <v>5.143408</v>
      </c>
      <c r="Q48">
        <v>3.1949320000000001</v>
      </c>
      <c r="R48">
        <v>19.967230000000001</v>
      </c>
      <c r="S48">
        <v>20.431132999999999</v>
      </c>
      <c r="T48">
        <v>53.932220000000001</v>
      </c>
      <c r="U48">
        <v>0.44178600000000001</v>
      </c>
      <c r="V48" t="s">
        <v>1409</v>
      </c>
      <c r="W48">
        <v>0</v>
      </c>
      <c r="X48">
        <v>0</v>
      </c>
      <c r="Y48">
        <v>0</v>
      </c>
      <c r="Z48">
        <v>94.752433999999994</v>
      </c>
      <c r="AA48">
        <v>232.58926400000001</v>
      </c>
      <c r="AB48">
        <v>0.59261900000000001</v>
      </c>
      <c r="AC48">
        <v>0.5</v>
      </c>
      <c r="AD48">
        <v>0.8</v>
      </c>
      <c r="AE48">
        <v>119.574341</v>
      </c>
      <c r="AF48">
        <v>39.200000000000003</v>
      </c>
      <c r="AG48">
        <v>38.31</v>
      </c>
      <c r="AH48">
        <v>32.71</v>
      </c>
      <c r="AI48">
        <v>33.32</v>
      </c>
      <c r="AJ48">
        <v>95.37</v>
      </c>
      <c r="AK48">
        <v>156.5</v>
      </c>
      <c r="AL48">
        <v>157.6</v>
      </c>
      <c r="AM48">
        <v>-0.7</v>
      </c>
      <c r="AN48">
        <v>504</v>
      </c>
      <c r="AO48">
        <v>3.9430000000000001</v>
      </c>
      <c r="AP48" s="3">
        <v>0.54631944444444447</v>
      </c>
      <c r="AQ48" s="1">
        <v>45176</v>
      </c>
      <c r="AR48">
        <v>-0.41</v>
      </c>
      <c r="AS48">
        <v>0</v>
      </c>
      <c r="AT48">
        <v>0</v>
      </c>
      <c r="AU48">
        <v>2E-3</v>
      </c>
      <c r="AV48">
        <v>1.96</v>
      </c>
      <c r="AW48">
        <v>2.6850000000000001</v>
      </c>
      <c r="AX48">
        <v>0.22900000000000001</v>
      </c>
      <c r="AY48">
        <v>1</v>
      </c>
      <c r="AZ48">
        <v>150</v>
      </c>
      <c r="BA48">
        <v>5.0000000000000001E-3</v>
      </c>
      <c r="BB48">
        <v>2</v>
      </c>
      <c r="BC48">
        <v>0</v>
      </c>
      <c r="BD48" t="s">
        <v>200</v>
      </c>
      <c r="BE48">
        <v>7000</v>
      </c>
      <c r="BF48">
        <v>500</v>
      </c>
      <c r="BG48">
        <v>5</v>
      </c>
      <c r="BH48">
        <v>2</v>
      </c>
      <c r="BI48">
        <v>300</v>
      </c>
      <c r="BJ48">
        <v>300</v>
      </c>
      <c r="BK48">
        <v>300</v>
      </c>
      <c r="BL48">
        <v>216.28976399999999</v>
      </c>
      <c r="BM48">
        <v>25</v>
      </c>
      <c r="BN48">
        <v>-11.24306</v>
      </c>
      <c r="BO48">
        <v>215.776917</v>
      </c>
      <c r="BP48">
        <v>216.463257</v>
      </c>
      <c r="BQ48">
        <v>-0.68633999999999995</v>
      </c>
      <c r="BR48">
        <v>2.4055149999999998</v>
      </c>
      <c r="BS48">
        <v>2.4738329999999999</v>
      </c>
      <c r="BT48">
        <v>1.588984</v>
      </c>
      <c r="BU48">
        <v>1.002518</v>
      </c>
      <c r="BV48">
        <v>0.201048</v>
      </c>
      <c r="BW48">
        <v>7.5399999999999998E-3</v>
      </c>
      <c r="BX48">
        <v>0.106892</v>
      </c>
      <c r="BY48">
        <v>0.55463499999999999</v>
      </c>
      <c r="BZ48">
        <v>94.752433999999994</v>
      </c>
      <c r="CA48">
        <v>3.5399999999999999E-4</v>
      </c>
      <c r="CB48">
        <v>2.3486280000000002</v>
      </c>
      <c r="CC48">
        <v>-5.1E-5</v>
      </c>
      <c r="CD48">
        <v>1</v>
      </c>
      <c r="CE48">
        <v>2.4109430000000001</v>
      </c>
      <c r="CF48">
        <v>-5.7000000000000003E-5</v>
      </c>
      <c r="CG48">
        <v>1</v>
      </c>
      <c r="CH48">
        <v>0.60051900000000002</v>
      </c>
      <c r="CI48">
        <v>0.60216099999999995</v>
      </c>
      <c r="CJ48">
        <v>0.107265</v>
      </c>
      <c r="CK48">
        <v>0</v>
      </c>
      <c r="CL48" t="s">
        <v>1409</v>
      </c>
      <c r="CM48" t="s">
        <v>201</v>
      </c>
      <c r="CN48" t="s">
        <v>202</v>
      </c>
      <c r="CO48" t="s">
        <v>203</v>
      </c>
      <c r="CP48" t="s">
        <v>204</v>
      </c>
      <c r="CQ48" t="s">
        <v>205</v>
      </c>
      <c r="CR48" t="s">
        <v>206</v>
      </c>
    </row>
    <row r="49" spans="1:96">
      <c r="A49">
        <v>7</v>
      </c>
      <c r="B49" s="3">
        <v>0.55041666666666667</v>
      </c>
      <c r="C49" s="1">
        <v>45176</v>
      </c>
      <c r="D49" t="s">
        <v>196</v>
      </c>
      <c r="E49" t="s">
        <v>197</v>
      </c>
      <c r="G49">
        <v>7</v>
      </c>
      <c r="J49">
        <v>4.9967999999999999E-2</v>
      </c>
      <c r="K49">
        <v>2.9199639999999998</v>
      </c>
      <c r="L49">
        <v>4.9126999999999997E-2</v>
      </c>
      <c r="M49">
        <v>1.676139</v>
      </c>
      <c r="N49">
        <v>2.021477</v>
      </c>
      <c r="O49">
        <v>1.977306</v>
      </c>
      <c r="P49">
        <v>5.1528369999999999</v>
      </c>
      <c r="Q49">
        <v>3.1313599999999999</v>
      </c>
      <c r="R49">
        <v>20.733809000000001</v>
      </c>
      <c r="S49">
        <v>21.19698</v>
      </c>
      <c r="T49">
        <v>54.032082000000003</v>
      </c>
      <c r="U49">
        <v>0.44178600000000001</v>
      </c>
      <c r="V49" t="s">
        <v>1410</v>
      </c>
      <c r="W49">
        <v>0</v>
      </c>
      <c r="X49">
        <v>0</v>
      </c>
      <c r="Y49">
        <v>0</v>
      </c>
      <c r="Z49">
        <v>89.476707000000005</v>
      </c>
      <c r="AA49">
        <v>263.88159200000001</v>
      </c>
      <c r="AB49">
        <v>0.66092099999999998</v>
      </c>
      <c r="AC49">
        <v>0.5</v>
      </c>
      <c r="AD49">
        <v>0.8</v>
      </c>
      <c r="AE49">
        <v>445.04263300000002</v>
      </c>
      <c r="AF49">
        <v>40.61</v>
      </c>
      <c r="AG49">
        <v>39.729999999999997</v>
      </c>
      <c r="AH49">
        <v>32.729999999999997</v>
      </c>
      <c r="AI49">
        <v>33.35</v>
      </c>
      <c r="AJ49">
        <v>95.37</v>
      </c>
      <c r="AK49">
        <v>156.5</v>
      </c>
      <c r="AL49">
        <v>157.80000000000001</v>
      </c>
      <c r="AM49">
        <v>-0.9</v>
      </c>
      <c r="AN49">
        <v>1683</v>
      </c>
      <c r="AO49">
        <v>3.944</v>
      </c>
      <c r="AP49" s="3">
        <v>0.54631944444444447</v>
      </c>
      <c r="AQ49" s="1">
        <v>45176</v>
      </c>
      <c r="AR49">
        <v>-0.41</v>
      </c>
      <c r="AS49">
        <v>0</v>
      </c>
      <c r="AT49">
        <v>2E-3</v>
      </c>
      <c r="AU49">
        <v>7.0000000000000001E-3</v>
      </c>
      <c r="AV49">
        <v>-5.2389999999999999</v>
      </c>
      <c r="AW49">
        <v>0.876</v>
      </c>
      <c r="AX49">
        <v>-18.350000000000001</v>
      </c>
      <c r="AY49">
        <v>1</v>
      </c>
      <c r="AZ49">
        <v>150</v>
      </c>
      <c r="BA49">
        <v>5.0000000000000001E-3</v>
      </c>
      <c r="BB49">
        <v>2</v>
      </c>
      <c r="BC49">
        <v>0</v>
      </c>
      <c r="BD49" t="s">
        <v>200</v>
      </c>
      <c r="BE49">
        <v>7000</v>
      </c>
      <c r="BF49">
        <v>500</v>
      </c>
      <c r="BG49">
        <v>5</v>
      </c>
      <c r="BH49">
        <v>2</v>
      </c>
      <c r="BI49">
        <v>300</v>
      </c>
      <c r="BJ49">
        <v>300</v>
      </c>
      <c r="BK49">
        <v>300</v>
      </c>
      <c r="BL49">
        <v>238.769882</v>
      </c>
      <c r="BM49">
        <v>25</v>
      </c>
      <c r="BN49">
        <v>-17.307179999999999</v>
      </c>
      <c r="BO49">
        <v>238.203766</v>
      </c>
      <c r="BP49">
        <v>239.05777</v>
      </c>
      <c r="BQ49">
        <v>-0.85400399999999999</v>
      </c>
      <c r="BR49">
        <v>2.4073479999999998</v>
      </c>
      <c r="BS49">
        <v>2.4757920000000002</v>
      </c>
      <c r="BT49">
        <v>1.589053</v>
      </c>
      <c r="BU49">
        <v>1.003366</v>
      </c>
      <c r="BV49">
        <v>0.200875</v>
      </c>
      <c r="BW49">
        <v>7.6779999999999999E-3</v>
      </c>
      <c r="BX49">
        <v>0.10853400000000001</v>
      </c>
      <c r="BY49">
        <v>1.600255</v>
      </c>
      <c r="BZ49">
        <v>89.476707000000005</v>
      </c>
      <c r="CA49">
        <v>3.5500000000000001E-4</v>
      </c>
      <c r="CB49">
        <v>2.3486280000000002</v>
      </c>
      <c r="CC49">
        <v>-5.1E-5</v>
      </c>
      <c r="CD49">
        <v>1</v>
      </c>
      <c r="CE49">
        <v>2.4109430000000001</v>
      </c>
      <c r="CF49">
        <v>-5.7000000000000003E-5</v>
      </c>
      <c r="CG49">
        <v>1</v>
      </c>
      <c r="CH49">
        <v>0.60051900000000002</v>
      </c>
      <c r="CI49">
        <v>0.60216099999999995</v>
      </c>
      <c r="CJ49">
        <v>0.107265</v>
      </c>
      <c r="CK49">
        <v>0</v>
      </c>
      <c r="CL49" t="s">
        <v>1410</v>
      </c>
      <c r="CM49" t="s">
        <v>201</v>
      </c>
      <c r="CN49" t="s">
        <v>202</v>
      </c>
      <c r="CO49" t="s">
        <v>203</v>
      </c>
      <c r="CP49" t="s">
        <v>204</v>
      </c>
      <c r="CQ49" t="s">
        <v>205</v>
      </c>
      <c r="CR49" t="s">
        <v>206</v>
      </c>
    </row>
    <row r="50" spans="1:96">
      <c r="A50">
        <v>8</v>
      </c>
      <c r="B50" s="3">
        <v>0.55065972222222215</v>
      </c>
      <c r="C50" s="1">
        <v>45176</v>
      </c>
      <c r="D50" t="s">
        <v>196</v>
      </c>
      <c r="E50" t="s">
        <v>197</v>
      </c>
      <c r="G50">
        <v>8</v>
      </c>
      <c r="J50">
        <v>5.6156999999999999E-2</v>
      </c>
      <c r="K50">
        <v>2.91852</v>
      </c>
      <c r="L50">
        <v>5.5097E-2</v>
      </c>
      <c r="M50">
        <v>1.8815059999999999</v>
      </c>
      <c r="N50">
        <v>1.9838690000000001</v>
      </c>
      <c r="O50">
        <v>1.9342109999999999</v>
      </c>
      <c r="P50">
        <v>5.1191940000000002</v>
      </c>
      <c r="Q50">
        <v>3.1353240000000002</v>
      </c>
      <c r="R50">
        <v>20.282350999999998</v>
      </c>
      <c r="S50">
        <v>20.803073999999999</v>
      </c>
      <c r="T50">
        <v>53.680430999999999</v>
      </c>
      <c r="U50">
        <v>0.44178600000000001</v>
      </c>
      <c r="V50" t="s">
        <v>1411</v>
      </c>
      <c r="W50">
        <v>0</v>
      </c>
      <c r="X50">
        <v>0</v>
      </c>
      <c r="Y50">
        <v>0</v>
      </c>
      <c r="Z50">
        <v>88.381287</v>
      </c>
      <c r="AA50">
        <v>263.84371900000002</v>
      </c>
      <c r="AB50">
        <v>0.66502399999999995</v>
      </c>
      <c r="AC50">
        <v>0.5</v>
      </c>
      <c r="AD50">
        <v>0.8</v>
      </c>
      <c r="AE50">
        <v>508.94732699999997</v>
      </c>
      <c r="AF50">
        <v>39.78</v>
      </c>
      <c r="AG50">
        <v>38.78</v>
      </c>
      <c r="AH50">
        <v>32.770000000000003</v>
      </c>
      <c r="AI50">
        <v>33.229999999999997</v>
      </c>
      <c r="AJ50">
        <v>95.36</v>
      </c>
      <c r="AK50">
        <v>156.30000000000001</v>
      </c>
      <c r="AL50">
        <v>127.2</v>
      </c>
      <c r="AM50">
        <v>18.600000000000001</v>
      </c>
      <c r="AN50">
        <v>1913</v>
      </c>
      <c r="AO50">
        <v>3.9350000000000001</v>
      </c>
      <c r="AP50" s="3">
        <v>0.54631944444444447</v>
      </c>
      <c r="AQ50" s="1">
        <v>45176</v>
      </c>
      <c r="AR50">
        <v>-0.41</v>
      </c>
      <c r="AS50">
        <v>3.0000000000000001E-3</v>
      </c>
      <c r="AT50">
        <v>1E-3</v>
      </c>
      <c r="AU50">
        <v>-9999</v>
      </c>
      <c r="AV50">
        <v>1.3859999999999999</v>
      </c>
      <c r="AW50">
        <v>0.44700000000000001</v>
      </c>
      <c r="AX50">
        <v>-9999</v>
      </c>
      <c r="AY50">
        <v>1</v>
      </c>
      <c r="AZ50">
        <v>150</v>
      </c>
      <c r="BA50">
        <v>5.0000000000000001E-3</v>
      </c>
      <c r="BB50">
        <v>2</v>
      </c>
      <c r="BC50">
        <v>0</v>
      </c>
      <c r="BD50" t="s">
        <v>200</v>
      </c>
      <c r="BE50">
        <v>7000</v>
      </c>
      <c r="BF50">
        <v>500</v>
      </c>
      <c r="BG50">
        <v>5</v>
      </c>
      <c r="BH50">
        <v>2</v>
      </c>
      <c r="BI50">
        <v>300</v>
      </c>
      <c r="BJ50">
        <v>300</v>
      </c>
      <c r="BK50">
        <v>300</v>
      </c>
      <c r="BL50">
        <v>238.40618900000001</v>
      </c>
      <c r="BM50">
        <v>25</v>
      </c>
      <c r="BN50">
        <v>-17.480957</v>
      </c>
      <c r="BO50">
        <v>237.06329299999999</v>
      </c>
      <c r="BP50">
        <v>238.770645</v>
      </c>
      <c r="BQ50">
        <v>-1.707352</v>
      </c>
      <c r="BR50">
        <v>2.4061210000000002</v>
      </c>
      <c r="BS50">
        <v>2.474628</v>
      </c>
      <c r="BT50">
        <v>1.587656</v>
      </c>
      <c r="BU50">
        <v>0.90919099999999997</v>
      </c>
      <c r="BV50">
        <v>0.20059299999999999</v>
      </c>
      <c r="BW50">
        <v>5.7060000000000001E-3</v>
      </c>
      <c r="BX50">
        <v>0.111154</v>
      </c>
      <c r="BY50">
        <v>1.8041020000000001</v>
      </c>
      <c r="BZ50">
        <v>88.381287</v>
      </c>
      <c r="CA50">
        <v>3.4499999999999998E-4</v>
      </c>
      <c r="CB50">
        <v>2.3486280000000002</v>
      </c>
      <c r="CC50">
        <v>-5.1E-5</v>
      </c>
      <c r="CD50">
        <v>1</v>
      </c>
      <c r="CE50">
        <v>2.4109430000000001</v>
      </c>
      <c r="CF50">
        <v>-5.7000000000000003E-5</v>
      </c>
      <c r="CG50">
        <v>1</v>
      </c>
      <c r="CH50">
        <v>0.60051900000000002</v>
      </c>
      <c r="CI50">
        <v>0.60216099999999995</v>
      </c>
      <c r="CJ50">
        <v>0.107265</v>
      </c>
      <c r="CK50">
        <v>0</v>
      </c>
      <c r="CL50" t="s">
        <v>1411</v>
      </c>
      <c r="CM50" t="s">
        <v>201</v>
      </c>
      <c r="CN50" t="s">
        <v>202</v>
      </c>
      <c r="CO50" t="s">
        <v>203</v>
      </c>
      <c r="CP50" t="s">
        <v>204</v>
      </c>
      <c r="CQ50" t="s">
        <v>205</v>
      </c>
      <c r="CR50" t="s">
        <v>206</v>
      </c>
    </row>
    <row r="51" spans="1:96">
      <c r="A51">
        <v>9</v>
      </c>
      <c r="B51" s="3">
        <v>0.55541666666666667</v>
      </c>
      <c r="C51" s="1">
        <v>45176</v>
      </c>
      <c r="D51" t="s">
        <v>196</v>
      </c>
      <c r="E51" t="s">
        <v>197</v>
      </c>
      <c r="G51">
        <v>9</v>
      </c>
      <c r="J51">
        <v>3.7629999999999999E-3</v>
      </c>
      <c r="K51">
        <v>2.920817</v>
      </c>
      <c r="L51">
        <v>3.7580000000000001E-3</v>
      </c>
      <c r="M51">
        <v>0.19409499999999999</v>
      </c>
      <c r="N51">
        <v>2.002853</v>
      </c>
      <c r="O51">
        <v>1.9977419999999999</v>
      </c>
      <c r="P51">
        <v>6.701619</v>
      </c>
      <c r="Q51">
        <v>4.698766</v>
      </c>
      <c r="R51">
        <v>20.954143999999999</v>
      </c>
      <c r="S51">
        <v>21.007750999999999</v>
      </c>
      <c r="T51">
        <v>70.292702000000006</v>
      </c>
      <c r="U51">
        <v>0.44178600000000001</v>
      </c>
      <c r="V51" t="s">
        <v>1412</v>
      </c>
      <c r="W51">
        <v>0</v>
      </c>
      <c r="X51">
        <v>0</v>
      </c>
      <c r="Y51">
        <v>0</v>
      </c>
      <c r="Z51">
        <v>73.997497999999993</v>
      </c>
      <c r="AA51">
        <v>87.288535999999993</v>
      </c>
      <c r="AB51">
        <v>0.15226600000000001</v>
      </c>
      <c r="AC51">
        <v>0.5</v>
      </c>
      <c r="AD51">
        <v>0.8</v>
      </c>
      <c r="AE51">
        <v>105.916336</v>
      </c>
      <c r="AF51">
        <v>38.520000000000003</v>
      </c>
      <c r="AG51">
        <v>38.42</v>
      </c>
      <c r="AH51">
        <v>33.51</v>
      </c>
      <c r="AI51">
        <v>38.119999999999997</v>
      </c>
      <c r="AJ51">
        <v>95.34</v>
      </c>
      <c r="AK51">
        <v>156.6</v>
      </c>
      <c r="AL51">
        <v>157.4</v>
      </c>
      <c r="AM51">
        <v>-0.5</v>
      </c>
      <c r="AN51">
        <v>1739</v>
      </c>
      <c r="AO51">
        <v>3.9350000000000001</v>
      </c>
      <c r="AP51" s="3">
        <v>0.55533564814814818</v>
      </c>
      <c r="AQ51" s="1">
        <v>45176</v>
      </c>
      <c r="AR51">
        <v>-0.43</v>
      </c>
      <c r="AS51">
        <v>0</v>
      </c>
      <c r="AT51">
        <v>-1E-3</v>
      </c>
      <c r="AU51">
        <v>-9999</v>
      </c>
      <c r="AV51">
        <v>0.47</v>
      </c>
      <c r="AW51">
        <v>0.54900000000000004</v>
      </c>
      <c r="AX51">
        <v>-9999</v>
      </c>
      <c r="AY51">
        <v>1</v>
      </c>
      <c r="AZ51">
        <v>150</v>
      </c>
      <c r="BA51">
        <v>5.0000000000000001E-3</v>
      </c>
      <c r="BB51">
        <v>2</v>
      </c>
      <c r="BC51">
        <v>0</v>
      </c>
      <c r="BD51" t="s">
        <v>200</v>
      </c>
      <c r="BE51">
        <v>7000</v>
      </c>
      <c r="BF51">
        <v>500</v>
      </c>
      <c r="BG51">
        <v>5</v>
      </c>
      <c r="BH51">
        <v>2</v>
      </c>
      <c r="BI51">
        <v>300</v>
      </c>
      <c r="BJ51">
        <v>300</v>
      </c>
      <c r="BK51">
        <v>300</v>
      </c>
      <c r="BL51">
        <v>86.090323999999995</v>
      </c>
      <c r="BM51">
        <v>25</v>
      </c>
      <c r="BN51">
        <v>-0.78969299999999998</v>
      </c>
      <c r="BO51">
        <v>86.324928</v>
      </c>
      <c r="BP51">
        <v>86.155876000000006</v>
      </c>
      <c r="BQ51">
        <v>0.16905200000000001</v>
      </c>
      <c r="BR51">
        <v>2.4055089999999999</v>
      </c>
      <c r="BS51">
        <v>2.472753</v>
      </c>
      <c r="BT51">
        <v>1.58988</v>
      </c>
      <c r="BU51">
        <v>1.001927</v>
      </c>
      <c r="BV51">
        <v>0.194852</v>
      </c>
      <c r="BW51">
        <v>6.0946E-2</v>
      </c>
      <c r="BX51">
        <v>0.160438</v>
      </c>
      <c r="BY51">
        <v>1.6495550000000001</v>
      </c>
      <c r="BZ51">
        <v>73.997497999999993</v>
      </c>
      <c r="CA51">
        <v>3.4299999999999999E-4</v>
      </c>
      <c r="CB51">
        <v>2.3486280000000002</v>
      </c>
      <c r="CC51">
        <v>-5.1E-5</v>
      </c>
      <c r="CD51">
        <v>1</v>
      </c>
      <c r="CE51">
        <v>2.4109430000000001</v>
      </c>
      <c r="CF51">
        <v>-5.7000000000000003E-5</v>
      </c>
      <c r="CG51">
        <v>1</v>
      </c>
      <c r="CH51">
        <v>0.60051900000000002</v>
      </c>
      <c r="CI51">
        <v>0.60216099999999995</v>
      </c>
      <c r="CJ51">
        <v>0.107265</v>
      </c>
      <c r="CK51">
        <v>0</v>
      </c>
      <c r="CL51" t="s">
        <v>1412</v>
      </c>
      <c r="CM51" t="s">
        <v>201</v>
      </c>
      <c r="CN51" t="s">
        <v>202</v>
      </c>
      <c r="CO51" t="s">
        <v>203</v>
      </c>
      <c r="CP51" t="s">
        <v>204</v>
      </c>
      <c r="CQ51" t="s">
        <v>205</v>
      </c>
      <c r="CR51" t="s">
        <v>206</v>
      </c>
    </row>
    <row r="52" spans="1:96">
      <c r="A52">
        <v>10</v>
      </c>
      <c r="B52" s="3">
        <v>0.55556712962962962</v>
      </c>
      <c r="C52" s="1">
        <v>45176</v>
      </c>
      <c r="D52" t="s">
        <v>196</v>
      </c>
      <c r="E52" t="s">
        <v>197</v>
      </c>
      <c r="G52">
        <v>10</v>
      </c>
      <c r="J52">
        <v>2.9256999999999998E-2</v>
      </c>
      <c r="K52">
        <v>2.9203839999999999</v>
      </c>
      <c r="L52">
        <v>2.8967E-2</v>
      </c>
      <c r="M52">
        <v>1.004542</v>
      </c>
      <c r="N52">
        <v>1.970089</v>
      </c>
      <c r="O52">
        <v>1.9436199999999999</v>
      </c>
      <c r="P52">
        <v>5.1526740000000002</v>
      </c>
      <c r="Q52">
        <v>3.1825839999999999</v>
      </c>
      <c r="R52">
        <v>20.387589999999999</v>
      </c>
      <c r="S52">
        <v>20.665236</v>
      </c>
      <c r="T52">
        <v>54.048931000000003</v>
      </c>
      <c r="U52">
        <v>0.44178600000000001</v>
      </c>
      <c r="V52" t="s">
        <v>1413</v>
      </c>
      <c r="W52">
        <v>0</v>
      </c>
      <c r="X52">
        <v>0</v>
      </c>
      <c r="Y52">
        <v>0</v>
      </c>
      <c r="Z52">
        <v>86.291313000000002</v>
      </c>
      <c r="AA52">
        <v>277.458527</v>
      </c>
      <c r="AB52">
        <v>0.688994</v>
      </c>
      <c r="AC52">
        <v>0.5</v>
      </c>
      <c r="AD52">
        <v>0.8</v>
      </c>
      <c r="AE52">
        <v>294.29745500000001</v>
      </c>
      <c r="AF52">
        <v>37.770000000000003</v>
      </c>
      <c r="AG52">
        <v>37.270000000000003</v>
      </c>
      <c r="AH52">
        <v>33.57</v>
      </c>
      <c r="AI52">
        <v>33.35</v>
      </c>
      <c r="AJ52">
        <v>95.33</v>
      </c>
      <c r="AK52">
        <v>156.5</v>
      </c>
      <c r="AL52">
        <v>157.5</v>
      </c>
      <c r="AM52">
        <v>-0.6</v>
      </c>
      <c r="AN52">
        <v>1068</v>
      </c>
      <c r="AO52">
        <v>3.9329999999999998</v>
      </c>
      <c r="AP52" s="3">
        <v>0.55533564814814818</v>
      </c>
      <c r="AQ52" s="1">
        <v>45176</v>
      </c>
      <c r="AR52">
        <v>-0.43</v>
      </c>
      <c r="AS52">
        <v>1E-3</v>
      </c>
      <c r="AT52">
        <v>-1E-3</v>
      </c>
      <c r="AU52">
        <v>1.0999999999999999E-2</v>
      </c>
      <c r="AV52">
        <v>-0.40699999999999997</v>
      </c>
      <c r="AW52">
        <v>-0.67900000000000005</v>
      </c>
      <c r="AX52">
        <v>-11.404999999999999</v>
      </c>
      <c r="AY52">
        <v>1</v>
      </c>
      <c r="AZ52">
        <v>150</v>
      </c>
      <c r="BA52">
        <v>5.0000000000000001E-3</v>
      </c>
      <c r="BB52">
        <v>2</v>
      </c>
      <c r="BC52">
        <v>0</v>
      </c>
      <c r="BD52" t="s">
        <v>200</v>
      </c>
      <c r="BE52">
        <v>7000</v>
      </c>
      <c r="BF52">
        <v>500</v>
      </c>
      <c r="BG52">
        <v>5</v>
      </c>
      <c r="BH52">
        <v>2</v>
      </c>
      <c r="BI52">
        <v>300</v>
      </c>
      <c r="BJ52">
        <v>300</v>
      </c>
      <c r="BK52">
        <v>300</v>
      </c>
      <c r="BL52">
        <v>242.850067</v>
      </c>
      <c r="BM52">
        <v>25</v>
      </c>
      <c r="BN52">
        <v>-31.289048999999999</v>
      </c>
      <c r="BO52">
        <v>228.13725299999999</v>
      </c>
      <c r="BP52">
        <v>232.580399</v>
      </c>
      <c r="BQ52">
        <v>-4.4431459999999996</v>
      </c>
      <c r="BR52">
        <v>2.4039999999999999</v>
      </c>
      <c r="BS52">
        <v>2.4717039999999999</v>
      </c>
      <c r="BT52">
        <v>1.589461</v>
      </c>
      <c r="BU52">
        <v>1.002435</v>
      </c>
      <c r="BV52">
        <v>0.194437</v>
      </c>
      <c r="BW52">
        <v>-3.0969999999999999E-3</v>
      </c>
      <c r="BX52">
        <v>0.16173999999999999</v>
      </c>
      <c r="BY52">
        <v>1.054322</v>
      </c>
      <c r="BZ52">
        <v>86.291313000000002</v>
      </c>
      <c r="CA52">
        <v>3.5399999999999999E-4</v>
      </c>
      <c r="CB52">
        <v>2.3486280000000002</v>
      </c>
      <c r="CC52">
        <v>-5.1E-5</v>
      </c>
      <c r="CD52">
        <v>1</v>
      </c>
      <c r="CE52">
        <v>2.4109430000000001</v>
      </c>
      <c r="CF52">
        <v>-5.7000000000000003E-5</v>
      </c>
      <c r="CG52">
        <v>1</v>
      </c>
      <c r="CH52">
        <v>0.60051900000000002</v>
      </c>
      <c r="CI52">
        <v>0.60216099999999995</v>
      </c>
      <c r="CJ52">
        <v>0.107265</v>
      </c>
      <c r="CK52">
        <v>0</v>
      </c>
      <c r="CL52" t="s">
        <v>1413</v>
      </c>
      <c r="CM52" t="s">
        <v>201</v>
      </c>
      <c r="CN52" t="s">
        <v>202</v>
      </c>
      <c r="CO52" t="s">
        <v>203</v>
      </c>
      <c r="CP52" t="s">
        <v>204</v>
      </c>
      <c r="CQ52" t="s">
        <v>205</v>
      </c>
      <c r="CR52" t="s">
        <v>206</v>
      </c>
    </row>
    <row r="53" spans="1:96">
      <c r="A53">
        <v>11</v>
      </c>
      <c r="B53" s="3">
        <v>0.55585648148148148</v>
      </c>
      <c r="C53" s="1">
        <v>45176</v>
      </c>
      <c r="D53" t="s">
        <v>196</v>
      </c>
      <c r="E53" t="s">
        <v>197</v>
      </c>
      <c r="G53">
        <v>11</v>
      </c>
      <c r="J53">
        <v>2.4677999999999999E-2</v>
      </c>
      <c r="K53">
        <v>2.9201950000000001</v>
      </c>
      <c r="L53">
        <v>2.4471E-2</v>
      </c>
      <c r="M53">
        <v>0.92500400000000005</v>
      </c>
      <c r="N53">
        <v>1.946455</v>
      </c>
      <c r="O53">
        <v>1.9220710000000001</v>
      </c>
      <c r="P53">
        <v>5.4110019999999999</v>
      </c>
      <c r="Q53">
        <v>3.4645480000000002</v>
      </c>
      <c r="R53">
        <v>20.161448</v>
      </c>
      <c r="S53">
        <v>20.417213</v>
      </c>
      <c r="T53">
        <v>56.758366000000002</v>
      </c>
      <c r="U53">
        <v>0.44178600000000001</v>
      </c>
      <c r="V53" t="s">
        <v>1414</v>
      </c>
      <c r="W53">
        <v>0</v>
      </c>
      <c r="X53">
        <v>0</v>
      </c>
      <c r="Y53">
        <v>0</v>
      </c>
      <c r="Z53">
        <v>73.262932000000006</v>
      </c>
      <c r="AA53">
        <v>181.270859</v>
      </c>
      <c r="AB53">
        <v>0.59583699999999995</v>
      </c>
      <c r="AC53">
        <v>0.5</v>
      </c>
      <c r="AD53">
        <v>0.8</v>
      </c>
      <c r="AE53">
        <v>44.055107</v>
      </c>
      <c r="AF53">
        <v>37.21</v>
      </c>
      <c r="AG53">
        <v>36.75</v>
      </c>
      <c r="AH53">
        <v>33.619999999999997</v>
      </c>
      <c r="AI53">
        <v>34.229999999999997</v>
      </c>
      <c r="AJ53">
        <v>95.33</v>
      </c>
      <c r="AK53">
        <v>156.5</v>
      </c>
      <c r="AL53">
        <v>157.4</v>
      </c>
      <c r="AM53">
        <v>-0.6</v>
      </c>
      <c r="AN53">
        <v>185</v>
      </c>
      <c r="AO53">
        <v>3.9340000000000002</v>
      </c>
      <c r="AP53" s="3">
        <v>0.55533564814814818</v>
      </c>
      <c r="AQ53" s="1">
        <v>45176</v>
      </c>
      <c r="AR53">
        <v>-0.43</v>
      </c>
      <c r="AS53">
        <v>2E-3</v>
      </c>
      <c r="AT53">
        <v>2E-3</v>
      </c>
      <c r="AU53">
        <v>2E-3</v>
      </c>
      <c r="AV53">
        <v>-13.802</v>
      </c>
      <c r="AW53">
        <v>0.39700000000000002</v>
      </c>
      <c r="AX53">
        <v>-14.497</v>
      </c>
      <c r="AY53">
        <v>1</v>
      </c>
      <c r="AZ53">
        <v>150</v>
      </c>
      <c r="BA53">
        <v>5.0000000000000001E-3</v>
      </c>
      <c r="BB53">
        <v>2</v>
      </c>
      <c r="BC53">
        <v>0</v>
      </c>
      <c r="BD53" t="s">
        <v>200</v>
      </c>
      <c r="BE53">
        <v>7000</v>
      </c>
      <c r="BF53">
        <v>500</v>
      </c>
      <c r="BG53">
        <v>5</v>
      </c>
      <c r="BH53">
        <v>2</v>
      </c>
      <c r="BI53">
        <v>300</v>
      </c>
      <c r="BJ53">
        <v>300</v>
      </c>
      <c r="BK53">
        <v>300</v>
      </c>
      <c r="BL53">
        <v>178.92515599999999</v>
      </c>
      <c r="BM53">
        <v>25</v>
      </c>
      <c r="BN53">
        <v>-1.0589580000000001</v>
      </c>
      <c r="BO53">
        <v>182.99960300000001</v>
      </c>
      <c r="BP53">
        <v>179.75198399999999</v>
      </c>
      <c r="BQ53">
        <v>3.24762</v>
      </c>
      <c r="BR53">
        <v>2.4033159999999998</v>
      </c>
      <c r="BS53">
        <v>2.4709120000000002</v>
      </c>
      <c r="BT53">
        <v>1.5892770000000001</v>
      </c>
      <c r="BU53">
        <v>1.002092</v>
      </c>
      <c r="BV53">
        <v>0.194047</v>
      </c>
      <c r="BW53">
        <v>7.6030000000000004E-3</v>
      </c>
      <c r="BX53">
        <v>0.16437299999999999</v>
      </c>
      <c r="BY53">
        <v>0.27120100000000003</v>
      </c>
      <c r="BZ53">
        <v>73.262932000000006</v>
      </c>
      <c r="CA53">
        <v>3.5500000000000001E-4</v>
      </c>
      <c r="CB53">
        <v>2.3486280000000002</v>
      </c>
      <c r="CC53">
        <v>-5.1E-5</v>
      </c>
      <c r="CD53">
        <v>1</v>
      </c>
      <c r="CE53">
        <v>2.4109430000000001</v>
      </c>
      <c r="CF53">
        <v>-5.7000000000000003E-5</v>
      </c>
      <c r="CG53">
        <v>1</v>
      </c>
      <c r="CH53">
        <v>0.60051900000000002</v>
      </c>
      <c r="CI53">
        <v>0.60216099999999995</v>
      </c>
      <c r="CJ53">
        <v>0.107265</v>
      </c>
      <c r="CK53">
        <v>0</v>
      </c>
      <c r="CL53" t="s">
        <v>1414</v>
      </c>
      <c r="CM53" t="s">
        <v>201</v>
      </c>
      <c r="CN53" t="s">
        <v>202</v>
      </c>
      <c r="CO53" t="s">
        <v>203</v>
      </c>
      <c r="CP53" t="s">
        <v>204</v>
      </c>
      <c r="CQ53" t="s">
        <v>205</v>
      </c>
      <c r="CR53" t="s">
        <v>206</v>
      </c>
    </row>
    <row r="54" spans="1:96">
      <c r="A54">
        <v>12</v>
      </c>
      <c r="B54" s="3">
        <v>0.5559722222222222</v>
      </c>
      <c r="C54" s="1">
        <v>45176</v>
      </c>
      <c r="D54" t="s">
        <v>196</v>
      </c>
      <c r="E54" t="s">
        <v>197</v>
      </c>
      <c r="G54">
        <v>12</v>
      </c>
      <c r="J54">
        <v>1.2659999999999999E-2</v>
      </c>
      <c r="K54">
        <v>2.9206189999999999</v>
      </c>
      <c r="L54">
        <v>1.2605E-2</v>
      </c>
      <c r="M54">
        <v>0.53677699999999995</v>
      </c>
      <c r="N54">
        <v>1.9119839999999999</v>
      </c>
      <c r="O54">
        <v>1.897834</v>
      </c>
      <c r="P54">
        <v>5.8072480000000004</v>
      </c>
      <c r="Q54">
        <v>3.8952640000000001</v>
      </c>
      <c r="R54">
        <v>19.907157999999999</v>
      </c>
      <c r="S54">
        <v>20.055582000000001</v>
      </c>
      <c r="T54">
        <v>60.914597000000001</v>
      </c>
      <c r="U54">
        <v>0.44178600000000001</v>
      </c>
      <c r="V54" t="s">
        <v>1415</v>
      </c>
      <c r="W54">
        <v>0</v>
      </c>
      <c r="X54">
        <v>0</v>
      </c>
      <c r="Y54">
        <v>0</v>
      </c>
      <c r="Z54">
        <v>81.389663999999996</v>
      </c>
      <c r="AA54">
        <v>117.501289</v>
      </c>
      <c r="AB54">
        <v>0.30732999999999999</v>
      </c>
      <c r="AC54">
        <v>0.5</v>
      </c>
      <c r="AD54">
        <v>0.8</v>
      </c>
      <c r="AE54">
        <v>188.59262100000001</v>
      </c>
      <c r="AF54">
        <v>36.520000000000003</v>
      </c>
      <c r="AG54">
        <v>36.25</v>
      </c>
      <c r="AH54">
        <v>33.64</v>
      </c>
      <c r="AI54">
        <v>35.5</v>
      </c>
      <c r="AJ54">
        <v>95.33</v>
      </c>
      <c r="AK54">
        <v>156.6</v>
      </c>
      <c r="AL54">
        <v>157.4</v>
      </c>
      <c r="AM54">
        <v>-0.5</v>
      </c>
      <c r="AN54">
        <v>1534</v>
      </c>
      <c r="AO54">
        <v>3.9329999999999998</v>
      </c>
      <c r="AP54" s="3">
        <v>0.55533564814814818</v>
      </c>
      <c r="AQ54" s="1">
        <v>45176</v>
      </c>
      <c r="AR54">
        <v>-0.43</v>
      </c>
      <c r="AS54">
        <v>0</v>
      </c>
      <c r="AT54">
        <v>2E-3</v>
      </c>
      <c r="AU54">
        <v>-9999</v>
      </c>
      <c r="AV54">
        <v>-1.486</v>
      </c>
      <c r="AW54">
        <v>-3.0590000000000002</v>
      </c>
      <c r="AX54">
        <v>-9999</v>
      </c>
      <c r="AY54">
        <v>1</v>
      </c>
      <c r="AZ54">
        <v>150</v>
      </c>
      <c r="BA54">
        <v>5.0000000000000001E-3</v>
      </c>
      <c r="BB54">
        <v>2</v>
      </c>
      <c r="BC54">
        <v>0</v>
      </c>
      <c r="BD54" t="s">
        <v>200</v>
      </c>
      <c r="BE54">
        <v>7000</v>
      </c>
      <c r="BF54">
        <v>500</v>
      </c>
      <c r="BG54">
        <v>5</v>
      </c>
      <c r="BH54">
        <v>2</v>
      </c>
      <c r="BI54">
        <v>300</v>
      </c>
      <c r="BJ54">
        <v>300</v>
      </c>
      <c r="BK54">
        <v>300</v>
      </c>
      <c r="BL54">
        <v>111.921074</v>
      </c>
      <c r="BM54">
        <v>25</v>
      </c>
      <c r="BN54">
        <v>-3.798673</v>
      </c>
      <c r="BO54">
        <v>111.756561</v>
      </c>
      <c r="BP54">
        <v>112.052826</v>
      </c>
      <c r="BQ54">
        <v>-0.296265</v>
      </c>
      <c r="BR54">
        <v>2.4026670000000001</v>
      </c>
      <c r="BS54">
        <v>2.4699420000000001</v>
      </c>
      <c r="BT54">
        <v>1.5896889999999999</v>
      </c>
      <c r="BU54">
        <v>1.0019309999999999</v>
      </c>
      <c r="BV54">
        <v>0.19392899999999999</v>
      </c>
      <c r="BW54">
        <v>2.4146000000000001E-2</v>
      </c>
      <c r="BX54">
        <v>0.16536300000000001</v>
      </c>
      <c r="BY54">
        <v>1.467848</v>
      </c>
      <c r="BZ54">
        <v>81.389663999999996</v>
      </c>
      <c r="CA54">
        <v>3.4400000000000001E-4</v>
      </c>
      <c r="CB54">
        <v>2.3486280000000002</v>
      </c>
      <c r="CC54">
        <v>-5.1E-5</v>
      </c>
      <c r="CD54">
        <v>1</v>
      </c>
      <c r="CE54">
        <v>2.4109430000000001</v>
      </c>
      <c r="CF54">
        <v>-5.7000000000000003E-5</v>
      </c>
      <c r="CG54">
        <v>1</v>
      </c>
      <c r="CH54">
        <v>0.60051900000000002</v>
      </c>
      <c r="CI54">
        <v>0.60216099999999995</v>
      </c>
      <c r="CJ54">
        <v>0.107265</v>
      </c>
      <c r="CK54">
        <v>0</v>
      </c>
      <c r="CL54" t="s">
        <v>1415</v>
      </c>
      <c r="CM54" t="s">
        <v>201</v>
      </c>
      <c r="CN54" t="s">
        <v>202</v>
      </c>
      <c r="CO54" t="s">
        <v>203</v>
      </c>
      <c r="CP54" t="s">
        <v>204</v>
      </c>
      <c r="CQ54" t="s">
        <v>205</v>
      </c>
      <c r="CR54" t="s">
        <v>206</v>
      </c>
    </row>
    <row r="55" spans="1:96">
      <c r="A55">
        <v>13</v>
      </c>
      <c r="B55" s="3">
        <v>0.55608796296296303</v>
      </c>
      <c r="C55" s="1">
        <v>45176</v>
      </c>
      <c r="D55" t="s">
        <v>196</v>
      </c>
      <c r="E55" t="s">
        <v>197</v>
      </c>
      <c r="G55">
        <v>13</v>
      </c>
      <c r="J55">
        <v>-6.7100000000000005E-4</v>
      </c>
      <c r="K55">
        <v>2.918393</v>
      </c>
      <c r="L55">
        <v>-6.7100000000000005E-4</v>
      </c>
      <c r="M55">
        <v>-3.4682999999999999E-2</v>
      </c>
      <c r="N55">
        <v>1.9623649999999999</v>
      </c>
      <c r="O55">
        <v>1.9632799999999999</v>
      </c>
      <c r="P55">
        <v>6.66629</v>
      </c>
      <c r="Q55">
        <v>4.7039249999999999</v>
      </c>
      <c r="R55">
        <v>20.592676000000001</v>
      </c>
      <c r="S55">
        <v>20.583075000000001</v>
      </c>
      <c r="T55">
        <v>69.922141999999994</v>
      </c>
      <c r="U55">
        <v>0.44178600000000001</v>
      </c>
      <c r="V55" t="s">
        <v>1416</v>
      </c>
      <c r="W55">
        <v>0</v>
      </c>
      <c r="X55">
        <v>0</v>
      </c>
      <c r="Y55">
        <v>0</v>
      </c>
      <c r="Z55">
        <v>79.942702999999995</v>
      </c>
      <c r="AA55">
        <v>88.366287</v>
      </c>
      <c r="AB55">
        <v>9.5325999999999994E-2</v>
      </c>
      <c r="AC55">
        <v>0.5</v>
      </c>
      <c r="AD55">
        <v>0.8</v>
      </c>
      <c r="AE55">
        <v>74.411963999999998</v>
      </c>
      <c r="AF55">
        <v>37.450000000000003</v>
      </c>
      <c r="AG55">
        <v>37.47</v>
      </c>
      <c r="AH55">
        <v>33.65</v>
      </c>
      <c r="AI55">
        <v>38.020000000000003</v>
      </c>
      <c r="AJ55">
        <v>95.34</v>
      </c>
      <c r="AK55">
        <v>156.30000000000001</v>
      </c>
      <c r="AL55">
        <v>157.6</v>
      </c>
      <c r="AM55">
        <v>-0.8</v>
      </c>
      <c r="AN55">
        <v>1952</v>
      </c>
      <c r="AO55">
        <v>3.9329999999999998</v>
      </c>
      <c r="AP55" s="3">
        <v>0.55533564814814818</v>
      </c>
      <c r="AQ55" s="1">
        <v>45176</v>
      </c>
      <c r="AR55">
        <v>-0.43</v>
      </c>
      <c r="AS55">
        <v>0</v>
      </c>
      <c r="AT55">
        <v>3.0000000000000001E-3</v>
      </c>
      <c r="AU55">
        <v>-9999</v>
      </c>
      <c r="AV55">
        <v>-0.17</v>
      </c>
      <c r="AW55">
        <v>-8.5999999999999993E-2</v>
      </c>
      <c r="AX55">
        <v>-9999</v>
      </c>
      <c r="AY55">
        <v>1</v>
      </c>
      <c r="AZ55">
        <v>150</v>
      </c>
      <c r="BA55">
        <v>5.0000000000000001E-3</v>
      </c>
      <c r="BB55">
        <v>2</v>
      </c>
      <c r="BC55">
        <v>0</v>
      </c>
      <c r="BD55" t="s">
        <v>200</v>
      </c>
      <c r="BE55">
        <v>7000</v>
      </c>
      <c r="BF55">
        <v>500</v>
      </c>
      <c r="BG55">
        <v>5</v>
      </c>
      <c r="BH55">
        <v>2</v>
      </c>
      <c r="BI55">
        <v>300</v>
      </c>
      <c r="BJ55">
        <v>300</v>
      </c>
      <c r="BK55">
        <v>300</v>
      </c>
      <c r="BL55">
        <v>88.020088000000001</v>
      </c>
      <c r="BM55">
        <v>25</v>
      </c>
      <c r="BN55">
        <v>-0.18825900000000001</v>
      </c>
      <c r="BO55">
        <v>88.726044000000002</v>
      </c>
      <c r="BP55">
        <v>88.096267999999995</v>
      </c>
      <c r="BQ55">
        <v>0.629776</v>
      </c>
      <c r="BR55">
        <v>2.4042520000000001</v>
      </c>
      <c r="BS55">
        <v>2.4712420000000002</v>
      </c>
      <c r="BT55">
        <v>1.5875330000000001</v>
      </c>
      <c r="BU55">
        <v>1.0026600000000001</v>
      </c>
      <c r="BV55">
        <v>0.19381799999999999</v>
      </c>
      <c r="BW55">
        <v>5.7831E-2</v>
      </c>
      <c r="BX55">
        <v>0.166459</v>
      </c>
      <c r="BY55">
        <v>1.8380270000000001</v>
      </c>
      <c r="BZ55">
        <v>79.942702999999995</v>
      </c>
      <c r="CA55">
        <v>3.4900000000000003E-4</v>
      </c>
      <c r="CB55">
        <v>2.3486280000000002</v>
      </c>
      <c r="CC55">
        <v>-5.1E-5</v>
      </c>
      <c r="CD55">
        <v>1</v>
      </c>
      <c r="CE55">
        <v>2.4109430000000001</v>
      </c>
      <c r="CF55">
        <v>-5.7000000000000003E-5</v>
      </c>
      <c r="CG55">
        <v>1</v>
      </c>
      <c r="CH55">
        <v>0.60051900000000002</v>
      </c>
      <c r="CI55">
        <v>0.60216099999999995</v>
      </c>
      <c r="CJ55">
        <v>0.107265</v>
      </c>
      <c r="CK55">
        <v>0</v>
      </c>
      <c r="CL55" t="s">
        <v>1416</v>
      </c>
      <c r="CM55" t="s">
        <v>201</v>
      </c>
      <c r="CN55" t="s">
        <v>202</v>
      </c>
      <c r="CO55" t="s">
        <v>203</v>
      </c>
      <c r="CP55" t="s">
        <v>204</v>
      </c>
      <c r="CQ55" t="s">
        <v>205</v>
      </c>
      <c r="CR55" t="s">
        <v>206</v>
      </c>
    </row>
    <row r="56" spans="1:96">
      <c r="A56">
        <v>14</v>
      </c>
      <c r="B56" s="3">
        <v>0.55621527777777779</v>
      </c>
      <c r="C56" s="1">
        <v>45176</v>
      </c>
      <c r="D56" t="s">
        <v>196</v>
      </c>
      <c r="E56" t="s">
        <v>197</v>
      </c>
      <c r="G56">
        <v>14</v>
      </c>
      <c r="J56">
        <v>1.0817E-2</v>
      </c>
      <c r="K56">
        <v>2.9182779999999999</v>
      </c>
      <c r="L56">
        <v>1.0777E-2</v>
      </c>
      <c r="M56">
        <v>0.56666300000000003</v>
      </c>
      <c r="N56">
        <v>1.9532510000000001</v>
      </c>
      <c r="O56">
        <v>1.9382919999999999</v>
      </c>
      <c r="P56">
        <v>6.7376379999999996</v>
      </c>
      <c r="Q56">
        <v>4.7843859999999996</v>
      </c>
      <c r="R56">
        <v>20.331009000000002</v>
      </c>
      <c r="S56">
        <v>20.487916999999999</v>
      </c>
      <c r="T56">
        <v>70.671988999999996</v>
      </c>
      <c r="U56">
        <v>0.44178600000000001</v>
      </c>
      <c r="V56" t="s">
        <v>1417</v>
      </c>
      <c r="W56">
        <v>0</v>
      </c>
      <c r="X56">
        <v>0</v>
      </c>
      <c r="Y56">
        <v>0</v>
      </c>
      <c r="Z56">
        <v>65.691588999999993</v>
      </c>
      <c r="AA56">
        <v>74.604111000000003</v>
      </c>
      <c r="AB56">
        <v>0.119464</v>
      </c>
      <c r="AC56">
        <v>0.5</v>
      </c>
      <c r="AD56">
        <v>0.8</v>
      </c>
      <c r="AE56">
        <v>96.474434000000002</v>
      </c>
      <c r="AF56">
        <v>37.24</v>
      </c>
      <c r="AG56">
        <v>36.96</v>
      </c>
      <c r="AH56">
        <v>33.67</v>
      </c>
      <c r="AI56">
        <v>38.22</v>
      </c>
      <c r="AJ56">
        <v>95.34</v>
      </c>
      <c r="AK56">
        <v>156.30000000000001</v>
      </c>
      <c r="AL56">
        <v>157.30000000000001</v>
      </c>
      <c r="AM56">
        <v>-0.7</v>
      </c>
      <c r="AN56">
        <v>2019</v>
      </c>
      <c r="AO56">
        <v>3.9279999999999999</v>
      </c>
      <c r="AP56" s="3">
        <v>0.55533564814814818</v>
      </c>
      <c r="AQ56" s="1">
        <v>45176</v>
      </c>
      <c r="AR56">
        <v>-0.43</v>
      </c>
      <c r="AS56">
        <v>1E-3</v>
      </c>
      <c r="AT56">
        <v>0</v>
      </c>
      <c r="AU56">
        <v>-9999</v>
      </c>
      <c r="AV56">
        <v>-0.69099999999999995</v>
      </c>
      <c r="AW56">
        <v>-0.36399999999999999</v>
      </c>
      <c r="AX56">
        <v>-9999</v>
      </c>
      <c r="AY56">
        <v>1</v>
      </c>
      <c r="AZ56">
        <v>150</v>
      </c>
      <c r="BA56">
        <v>5.0000000000000001E-3</v>
      </c>
      <c r="BB56">
        <v>2</v>
      </c>
      <c r="BC56">
        <v>0</v>
      </c>
      <c r="BD56" t="s">
        <v>200</v>
      </c>
      <c r="BE56">
        <v>7000</v>
      </c>
      <c r="BF56">
        <v>500</v>
      </c>
      <c r="BG56">
        <v>5</v>
      </c>
      <c r="BH56">
        <v>2</v>
      </c>
      <c r="BI56">
        <v>300</v>
      </c>
      <c r="BJ56">
        <v>300</v>
      </c>
      <c r="BK56">
        <v>300</v>
      </c>
      <c r="BL56">
        <v>74.506400999999997</v>
      </c>
      <c r="BM56">
        <v>25</v>
      </c>
      <c r="BN56">
        <v>-4.4350000000000001E-2</v>
      </c>
      <c r="BO56">
        <v>75.333236999999997</v>
      </c>
      <c r="BP56">
        <v>74.540497000000002</v>
      </c>
      <c r="BQ56">
        <v>0.79274</v>
      </c>
      <c r="BR56">
        <v>2.4035799999999998</v>
      </c>
      <c r="BS56">
        <v>2.4709430000000001</v>
      </c>
      <c r="BT56">
        <v>1.5874220000000001</v>
      </c>
      <c r="BU56">
        <v>1.0018009999999999</v>
      </c>
      <c r="BV56">
        <v>0.19368199999999999</v>
      </c>
      <c r="BW56">
        <v>6.0277999999999998E-2</v>
      </c>
      <c r="BX56">
        <v>0.16750899999999999</v>
      </c>
      <c r="BY56">
        <v>1.8977850000000001</v>
      </c>
      <c r="BZ56">
        <v>65.691588999999993</v>
      </c>
      <c r="CA56">
        <v>3.5500000000000001E-4</v>
      </c>
      <c r="CB56">
        <v>2.3486280000000002</v>
      </c>
      <c r="CC56">
        <v>-5.1E-5</v>
      </c>
      <c r="CD56">
        <v>1</v>
      </c>
      <c r="CE56">
        <v>2.4109430000000001</v>
      </c>
      <c r="CF56">
        <v>-5.7000000000000003E-5</v>
      </c>
      <c r="CG56">
        <v>1</v>
      </c>
      <c r="CH56">
        <v>0.60051900000000002</v>
      </c>
      <c r="CI56">
        <v>0.60216099999999995</v>
      </c>
      <c r="CJ56">
        <v>0.107265</v>
      </c>
      <c r="CK56">
        <v>0</v>
      </c>
      <c r="CL56" t="s">
        <v>1417</v>
      </c>
      <c r="CM56" t="s">
        <v>201</v>
      </c>
      <c r="CN56" t="s">
        <v>202</v>
      </c>
      <c r="CO56" t="s">
        <v>203</v>
      </c>
      <c r="CP56" t="s">
        <v>204</v>
      </c>
      <c r="CQ56" t="s">
        <v>205</v>
      </c>
      <c r="CR56" t="s">
        <v>206</v>
      </c>
    </row>
    <row r="57" spans="1:96">
      <c r="A57">
        <v>15</v>
      </c>
      <c r="B57" s="3">
        <v>0.55901620370370375</v>
      </c>
      <c r="C57" s="1">
        <v>45176</v>
      </c>
      <c r="D57" t="s">
        <v>196</v>
      </c>
      <c r="E57" t="s">
        <v>197</v>
      </c>
      <c r="G57">
        <v>15</v>
      </c>
      <c r="J57">
        <v>-4.7302999999999998E-2</v>
      </c>
      <c r="K57">
        <v>2.9192339999999999</v>
      </c>
      <c r="L57">
        <v>-4.8082E-2</v>
      </c>
      <c r="M57">
        <v>-0.54359299999999999</v>
      </c>
      <c r="N57">
        <v>1.9171689999999999</v>
      </c>
      <c r="O57">
        <v>1.931516</v>
      </c>
      <c r="P57">
        <v>2.9675310000000001</v>
      </c>
      <c r="Q57">
        <v>1.050362</v>
      </c>
      <c r="R57">
        <v>20.257273000000001</v>
      </c>
      <c r="S57">
        <v>20.106805999999999</v>
      </c>
      <c r="T57">
        <v>31.122751000000001</v>
      </c>
      <c r="U57">
        <v>0.44178600000000001</v>
      </c>
      <c r="V57" t="s">
        <v>1418</v>
      </c>
      <c r="W57">
        <v>0</v>
      </c>
      <c r="X57">
        <v>0</v>
      </c>
      <c r="Y57">
        <v>0</v>
      </c>
      <c r="Z57">
        <v>1.2577769999999999</v>
      </c>
      <c r="AA57">
        <v>1.2000770000000001</v>
      </c>
      <c r="AB57">
        <v>-4.8079999999999998E-2</v>
      </c>
      <c r="AC57">
        <v>0.5</v>
      </c>
      <c r="AD57">
        <v>0.8</v>
      </c>
      <c r="AE57">
        <v>-7.9541909999999998</v>
      </c>
      <c r="AF57">
        <v>35.82</v>
      </c>
      <c r="AG57">
        <v>36.090000000000003</v>
      </c>
      <c r="AH57">
        <v>34.03</v>
      </c>
      <c r="AI57">
        <v>23.85</v>
      </c>
      <c r="AJ57">
        <v>95.35</v>
      </c>
      <c r="AK57">
        <v>156.4</v>
      </c>
      <c r="AL57">
        <v>-22.6</v>
      </c>
      <c r="AM57">
        <v>114.4</v>
      </c>
      <c r="AN57">
        <v>414</v>
      </c>
      <c r="AO57">
        <v>3.9279999999999999</v>
      </c>
      <c r="AP57" s="3">
        <v>0.55533564814814818</v>
      </c>
      <c r="AQ57" s="1">
        <v>45176</v>
      </c>
      <c r="AR57">
        <v>-0.43</v>
      </c>
      <c r="AS57">
        <v>-1E-3</v>
      </c>
      <c r="AT57">
        <v>-2E-3</v>
      </c>
      <c r="AU57">
        <v>-9999</v>
      </c>
      <c r="AV57">
        <v>1.0620000000000001</v>
      </c>
      <c r="AW57">
        <v>2.6309999999999998</v>
      </c>
      <c r="AX57">
        <v>-9999</v>
      </c>
      <c r="AY57">
        <v>1</v>
      </c>
      <c r="AZ57">
        <v>150</v>
      </c>
      <c r="BA57">
        <v>5.0000000000000001E-3</v>
      </c>
      <c r="BB57">
        <v>2</v>
      </c>
      <c r="BC57">
        <v>0</v>
      </c>
      <c r="BD57" t="s">
        <v>200</v>
      </c>
      <c r="BE57">
        <v>7000</v>
      </c>
      <c r="BF57">
        <v>500</v>
      </c>
      <c r="BG57">
        <v>5</v>
      </c>
      <c r="BH57">
        <v>2</v>
      </c>
      <c r="BI57">
        <v>300</v>
      </c>
      <c r="BJ57">
        <v>300</v>
      </c>
      <c r="BK57">
        <v>300</v>
      </c>
      <c r="BL57">
        <v>1.180887</v>
      </c>
      <c r="BM57">
        <v>25</v>
      </c>
      <c r="BN57">
        <v>-2.7498999999999999E-2</v>
      </c>
      <c r="BO57">
        <v>1.170874</v>
      </c>
      <c r="BP57">
        <v>1.1606350000000001</v>
      </c>
      <c r="BQ57">
        <v>1.0239E-2</v>
      </c>
      <c r="BR57">
        <v>2.4023850000000002</v>
      </c>
      <c r="BS57">
        <v>2.4688840000000001</v>
      </c>
      <c r="BT57">
        <v>1.588346</v>
      </c>
      <c r="BU57">
        <v>0.56094999999999995</v>
      </c>
      <c r="BV57">
        <v>0.190969</v>
      </c>
      <c r="BW57">
        <v>-0.12611700000000001</v>
      </c>
      <c r="BX57">
        <v>0.19311400000000001</v>
      </c>
      <c r="BY57">
        <v>0.47406999999999999</v>
      </c>
      <c r="BZ57">
        <v>1.2577769999999999</v>
      </c>
      <c r="CA57">
        <v>3.5500000000000001E-4</v>
      </c>
      <c r="CB57">
        <v>2.3486280000000002</v>
      </c>
      <c r="CC57">
        <v>-5.1E-5</v>
      </c>
      <c r="CD57">
        <v>1</v>
      </c>
      <c r="CE57">
        <v>2.4109430000000001</v>
      </c>
      <c r="CF57">
        <v>-5.7000000000000003E-5</v>
      </c>
      <c r="CG57">
        <v>1</v>
      </c>
      <c r="CH57">
        <v>0.60051900000000002</v>
      </c>
      <c r="CI57">
        <v>0.60216099999999995</v>
      </c>
      <c r="CJ57">
        <v>0.107265</v>
      </c>
      <c r="CK57">
        <v>0</v>
      </c>
      <c r="CL57" t="s">
        <v>1418</v>
      </c>
      <c r="CM57" t="s">
        <v>201</v>
      </c>
      <c r="CN57" t="s">
        <v>202</v>
      </c>
      <c r="CO57" t="s">
        <v>203</v>
      </c>
      <c r="CP57" t="s">
        <v>204</v>
      </c>
      <c r="CQ57" t="s">
        <v>205</v>
      </c>
      <c r="CR57" t="s">
        <v>206</v>
      </c>
    </row>
    <row r="58" spans="1:96">
      <c r="A58">
        <v>16</v>
      </c>
      <c r="B58" s="3">
        <v>0.55915509259259266</v>
      </c>
      <c r="C58" s="1">
        <v>45176</v>
      </c>
      <c r="D58" t="s">
        <v>196</v>
      </c>
      <c r="E58" t="s">
        <v>197</v>
      </c>
      <c r="G58">
        <v>16</v>
      </c>
      <c r="J58">
        <v>1.4448000000000001E-2</v>
      </c>
      <c r="K58">
        <v>2.9189889999999998</v>
      </c>
      <c r="L58">
        <v>1.4376999999999999E-2</v>
      </c>
      <c r="M58">
        <v>0.66116900000000001</v>
      </c>
      <c r="N58">
        <v>1.9108769999999999</v>
      </c>
      <c r="O58">
        <v>1.8934219999999999</v>
      </c>
      <c r="P58">
        <v>6.1113200000000001</v>
      </c>
      <c r="Q58">
        <v>4.2004440000000001</v>
      </c>
      <c r="R58">
        <v>19.857914000000001</v>
      </c>
      <c r="S58">
        <v>20.040972</v>
      </c>
      <c r="T58">
        <v>64.094559000000004</v>
      </c>
      <c r="U58">
        <v>0.44178600000000001</v>
      </c>
      <c r="V58" t="s">
        <v>1419</v>
      </c>
      <c r="W58">
        <v>0</v>
      </c>
      <c r="X58">
        <v>0</v>
      </c>
      <c r="Y58">
        <v>0</v>
      </c>
      <c r="Z58">
        <v>83.538291999999998</v>
      </c>
      <c r="AA58">
        <v>134.47773699999999</v>
      </c>
      <c r="AB58">
        <v>0.37879499999999999</v>
      </c>
      <c r="AC58">
        <v>0.5</v>
      </c>
      <c r="AD58">
        <v>0.8</v>
      </c>
      <c r="AE58">
        <v>231.71310399999999</v>
      </c>
      <c r="AF58">
        <v>35.659999999999997</v>
      </c>
      <c r="AG58">
        <v>35.33</v>
      </c>
      <c r="AH58">
        <v>34.049999999999997</v>
      </c>
      <c r="AI58">
        <v>36.43</v>
      </c>
      <c r="AJ58">
        <v>95.35</v>
      </c>
      <c r="AK58">
        <v>156.4</v>
      </c>
      <c r="AL58">
        <v>157.30000000000001</v>
      </c>
      <c r="AM58">
        <v>-0.6</v>
      </c>
      <c r="AN58">
        <v>1529</v>
      </c>
      <c r="AO58">
        <v>3.927</v>
      </c>
      <c r="AP58" s="3">
        <v>0.55533564814814818</v>
      </c>
      <c r="AQ58" s="1">
        <v>45176</v>
      </c>
      <c r="AR58">
        <v>-0.43</v>
      </c>
      <c r="AS58">
        <v>1E-3</v>
      </c>
      <c r="AT58">
        <v>-2E-3</v>
      </c>
      <c r="AU58">
        <v>2E-3</v>
      </c>
      <c r="AV58">
        <v>-0.89600000000000002</v>
      </c>
      <c r="AW58">
        <v>-2.4119999999999999</v>
      </c>
      <c r="AX58">
        <v>-9.9979999999999993</v>
      </c>
      <c r="AY58">
        <v>1</v>
      </c>
      <c r="AZ58">
        <v>150</v>
      </c>
      <c r="BA58">
        <v>5.0000000000000001E-3</v>
      </c>
      <c r="BB58">
        <v>2</v>
      </c>
      <c r="BC58">
        <v>0</v>
      </c>
      <c r="BD58" t="s">
        <v>200</v>
      </c>
      <c r="BE58">
        <v>7000</v>
      </c>
      <c r="BF58">
        <v>500</v>
      </c>
      <c r="BG58">
        <v>5</v>
      </c>
      <c r="BH58">
        <v>2</v>
      </c>
      <c r="BI58">
        <v>300</v>
      </c>
      <c r="BJ58">
        <v>300</v>
      </c>
      <c r="BK58">
        <v>300</v>
      </c>
      <c r="BL58">
        <v>124.185204</v>
      </c>
      <c r="BM58">
        <v>25</v>
      </c>
      <c r="BN58">
        <v>-6.9674019999999999</v>
      </c>
      <c r="BO58">
        <v>123.274323</v>
      </c>
      <c r="BP58">
        <v>124.484337</v>
      </c>
      <c r="BQ58">
        <v>-1.2100139999999999</v>
      </c>
      <c r="BR58">
        <v>2.401386</v>
      </c>
      <c r="BS58">
        <v>2.4686460000000001</v>
      </c>
      <c r="BT58">
        <v>1.588109</v>
      </c>
      <c r="BU58">
        <v>1.001649</v>
      </c>
      <c r="BV58">
        <v>0.19078500000000001</v>
      </c>
      <c r="BW58">
        <v>3.1019000000000001E-2</v>
      </c>
      <c r="BX58">
        <v>0.194276</v>
      </c>
      <c r="BY58">
        <v>1.463552</v>
      </c>
      <c r="BZ58">
        <v>83.538291999999998</v>
      </c>
      <c r="CA58">
        <v>3.39E-4</v>
      </c>
      <c r="CB58">
        <v>2.3486280000000002</v>
      </c>
      <c r="CC58">
        <v>-5.1E-5</v>
      </c>
      <c r="CD58">
        <v>1</v>
      </c>
      <c r="CE58">
        <v>2.4109430000000001</v>
      </c>
      <c r="CF58">
        <v>-5.7000000000000003E-5</v>
      </c>
      <c r="CG58">
        <v>1</v>
      </c>
      <c r="CH58">
        <v>0.60051900000000002</v>
      </c>
      <c r="CI58">
        <v>0.60216099999999995</v>
      </c>
      <c r="CJ58">
        <v>0.107265</v>
      </c>
      <c r="CK58">
        <v>0</v>
      </c>
      <c r="CL58" t="s">
        <v>1419</v>
      </c>
      <c r="CM58" t="s">
        <v>201</v>
      </c>
      <c r="CN58" t="s">
        <v>202</v>
      </c>
      <c r="CO58" t="s">
        <v>203</v>
      </c>
      <c r="CP58" t="s">
        <v>204</v>
      </c>
      <c r="CQ58" t="s">
        <v>205</v>
      </c>
      <c r="CR58" t="s">
        <v>206</v>
      </c>
    </row>
    <row r="59" spans="1:96">
      <c r="A59">
        <v>17</v>
      </c>
      <c r="B59" s="3">
        <v>0.55937500000000007</v>
      </c>
      <c r="C59" s="1">
        <v>45176</v>
      </c>
      <c r="D59" t="s">
        <v>196</v>
      </c>
      <c r="E59" t="s">
        <v>197</v>
      </c>
      <c r="G59">
        <v>17</v>
      </c>
      <c r="J59">
        <v>1.0322E-2</v>
      </c>
      <c r="K59">
        <v>2.9173979999999999</v>
      </c>
      <c r="L59">
        <v>1.0286E-2</v>
      </c>
      <c r="M59">
        <v>0.404422</v>
      </c>
      <c r="N59">
        <v>1.989417</v>
      </c>
      <c r="O59">
        <v>1.9787349999999999</v>
      </c>
      <c r="P59">
        <v>5.5895640000000002</v>
      </c>
      <c r="Q59">
        <v>3.6001479999999999</v>
      </c>
      <c r="R59">
        <v>20.751791000000001</v>
      </c>
      <c r="S59">
        <v>20.863810999999998</v>
      </c>
      <c r="T59">
        <v>58.620007000000001</v>
      </c>
      <c r="U59">
        <v>0.44178600000000001</v>
      </c>
      <c r="V59" t="s">
        <v>1420</v>
      </c>
      <c r="W59">
        <v>0</v>
      </c>
      <c r="X59">
        <v>0</v>
      </c>
      <c r="Y59">
        <v>0</v>
      </c>
      <c r="Z59">
        <v>101.632835</v>
      </c>
      <c r="AA59">
        <v>262.61871300000001</v>
      </c>
      <c r="AB59">
        <v>0.61300200000000005</v>
      </c>
      <c r="AC59">
        <v>0.5</v>
      </c>
      <c r="AD59">
        <v>0.8</v>
      </c>
      <c r="AE59">
        <v>80.228301999999999</v>
      </c>
      <c r="AF59">
        <v>37.07</v>
      </c>
      <c r="AG59">
        <v>36.869999999999997</v>
      </c>
      <c r="AH59">
        <v>34.08</v>
      </c>
      <c r="AI59">
        <v>34.81</v>
      </c>
      <c r="AJ59">
        <v>95.35</v>
      </c>
      <c r="AK59">
        <v>156.19999999999999</v>
      </c>
      <c r="AL59">
        <v>157.5</v>
      </c>
      <c r="AM59">
        <v>-0.8</v>
      </c>
      <c r="AN59">
        <v>327</v>
      </c>
      <c r="AO59">
        <v>3.9239999999999999</v>
      </c>
      <c r="AP59" s="3">
        <v>0.55533564814814818</v>
      </c>
      <c r="AQ59" s="1">
        <v>45176</v>
      </c>
      <c r="AR59">
        <v>-0.43</v>
      </c>
      <c r="AS59">
        <v>1E-3</v>
      </c>
      <c r="AT59">
        <v>0</v>
      </c>
      <c r="AU59">
        <v>1E-3</v>
      </c>
      <c r="AV59">
        <v>-0.151</v>
      </c>
      <c r="AW59">
        <v>0.72499999999999998</v>
      </c>
      <c r="AX59">
        <v>-12.87</v>
      </c>
      <c r="AY59">
        <v>1</v>
      </c>
      <c r="AZ59">
        <v>150</v>
      </c>
      <c r="BA59">
        <v>5.0000000000000001E-3</v>
      </c>
      <c r="BB59">
        <v>2</v>
      </c>
      <c r="BC59">
        <v>0</v>
      </c>
      <c r="BD59" t="s">
        <v>200</v>
      </c>
      <c r="BE59">
        <v>7000</v>
      </c>
      <c r="BF59">
        <v>500</v>
      </c>
      <c r="BG59">
        <v>5</v>
      </c>
      <c r="BH59">
        <v>2</v>
      </c>
      <c r="BI59">
        <v>300</v>
      </c>
      <c r="BJ59">
        <v>300</v>
      </c>
      <c r="BK59">
        <v>300</v>
      </c>
      <c r="BL59">
        <v>226.81260700000001</v>
      </c>
      <c r="BM59">
        <v>25</v>
      </c>
      <c r="BN59">
        <v>-25.661183999999999</v>
      </c>
      <c r="BO59">
        <v>216.925262</v>
      </c>
      <c r="BP59">
        <v>225.81268299999999</v>
      </c>
      <c r="BQ59">
        <v>-8.8874209999999998</v>
      </c>
      <c r="BR59">
        <v>2.4033950000000002</v>
      </c>
      <c r="BS59">
        <v>2.4706250000000001</v>
      </c>
      <c r="BT59">
        <v>1.5865739999999999</v>
      </c>
      <c r="BU59">
        <v>1.0022709999999999</v>
      </c>
      <c r="BV59">
        <v>0.190608</v>
      </c>
      <c r="BW59">
        <v>9.2790000000000008E-3</v>
      </c>
      <c r="BX59">
        <v>0.19608200000000001</v>
      </c>
      <c r="BY59">
        <v>0.39744699999999999</v>
      </c>
      <c r="BZ59">
        <v>101.632835</v>
      </c>
      <c r="CA59">
        <v>3.5399999999999999E-4</v>
      </c>
      <c r="CB59">
        <v>2.3486280000000002</v>
      </c>
      <c r="CC59">
        <v>-5.1E-5</v>
      </c>
      <c r="CD59">
        <v>1</v>
      </c>
      <c r="CE59">
        <v>2.4109430000000001</v>
      </c>
      <c r="CF59">
        <v>-5.7000000000000003E-5</v>
      </c>
      <c r="CG59">
        <v>1</v>
      </c>
      <c r="CH59">
        <v>0.60051900000000002</v>
      </c>
      <c r="CI59">
        <v>0.60216099999999995</v>
      </c>
      <c r="CJ59">
        <v>0.107265</v>
      </c>
      <c r="CK59">
        <v>0</v>
      </c>
      <c r="CL59" t="s">
        <v>1420</v>
      </c>
      <c r="CM59" t="s">
        <v>201</v>
      </c>
      <c r="CN59" t="s">
        <v>202</v>
      </c>
      <c r="CO59" t="s">
        <v>203</v>
      </c>
      <c r="CP59" t="s">
        <v>204</v>
      </c>
      <c r="CQ59" t="s">
        <v>205</v>
      </c>
      <c r="CR59" t="s">
        <v>206</v>
      </c>
    </row>
    <row r="60" spans="1:96">
      <c r="A60">
        <v>18</v>
      </c>
      <c r="B60" s="3">
        <v>0.55956018518518513</v>
      </c>
      <c r="C60" s="1">
        <v>45176</v>
      </c>
      <c r="D60" t="s">
        <v>196</v>
      </c>
      <c r="E60" t="s">
        <v>197</v>
      </c>
      <c r="G60">
        <v>18</v>
      </c>
      <c r="J60">
        <v>1.1287999999999999E-2</v>
      </c>
      <c r="K60">
        <v>2.9206919999999998</v>
      </c>
      <c r="L60">
        <v>1.1244000000000001E-2</v>
      </c>
      <c r="M60">
        <v>0.55202799999999996</v>
      </c>
      <c r="N60">
        <v>1.9536849999999999</v>
      </c>
      <c r="O60">
        <v>1.9391370000000001</v>
      </c>
      <c r="P60">
        <v>6.4291489999999998</v>
      </c>
      <c r="Q60">
        <v>4.4754649999999998</v>
      </c>
      <c r="R60">
        <v>20.336832000000001</v>
      </c>
      <c r="S60">
        <v>20.489398999999999</v>
      </c>
      <c r="T60">
        <v>67.426131999999996</v>
      </c>
      <c r="U60">
        <v>0.44178600000000001</v>
      </c>
      <c r="V60" t="s">
        <v>1421</v>
      </c>
      <c r="W60">
        <v>0</v>
      </c>
      <c r="X60">
        <v>0</v>
      </c>
      <c r="Y60">
        <v>0</v>
      </c>
      <c r="Z60">
        <v>86.812377999999995</v>
      </c>
      <c r="AA60">
        <v>116.66025500000001</v>
      </c>
      <c r="AB60">
        <v>0.255853</v>
      </c>
      <c r="AC60">
        <v>0.5</v>
      </c>
      <c r="AD60">
        <v>0.8</v>
      </c>
      <c r="AE60">
        <v>167.34051500000001</v>
      </c>
      <c r="AF60">
        <v>36.35</v>
      </c>
      <c r="AG60">
        <v>36.08</v>
      </c>
      <c r="AH60">
        <v>34.11</v>
      </c>
      <c r="AI60">
        <v>37.36</v>
      </c>
      <c r="AJ60">
        <v>95.35</v>
      </c>
      <c r="AK60">
        <v>156.6</v>
      </c>
      <c r="AL60">
        <v>157.30000000000001</v>
      </c>
      <c r="AM60">
        <v>-0.5</v>
      </c>
      <c r="AN60">
        <v>1635</v>
      </c>
      <c r="AO60">
        <v>3.927</v>
      </c>
      <c r="AP60" s="3">
        <v>0.55533564814814818</v>
      </c>
      <c r="AQ60" s="1">
        <v>45176</v>
      </c>
      <c r="AR60">
        <v>-0.43</v>
      </c>
      <c r="AS60">
        <v>1E-3</v>
      </c>
      <c r="AT60">
        <v>2E-3</v>
      </c>
      <c r="AU60">
        <v>-1E-3</v>
      </c>
      <c r="AV60">
        <v>7.3150000000000004</v>
      </c>
      <c r="AW60">
        <v>-0.71599999999999997</v>
      </c>
      <c r="AX60">
        <v>-7.6999999999999999E-2</v>
      </c>
      <c r="AY60">
        <v>1</v>
      </c>
      <c r="AZ60">
        <v>150</v>
      </c>
      <c r="BA60">
        <v>5.0000000000000001E-3</v>
      </c>
      <c r="BB60">
        <v>2</v>
      </c>
      <c r="BC60">
        <v>0</v>
      </c>
      <c r="BD60" t="s">
        <v>200</v>
      </c>
      <c r="BE60">
        <v>7000</v>
      </c>
      <c r="BF60">
        <v>500</v>
      </c>
      <c r="BG60">
        <v>5</v>
      </c>
      <c r="BH60">
        <v>2</v>
      </c>
      <c r="BI60">
        <v>300</v>
      </c>
      <c r="BJ60">
        <v>300</v>
      </c>
      <c r="BK60">
        <v>300</v>
      </c>
      <c r="BL60">
        <v>110.961197</v>
      </c>
      <c r="BM60">
        <v>25</v>
      </c>
      <c r="BN60">
        <v>-3.9489190000000001</v>
      </c>
      <c r="BO60">
        <v>110.161186</v>
      </c>
      <c r="BP60">
        <v>110.996292</v>
      </c>
      <c r="BQ60">
        <v>-0.83510600000000001</v>
      </c>
      <c r="BR60">
        <v>2.4023530000000002</v>
      </c>
      <c r="BS60">
        <v>2.4696060000000002</v>
      </c>
      <c r="BT60">
        <v>1.5897589999999999</v>
      </c>
      <c r="BU60">
        <v>1.0016099999999999</v>
      </c>
      <c r="BV60">
        <v>0.19039400000000001</v>
      </c>
      <c r="BW60">
        <v>4.2796000000000001E-2</v>
      </c>
      <c r="BX60">
        <v>0.19762299999999999</v>
      </c>
      <c r="BY60">
        <v>1.557423</v>
      </c>
      <c r="BZ60">
        <v>86.812377999999995</v>
      </c>
      <c r="CA60">
        <v>3.5E-4</v>
      </c>
      <c r="CB60">
        <v>2.3486280000000002</v>
      </c>
      <c r="CC60">
        <v>-5.1E-5</v>
      </c>
      <c r="CD60">
        <v>1</v>
      </c>
      <c r="CE60">
        <v>2.4109430000000001</v>
      </c>
      <c r="CF60">
        <v>-5.7000000000000003E-5</v>
      </c>
      <c r="CG60">
        <v>1</v>
      </c>
      <c r="CH60">
        <v>0.60051900000000002</v>
      </c>
      <c r="CI60">
        <v>0.60216099999999995</v>
      </c>
      <c r="CJ60">
        <v>0.107265</v>
      </c>
      <c r="CK60">
        <v>0</v>
      </c>
      <c r="CL60" t="s">
        <v>1421</v>
      </c>
      <c r="CM60" t="s">
        <v>201</v>
      </c>
      <c r="CN60" t="s">
        <v>202</v>
      </c>
      <c r="CO60" t="s">
        <v>203</v>
      </c>
      <c r="CP60" t="s">
        <v>204</v>
      </c>
      <c r="CQ60" t="s">
        <v>205</v>
      </c>
      <c r="CR60" t="s">
        <v>206</v>
      </c>
    </row>
    <row r="61" spans="1:96">
      <c r="A61">
        <v>19</v>
      </c>
      <c r="B61" s="3">
        <v>0.55966435185185182</v>
      </c>
      <c r="C61" s="1">
        <v>45176</v>
      </c>
      <c r="D61" t="s">
        <v>196</v>
      </c>
      <c r="E61" t="s">
        <v>197</v>
      </c>
      <c r="G61">
        <v>19</v>
      </c>
      <c r="J61">
        <v>-3.3501999999999997E-2</v>
      </c>
      <c r="K61">
        <v>2.918774</v>
      </c>
      <c r="L61">
        <v>-3.3890999999999998E-2</v>
      </c>
      <c r="M61">
        <v>-0.79500099999999996</v>
      </c>
      <c r="N61">
        <v>1.9784809999999999</v>
      </c>
      <c r="O61">
        <v>1.999457</v>
      </c>
      <c r="P61">
        <v>4.1434389999999999</v>
      </c>
      <c r="Q61">
        <v>2.1649590000000001</v>
      </c>
      <c r="R61">
        <v>20.96884</v>
      </c>
      <c r="S61">
        <v>20.748847999999999</v>
      </c>
      <c r="T61">
        <v>43.453341999999999</v>
      </c>
      <c r="U61">
        <v>0.44178600000000001</v>
      </c>
      <c r="V61" t="s">
        <v>1422</v>
      </c>
      <c r="W61">
        <v>0</v>
      </c>
      <c r="X61">
        <v>0</v>
      </c>
      <c r="Y61">
        <v>0</v>
      </c>
      <c r="Z61">
        <v>0.42593500000000001</v>
      </c>
      <c r="AA61">
        <v>1.4415979999999999</v>
      </c>
      <c r="AB61">
        <v>0.70454000000000006</v>
      </c>
      <c r="AC61">
        <v>0.5</v>
      </c>
      <c r="AD61">
        <v>0.8</v>
      </c>
      <c r="AE61">
        <v>72.814216999999999</v>
      </c>
      <c r="AF61">
        <v>36.770000000000003</v>
      </c>
      <c r="AG61">
        <v>37.159999999999997</v>
      </c>
      <c r="AH61">
        <v>34.130000000000003</v>
      </c>
      <c r="AI61">
        <v>29.52</v>
      </c>
      <c r="AJ61">
        <v>95.35</v>
      </c>
      <c r="AK61">
        <v>156.30000000000001</v>
      </c>
      <c r="AL61">
        <v>-21.9</v>
      </c>
      <c r="AM61">
        <v>114</v>
      </c>
      <c r="AN61">
        <v>258</v>
      </c>
      <c r="AO61">
        <v>3.927</v>
      </c>
      <c r="AP61" s="3">
        <v>0.55533564814814818</v>
      </c>
      <c r="AQ61" s="1">
        <v>45176</v>
      </c>
      <c r="AR61">
        <v>-0.43</v>
      </c>
      <c r="AS61">
        <v>-2E-3</v>
      </c>
      <c r="AT61">
        <v>-1E-3</v>
      </c>
      <c r="AU61">
        <v>-9999</v>
      </c>
      <c r="AV61">
        <v>-0.25800000000000001</v>
      </c>
      <c r="AW61">
        <v>-0.316</v>
      </c>
      <c r="AX61">
        <v>-9999</v>
      </c>
      <c r="AY61">
        <v>1</v>
      </c>
      <c r="AZ61">
        <v>150</v>
      </c>
      <c r="BA61">
        <v>5.0000000000000001E-3</v>
      </c>
      <c r="BB61">
        <v>2</v>
      </c>
      <c r="BC61">
        <v>0</v>
      </c>
      <c r="BD61" t="s">
        <v>200</v>
      </c>
      <c r="BE61">
        <v>7000</v>
      </c>
      <c r="BF61">
        <v>500</v>
      </c>
      <c r="BG61">
        <v>5</v>
      </c>
      <c r="BH61">
        <v>2</v>
      </c>
      <c r="BI61">
        <v>300</v>
      </c>
      <c r="BJ61">
        <v>300</v>
      </c>
      <c r="BK61">
        <v>300</v>
      </c>
      <c r="BL61">
        <v>1.4415979999999999</v>
      </c>
      <c r="BM61">
        <v>25</v>
      </c>
      <c r="BN61">
        <v>-5.5649999999999996E-3</v>
      </c>
      <c r="BO61">
        <v>0.395179</v>
      </c>
      <c r="BP61">
        <v>1.433616</v>
      </c>
      <c r="BQ61">
        <v>-1.0384370000000001</v>
      </c>
      <c r="BR61">
        <v>2.4037549999999999</v>
      </c>
      <c r="BS61">
        <v>2.470189</v>
      </c>
      <c r="BT61">
        <v>1.5879019999999999</v>
      </c>
      <c r="BU61">
        <v>0.56212799999999996</v>
      </c>
      <c r="BV61">
        <v>0.19024099999999999</v>
      </c>
      <c r="BW61">
        <v>-5.8902000000000003E-2</v>
      </c>
      <c r="BX61">
        <v>0.198488</v>
      </c>
      <c r="BY61">
        <v>0.33641300000000002</v>
      </c>
      <c r="BZ61">
        <v>0.42593500000000001</v>
      </c>
      <c r="CA61">
        <v>3.3799999999999998E-4</v>
      </c>
      <c r="CB61">
        <v>2.3486280000000002</v>
      </c>
      <c r="CC61">
        <v>-5.1E-5</v>
      </c>
      <c r="CD61">
        <v>1</v>
      </c>
      <c r="CE61">
        <v>2.4109430000000001</v>
      </c>
      <c r="CF61">
        <v>-5.7000000000000003E-5</v>
      </c>
      <c r="CG61">
        <v>1</v>
      </c>
      <c r="CH61">
        <v>0.60051900000000002</v>
      </c>
      <c r="CI61">
        <v>0.60216099999999995</v>
      </c>
      <c r="CJ61">
        <v>0.107265</v>
      </c>
      <c r="CK61">
        <v>0</v>
      </c>
      <c r="CL61" t="s">
        <v>1422</v>
      </c>
      <c r="CM61" t="s">
        <v>201</v>
      </c>
      <c r="CN61" t="s">
        <v>202</v>
      </c>
      <c r="CO61" t="s">
        <v>203</v>
      </c>
      <c r="CP61" t="s">
        <v>204</v>
      </c>
      <c r="CQ61" t="s">
        <v>205</v>
      </c>
      <c r="CR61" t="s">
        <v>206</v>
      </c>
    </row>
    <row r="62" spans="1:96">
      <c r="A62">
        <v>20</v>
      </c>
      <c r="B62" s="3">
        <v>0.55974537037037042</v>
      </c>
      <c r="C62" s="1">
        <v>45176</v>
      </c>
      <c r="D62" t="s">
        <v>196</v>
      </c>
      <c r="E62" t="s">
        <v>197</v>
      </c>
      <c r="G62">
        <v>20</v>
      </c>
      <c r="J62">
        <v>2.5890000000000002E-3</v>
      </c>
      <c r="K62">
        <v>2.919416</v>
      </c>
      <c r="L62">
        <v>2.5869999999999999E-3</v>
      </c>
      <c r="M62">
        <v>0.14708599999999999</v>
      </c>
      <c r="N62">
        <v>1.97136</v>
      </c>
      <c r="O62">
        <v>1.9674799999999999</v>
      </c>
      <c r="P62">
        <v>7.1340079999999997</v>
      </c>
      <c r="Q62">
        <v>5.1626479999999999</v>
      </c>
      <c r="R62">
        <v>20.632835</v>
      </c>
      <c r="S62">
        <v>20.673518999999999</v>
      </c>
      <c r="T62">
        <v>74.813873000000001</v>
      </c>
      <c r="U62">
        <v>0.44178600000000001</v>
      </c>
      <c r="V62" t="s">
        <v>1423</v>
      </c>
      <c r="W62">
        <v>0</v>
      </c>
      <c r="X62">
        <v>0</v>
      </c>
      <c r="Y62">
        <v>0</v>
      </c>
      <c r="Z62">
        <v>77.232596999999998</v>
      </c>
      <c r="AA62">
        <v>93.469109000000003</v>
      </c>
      <c r="AB62">
        <v>0.17371</v>
      </c>
      <c r="AC62">
        <v>0.5</v>
      </c>
      <c r="AD62">
        <v>0.8</v>
      </c>
      <c r="AE62">
        <v>120.241653</v>
      </c>
      <c r="AF62">
        <v>36.6</v>
      </c>
      <c r="AG62">
        <v>36.53</v>
      </c>
      <c r="AH62">
        <v>34.14</v>
      </c>
      <c r="AI62">
        <v>39.28</v>
      </c>
      <c r="AJ62">
        <v>95.36</v>
      </c>
      <c r="AK62">
        <v>156.4</v>
      </c>
      <c r="AL62">
        <v>157.19999999999999</v>
      </c>
      <c r="AM62">
        <v>-0.5</v>
      </c>
      <c r="AN62">
        <v>1730</v>
      </c>
      <c r="AO62">
        <v>3.923</v>
      </c>
      <c r="AP62" s="3">
        <v>0.55533564814814818</v>
      </c>
      <c r="AQ62" s="1">
        <v>45176</v>
      </c>
      <c r="AR62">
        <v>-0.43</v>
      </c>
      <c r="AS62">
        <v>-1E-3</v>
      </c>
      <c r="AT62">
        <v>-1E-3</v>
      </c>
      <c r="AU62">
        <v>-9999</v>
      </c>
      <c r="AV62">
        <v>-0.21299999999999999</v>
      </c>
      <c r="AW62">
        <v>-0.40400000000000003</v>
      </c>
      <c r="AX62">
        <v>-9999</v>
      </c>
      <c r="AY62">
        <v>1</v>
      </c>
      <c r="AZ62">
        <v>150</v>
      </c>
      <c r="BA62">
        <v>5.0000000000000001E-3</v>
      </c>
      <c r="BB62">
        <v>2</v>
      </c>
      <c r="BC62">
        <v>0</v>
      </c>
      <c r="BD62" t="s">
        <v>200</v>
      </c>
      <c r="BE62">
        <v>7000</v>
      </c>
      <c r="BF62">
        <v>500</v>
      </c>
      <c r="BG62">
        <v>5</v>
      </c>
      <c r="BH62">
        <v>2</v>
      </c>
      <c r="BI62">
        <v>300</v>
      </c>
      <c r="BJ62">
        <v>300</v>
      </c>
      <c r="BK62">
        <v>300</v>
      </c>
      <c r="BL62">
        <v>92.138167999999993</v>
      </c>
      <c r="BM62">
        <v>25</v>
      </c>
      <c r="BN62">
        <v>-0.89151599999999998</v>
      </c>
      <c r="BO62">
        <v>92.765450000000001</v>
      </c>
      <c r="BP62">
        <v>92.190398999999999</v>
      </c>
      <c r="BQ62">
        <v>0.57504999999999995</v>
      </c>
      <c r="BR62">
        <v>2.4029349999999998</v>
      </c>
      <c r="BS62">
        <v>2.469954</v>
      </c>
      <c r="BT62">
        <v>1.588522</v>
      </c>
      <c r="BU62">
        <v>1.001344</v>
      </c>
      <c r="BV62">
        <v>0.19012000000000001</v>
      </c>
      <c r="BW62">
        <v>6.8586999999999995E-2</v>
      </c>
      <c r="BX62">
        <v>0.19908500000000001</v>
      </c>
      <c r="BY62">
        <v>1.6420060000000001</v>
      </c>
      <c r="BZ62">
        <v>77.232596999999998</v>
      </c>
      <c r="CA62">
        <v>3.4000000000000002E-4</v>
      </c>
      <c r="CB62">
        <v>2.3486280000000002</v>
      </c>
      <c r="CC62">
        <v>-5.1E-5</v>
      </c>
      <c r="CD62">
        <v>1</v>
      </c>
      <c r="CE62">
        <v>2.4109430000000001</v>
      </c>
      <c r="CF62">
        <v>-5.7000000000000003E-5</v>
      </c>
      <c r="CG62">
        <v>1</v>
      </c>
      <c r="CH62">
        <v>0.60051900000000002</v>
      </c>
      <c r="CI62">
        <v>0.60216099999999995</v>
      </c>
      <c r="CJ62">
        <v>0.107265</v>
      </c>
      <c r="CK62">
        <v>0</v>
      </c>
      <c r="CL62" t="s">
        <v>1423</v>
      </c>
      <c r="CM62" t="s">
        <v>201</v>
      </c>
      <c r="CN62" t="s">
        <v>202</v>
      </c>
      <c r="CO62" t="s">
        <v>203</v>
      </c>
      <c r="CP62" t="s">
        <v>204</v>
      </c>
      <c r="CQ62" t="s">
        <v>205</v>
      </c>
      <c r="CR62" t="s">
        <v>206</v>
      </c>
    </row>
    <row r="63" spans="1:96">
      <c r="A63">
        <v>21</v>
      </c>
      <c r="B63" s="3">
        <v>0.56253472222222223</v>
      </c>
      <c r="C63" s="1">
        <v>45176</v>
      </c>
      <c r="D63" t="s">
        <v>196</v>
      </c>
      <c r="E63" t="s">
        <v>197</v>
      </c>
      <c r="G63">
        <v>21</v>
      </c>
      <c r="J63">
        <v>2.0669999999999998E-3</v>
      </c>
      <c r="K63">
        <v>2.918949</v>
      </c>
      <c r="L63">
        <v>2.065E-3</v>
      </c>
      <c r="M63">
        <v>9.7647999999999999E-2</v>
      </c>
      <c r="N63">
        <v>1.8417749999999999</v>
      </c>
      <c r="O63">
        <v>1.839194</v>
      </c>
      <c r="P63">
        <v>6.1613619999999996</v>
      </c>
      <c r="Q63">
        <v>4.3195870000000003</v>
      </c>
      <c r="R63">
        <v>19.284983</v>
      </c>
      <c r="S63">
        <v>19.312038000000001</v>
      </c>
      <c r="T63">
        <v>64.605331000000007</v>
      </c>
      <c r="U63">
        <v>0.44178600000000001</v>
      </c>
      <c r="V63" t="s">
        <v>1424</v>
      </c>
      <c r="W63">
        <v>0</v>
      </c>
      <c r="X63">
        <v>0</v>
      </c>
      <c r="Y63">
        <v>0</v>
      </c>
      <c r="Z63">
        <v>75.047493000000003</v>
      </c>
      <c r="AA63">
        <v>91.103249000000005</v>
      </c>
      <c r="AB63">
        <v>0.176237</v>
      </c>
      <c r="AC63">
        <v>0.5</v>
      </c>
      <c r="AD63">
        <v>0.8</v>
      </c>
      <c r="AE63">
        <v>89.545287999999999</v>
      </c>
      <c r="AF63">
        <v>33.92</v>
      </c>
      <c r="AG63">
        <v>33.869999999999997</v>
      </c>
      <c r="AH63">
        <v>34.29</v>
      </c>
      <c r="AI63">
        <v>36.58</v>
      </c>
      <c r="AJ63">
        <v>95.37</v>
      </c>
      <c r="AK63">
        <v>156.4</v>
      </c>
      <c r="AL63">
        <v>157.5</v>
      </c>
      <c r="AM63">
        <v>-0.7</v>
      </c>
      <c r="AN63">
        <v>1270</v>
      </c>
      <c r="AO63">
        <v>3.9220000000000002</v>
      </c>
      <c r="AP63" s="3">
        <v>0.56246527777777777</v>
      </c>
      <c r="AQ63" s="1">
        <v>45176</v>
      </c>
      <c r="AR63">
        <v>-0.48</v>
      </c>
      <c r="AS63">
        <v>1E-3</v>
      </c>
      <c r="AT63">
        <v>3.0000000000000001E-3</v>
      </c>
      <c r="AU63">
        <v>-9999</v>
      </c>
      <c r="AV63">
        <v>1.7999999999999999E-2</v>
      </c>
      <c r="AW63">
        <v>0.224</v>
      </c>
      <c r="AX63">
        <v>-9999</v>
      </c>
      <c r="AY63">
        <v>1</v>
      </c>
      <c r="AZ63">
        <v>150</v>
      </c>
      <c r="BA63">
        <v>5.0000000000000001E-3</v>
      </c>
      <c r="BB63">
        <v>2</v>
      </c>
      <c r="BC63">
        <v>0</v>
      </c>
      <c r="BD63" t="s">
        <v>200</v>
      </c>
      <c r="BE63">
        <v>7000</v>
      </c>
      <c r="BF63">
        <v>500</v>
      </c>
      <c r="BG63">
        <v>5</v>
      </c>
      <c r="BH63">
        <v>2</v>
      </c>
      <c r="BI63">
        <v>300</v>
      </c>
      <c r="BJ63">
        <v>300</v>
      </c>
      <c r="BK63">
        <v>300</v>
      </c>
      <c r="BL63">
        <v>89.718459999999993</v>
      </c>
      <c r="BM63">
        <v>25</v>
      </c>
      <c r="BN63">
        <v>-0.92047900000000005</v>
      </c>
      <c r="BO63">
        <v>90.254906000000005</v>
      </c>
      <c r="BP63">
        <v>89.782996999999995</v>
      </c>
      <c r="BQ63">
        <v>0.47190900000000002</v>
      </c>
      <c r="BR63">
        <v>2.3994249999999999</v>
      </c>
      <c r="BS63">
        <v>2.4662169999999999</v>
      </c>
      <c r="BT63">
        <v>1.588071</v>
      </c>
      <c r="BU63">
        <v>1.0021439999999999</v>
      </c>
      <c r="BV63">
        <v>0.18903900000000001</v>
      </c>
      <c r="BW63">
        <v>2.9919999999999999E-2</v>
      </c>
      <c r="BX63">
        <v>0.22248599999999999</v>
      </c>
      <c r="BY63">
        <v>1.2338150000000001</v>
      </c>
      <c r="BZ63">
        <v>75.047493000000003</v>
      </c>
      <c r="CA63">
        <v>3.4699999999999998E-4</v>
      </c>
      <c r="CB63">
        <v>2.3486280000000002</v>
      </c>
      <c r="CC63">
        <v>-5.1E-5</v>
      </c>
      <c r="CD63">
        <v>1</v>
      </c>
      <c r="CE63">
        <v>2.4109430000000001</v>
      </c>
      <c r="CF63">
        <v>-5.7000000000000003E-5</v>
      </c>
      <c r="CG63">
        <v>1</v>
      </c>
      <c r="CH63">
        <v>0.60051900000000002</v>
      </c>
      <c r="CI63">
        <v>0.60216099999999995</v>
      </c>
      <c r="CJ63">
        <v>0.107265</v>
      </c>
      <c r="CK63">
        <v>0</v>
      </c>
      <c r="CL63" t="s">
        <v>1424</v>
      </c>
      <c r="CM63" t="s">
        <v>201</v>
      </c>
      <c r="CN63" t="s">
        <v>202</v>
      </c>
      <c r="CO63" t="s">
        <v>203</v>
      </c>
      <c r="CP63" t="s">
        <v>204</v>
      </c>
      <c r="CQ63" t="s">
        <v>205</v>
      </c>
      <c r="CR63" t="s">
        <v>206</v>
      </c>
    </row>
    <row r="64" spans="1:96">
      <c r="A64">
        <v>22</v>
      </c>
      <c r="B64" s="3">
        <v>0.5626620370370371</v>
      </c>
      <c r="C64" s="1">
        <v>45176</v>
      </c>
      <c r="D64" t="s">
        <v>196</v>
      </c>
      <c r="E64" t="s">
        <v>197</v>
      </c>
      <c r="G64">
        <v>22</v>
      </c>
      <c r="J64">
        <v>1.5277000000000001E-2</v>
      </c>
      <c r="K64">
        <v>2.9184960000000002</v>
      </c>
      <c r="L64">
        <v>1.5197E-2</v>
      </c>
      <c r="M64">
        <v>0.54418800000000001</v>
      </c>
      <c r="N64">
        <v>1.936499</v>
      </c>
      <c r="O64">
        <v>1.922129</v>
      </c>
      <c r="P64">
        <v>5.2232000000000003</v>
      </c>
      <c r="Q64">
        <v>3.2867009999999999</v>
      </c>
      <c r="R64">
        <v>20.155334</v>
      </c>
      <c r="S64">
        <v>20.306023</v>
      </c>
      <c r="T64">
        <v>54.770190999999997</v>
      </c>
      <c r="U64">
        <v>0.44178600000000001</v>
      </c>
      <c r="V64" t="s">
        <v>1425</v>
      </c>
      <c r="W64">
        <v>0</v>
      </c>
      <c r="X64">
        <v>0</v>
      </c>
      <c r="Y64">
        <v>0</v>
      </c>
      <c r="Z64">
        <v>101.165413</v>
      </c>
      <c r="AA64">
        <v>360.427368</v>
      </c>
      <c r="AB64">
        <v>0.71931800000000001</v>
      </c>
      <c r="AC64">
        <v>0.5</v>
      </c>
      <c r="AD64">
        <v>0.8</v>
      </c>
      <c r="AE64">
        <v>216.06954999999999</v>
      </c>
      <c r="AF64">
        <v>35.64</v>
      </c>
      <c r="AG64">
        <v>35.369999999999997</v>
      </c>
      <c r="AH64">
        <v>34.299999999999997</v>
      </c>
      <c r="AI64">
        <v>33.590000000000003</v>
      </c>
      <c r="AJ64">
        <v>95.37</v>
      </c>
      <c r="AK64">
        <v>156.30000000000001</v>
      </c>
      <c r="AL64">
        <v>157.4</v>
      </c>
      <c r="AM64">
        <v>-0.7</v>
      </c>
      <c r="AN64">
        <v>751</v>
      </c>
      <c r="AO64">
        <v>3.9220000000000002</v>
      </c>
      <c r="AP64" s="3">
        <v>0.56246527777777777</v>
      </c>
      <c r="AQ64" s="1">
        <v>45176</v>
      </c>
      <c r="AR64">
        <v>-0.48</v>
      </c>
      <c r="AS64">
        <v>1E-3</v>
      </c>
      <c r="AT64">
        <v>0</v>
      </c>
      <c r="AU64">
        <v>2E-3</v>
      </c>
      <c r="AV64">
        <v>-0.38300000000000001</v>
      </c>
      <c r="AW64">
        <v>-4.3810000000000002</v>
      </c>
      <c r="AX64">
        <v>-0.76800000000000002</v>
      </c>
      <c r="AY64">
        <v>1</v>
      </c>
      <c r="AZ64">
        <v>150</v>
      </c>
      <c r="BA64">
        <v>5.0000000000000001E-3</v>
      </c>
      <c r="BB64">
        <v>2</v>
      </c>
      <c r="BC64">
        <v>0</v>
      </c>
      <c r="BD64" t="s">
        <v>200</v>
      </c>
      <c r="BE64">
        <v>7000</v>
      </c>
      <c r="BF64">
        <v>500</v>
      </c>
      <c r="BG64">
        <v>5</v>
      </c>
      <c r="BH64">
        <v>2</v>
      </c>
      <c r="BI64">
        <v>300</v>
      </c>
      <c r="BJ64">
        <v>300</v>
      </c>
      <c r="BK64">
        <v>300</v>
      </c>
      <c r="BL64">
        <v>342.13113399999997</v>
      </c>
      <c r="BM64">
        <v>25</v>
      </c>
      <c r="BN64">
        <v>-12.546393</v>
      </c>
      <c r="BO64">
        <v>344.14492799999999</v>
      </c>
      <c r="BP64">
        <v>342.43197600000002</v>
      </c>
      <c r="BQ64">
        <v>1.712952</v>
      </c>
      <c r="BR64">
        <v>2.4013930000000001</v>
      </c>
      <c r="BS64">
        <v>2.4686360000000001</v>
      </c>
      <c r="BT64">
        <v>1.5876330000000001</v>
      </c>
      <c r="BU64">
        <v>1.0020659999999999</v>
      </c>
      <c r="BV64">
        <v>0.18893799999999999</v>
      </c>
      <c r="BW64">
        <v>-9.5239999999999995E-3</v>
      </c>
      <c r="BX64">
        <v>0.22339100000000001</v>
      </c>
      <c r="BY64">
        <v>0.77327000000000001</v>
      </c>
      <c r="BZ64">
        <v>101.165413</v>
      </c>
      <c r="CA64">
        <v>3.5100000000000002E-4</v>
      </c>
      <c r="CB64">
        <v>2.3486280000000002</v>
      </c>
      <c r="CC64">
        <v>-5.1E-5</v>
      </c>
      <c r="CD64">
        <v>1</v>
      </c>
      <c r="CE64">
        <v>2.4109430000000001</v>
      </c>
      <c r="CF64">
        <v>-5.7000000000000003E-5</v>
      </c>
      <c r="CG64">
        <v>1</v>
      </c>
      <c r="CH64">
        <v>0.60051900000000002</v>
      </c>
      <c r="CI64">
        <v>0.60216099999999995</v>
      </c>
      <c r="CJ64">
        <v>0.107265</v>
      </c>
      <c r="CK64">
        <v>0</v>
      </c>
      <c r="CL64" t="s">
        <v>1425</v>
      </c>
      <c r="CM64" t="s">
        <v>201</v>
      </c>
      <c r="CN64" t="s">
        <v>202</v>
      </c>
      <c r="CO64" t="s">
        <v>203</v>
      </c>
      <c r="CP64" t="s">
        <v>204</v>
      </c>
      <c r="CQ64" t="s">
        <v>205</v>
      </c>
      <c r="CR64" t="s">
        <v>206</v>
      </c>
    </row>
    <row r="65" spans="1:96">
      <c r="A65">
        <v>23</v>
      </c>
      <c r="B65" s="3">
        <v>0.56281250000000005</v>
      </c>
      <c r="C65" s="1">
        <v>45176</v>
      </c>
      <c r="D65" t="s">
        <v>196</v>
      </c>
      <c r="E65" t="s">
        <v>197</v>
      </c>
      <c r="G65">
        <v>23</v>
      </c>
      <c r="J65">
        <v>1.1416000000000001E-2</v>
      </c>
      <c r="K65">
        <v>2.9199000000000002</v>
      </c>
      <c r="L65">
        <v>1.1370999999999999E-2</v>
      </c>
      <c r="M65">
        <v>0.41572999999999999</v>
      </c>
      <c r="N65">
        <v>1.883213</v>
      </c>
      <c r="O65">
        <v>1.872241</v>
      </c>
      <c r="P65">
        <v>5.2396330000000004</v>
      </c>
      <c r="Q65">
        <v>3.35642</v>
      </c>
      <c r="R65">
        <v>19.631696999999999</v>
      </c>
      <c r="S65">
        <v>19.746752000000001</v>
      </c>
      <c r="T65">
        <v>54.941059000000003</v>
      </c>
      <c r="U65">
        <v>0.44178600000000001</v>
      </c>
      <c r="V65" t="s">
        <v>1426</v>
      </c>
      <c r="W65">
        <v>0</v>
      </c>
      <c r="X65">
        <v>0</v>
      </c>
      <c r="Y65">
        <v>0</v>
      </c>
      <c r="Z65">
        <v>71.781631000000004</v>
      </c>
      <c r="AA65">
        <v>160.667374</v>
      </c>
      <c r="AB65">
        <v>0.55322800000000005</v>
      </c>
      <c r="AC65">
        <v>0.5</v>
      </c>
      <c r="AD65">
        <v>0.8</v>
      </c>
      <c r="AE65">
        <v>273.81848100000002</v>
      </c>
      <c r="AF65">
        <v>34.65</v>
      </c>
      <c r="AG65">
        <v>34.450000000000003</v>
      </c>
      <c r="AH65">
        <v>34.299999999999997</v>
      </c>
      <c r="AI65">
        <v>33.65</v>
      </c>
      <c r="AJ65">
        <v>95.37</v>
      </c>
      <c r="AK65">
        <v>156.5</v>
      </c>
      <c r="AL65">
        <v>157.5</v>
      </c>
      <c r="AM65">
        <v>-0.6</v>
      </c>
      <c r="AN65">
        <v>1237</v>
      </c>
      <c r="AO65">
        <v>3.9209999999999998</v>
      </c>
      <c r="AP65" s="3">
        <v>0.56246527777777777</v>
      </c>
      <c r="AQ65" s="1">
        <v>45176</v>
      </c>
      <c r="AR65">
        <v>-0.48</v>
      </c>
      <c r="AS65">
        <v>-1E-3</v>
      </c>
      <c r="AT65">
        <v>-2E-3</v>
      </c>
      <c r="AU65">
        <v>-9999</v>
      </c>
      <c r="AV65">
        <v>1.0369999999999999</v>
      </c>
      <c r="AW65">
        <v>2.2429999999999999</v>
      </c>
      <c r="AX65">
        <v>-9999</v>
      </c>
      <c r="AY65">
        <v>1</v>
      </c>
      <c r="AZ65">
        <v>150</v>
      </c>
      <c r="BA65">
        <v>5.0000000000000001E-3</v>
      </c>
      <c r="BB65">
        <v>2</v>
      </c>
      <c r="BC65">
        <v>0</v>
      </c>
      <c r="BD65" t="s">
        <v>200</v>
      </c>
      <c r="BE65">
        <v>7000</v>
      </c>
      <c r="BF65">
        <v>500</v>
      </c>
      <c r="BG65">
        <v>5</v>
      </c>
      <c r="BH65">
        <v>2</v>
      </c>
      <c r="BI65">
        <v>300</v>
      </c>
      <c r="BJ65">
        <v>300</v>
      </c>
      <c r="BK65">
        <v>300</v>
      </c>
      <c r="BL65">
        <v>150.444031</v>
      </c>
      <c r="BM65">
        <v>25</v>
      </c>
      <c r="BN65">
        <v>-7.0325689999999996</v>
      </c>
      <c r="BO65">
        <v>151.54838599999999</v>
      </c>
      <c r="BP65">
        <v>150.58050499999999</v>
      </c>
      <c r="BQ65">
        <v>0.96787999999999996</v>
      </c>
      <c r="BR65">
        <v>2.4001869999999998</v>
      </c>
      <c r="BS65">
        <v>2.4672529999999999</v>
      </c>
      <c r="BT65">
        <v>1.588991</v>
      </c>
      <c r="BU65">
        <v>1.0022439999999999</v>
      </c>
      <c r="BV65">
        <v>0.18893199999999999</v>
      </c>
      <c r="BW65">
        <v>-8.8070000000000006E-3</v>
      </c>
      <c r="BX65">
        <v>0.22448799999999999</v>
      </c>
      <c r="BY65">
        <v>1.204661</v>
      </c>
      <c r="BZ65">
        <v>71.781631000000004</v>
      </c>
      <c r="CA65">
        <v>3.5300000000000002E-4</v>
      </c>
      <c r="CB65">
        <v>2.3486280000000002</v>
      </c>
      <c r="CC65">
        <v>-5.1E-5</v>
      </c>
      <c r="CD65">
        <v>1</v>
      </c>
      <c r="CE65">
        <v>2.4109430000000001</v>
      </c>
      <c r="CF65">
        <v>-5.7000000000000003E-5</v>
      </c>
      <c r="CG65">
        <v>1</v>
      </c>
      <c r="CH65">
        <v>0.60051900000000002</v>
      </c>
      <c r="CI65">
        <v>0.60216099999999995</v>
      </c>
      <c r="CJ65">
        <v>0.107265</v>
      </c>
      <c r="CK65">
        <v>0</v>
      </c>
      <c r="CL65" t="s">
        <v>1426</v>
      </c>
      <c r="CM65" t="s">
        <v>201</v>
      </c>
      <c r="CN65" t="s">
        <v>202</v>
      </c>
      <c r="CO65" t="s">
        <v>203</v>
      </c>
      <c r="CP65" t="s">
        <v>204</v>
      </c>
      <c r="CQ65" t="s">
        <v>205</v>
      </c>
      <c r="CR65" t="s">
        <v>206</v>
      </c>
    </row>
    <row r="66" spans="1:96">
      <c r="A66">
        <v>24</v>
      </c>
      <c r="B66" s="3">
        <v>0.56292824074074077</v>
      </c>
      <c r="C66" s="1">
        <v>45176</v>
      </c>
      <c r="D66" t="s">
        <v>196</v>
      </c>
      <c r="E66" t="s">
        <v>197</v>
      </c>
      <c r="G66">
        <v>24</v>
      </c>
      <c r="J66">
        <v>-2.2800000000000001E-4</v>
      </c>
      <c r="K66">
        <v>2.9208970000000001</v>
      </c>
      <c r="L66">
        <v>-2.2800000000000001E-4</v>
      </c>
      <c r="M66">
        <v>-9.9590000000000008E-3</v>
      </c>
      <c r="N66">
        <v>1.9179440000000001</v>
      </c>
      <c r="O66">
        <v>1.918207</v>
      </c>
      <c r="P66">
        <v>5.905081</v>
      </c>
      <c r="Q66">
        <v>3.9871370000000002</v>
      </c>
      <c r="R66">
        <v>20.113261999999999</v>
      </c>
      <c r="S66">
        <v>20.110507999999999</v>
      </c>
      <c r="T66">
        <v>61.917431000000001</v>
      </c>
      <c r="U66">
        <v>0.44178600000000001</v>
      </c>
      <c r="V66" t="s">
        <v>1427</v>
      </c>
      <c r="W66">
        <v>0</v>
      </c>
      <c r="X66">
        <v>0</v>
      </c>
      <c r="Y66">
        <v>0</v>
      </c>
      <c r="Z66">
        <v>92.815871999999999</v>
      </c>
      <c r="AA66">
        <v>112.86919399999999</v>
      </c>
      <c r="AB66">
        <v>0.17766899999999999</v>
      </c>
      <c r="AC66">
        <v>0.5</v>
      </c>
      <c r="AD66">
        <v>0.8</v>
      </c>
      <c r="AE66">
        <v>119.44472500000001</v>
      </c>
      <c r="AF66">
        <v>35.29</v>
      </c>
      <c r="AG66">
        <v>35.29</v>
      </c>
      <c r="AH66">
        <v>34.31</v>
      </c>
      <c r="AI66">
        <v>35.799999999999997</v>
      </c>
      <c r="AJ66">
        <v>95.37</v>
      </c>
      <c r="AK66">
        <v>156.6</v>
      </c>
      <c r="AL66">
        <v>157.5</v>
      </c>
      <c r="AM66">
        <v>-0.5</v>
      </c>
      <c r="AN66">
        <v>1681</v>
      </c>
      <c r="AO66">
        <v>3.9180000000000001</v>
      </c>
      <c r="AP66" s="3">
        <v>0.56246527777777777</v>
      </c>
      <c r="AQ66" s="1">
        <v>45176</v>
      </c>
      <c r="AR66">
        <v>-0.48</v>
      </c>
      <c r="AS66">
        <v>1E-3</v>
      </c>
      <c r="AT66">
        <v>-1E-3</v>
      </c>
      <c r="AU66">
        <v>-9999</v>
      </c>
      <c r="AV66">
        <v>-0.39200000000000002</v>
      </c>
      <c r="AW66">
        <v>-1.8560000000000001</v>
      </c>
      <c r="AX66">
        <v>-9999</v>
      </c>
      <c r="AY66">
        <v>1</v>
      </c>
      <c r="AZ66">
        <v>150</v>
      </c>
      <c r="BA66">
        <v>5.0000000000000001E-3</v>
      </c>
      <c r="BB66">
        <v>2</v>
      </c>
      <c r="BC66">
        <v>0</v>
      </c>
      <c r="BD66" t="s">
        <v>200</v>
      </c>
      <c r="BE66">
        <v>7000</v>
      </c>
      <c r="BF66">
        <v>500</v>
      </c>
      <c r="BG66">
        <v>5</v>
      </c>
      <c r="BH66">
        <v>2</v>
      </c>
      <c r="BI66">
        <v>300</v>
      </c>
      <c r="BJ66">
        <v>300</v>
      </c>
      <c r="BK66">
        <v>300</v>
      </c>
      <c r="BL66">
        <v>112.18607299999999</v>
      </c>
      <c r="BM66">
        <v>25</v>
      </c>
      <c r="BN66">
        <v>-0.42358299999999999</v>
      </c>
      <c r="BO66">
        <v>113.67630800000001</v>
      </c>
      <c r="BP66">
        <v>112.26164199999999</v>
      </c>
      <c r="BQ66">
        <v>1.4146650000000001</v>
      </c>
      <c r="BR66">
        <v>2.4012869999999999</v>
      </c>
      <c r="BS66">
        <v>2.468143</v>
      </c>
      <c r="BT66">
        <v>1.589958</v>
      </c>
      <c r="BU66">
        <v>1.0021640000000001</v>
      </c>
      <c r="BV66">
        <v>0.18890699999999999</v>
      </c>
      <c r="BW66">
        <v>1.9379E-2</v>
      </c>
      <c r="BX66">
        <v>0.22534499999999999</v>
      </c>
      <c r="BY66">
        <v>1.597864</v>
      </c>
      <c r="BZ66">
        <v>92.815871999999999</v>
      </c>
      <c r="CA66">
        <v>3.4000000000000002E-4</v>
      </c>
      <c r="CB66">
        <v>2.3486280000000002</v>
      </c>
      <c r="CC66">
        <v>-5.1E-5</v>
      </c>
      <c r="CD66">
        <v>1</v>
      </c>
      <c r="CE66">
        <v>2.4109430000000001</v>
      </c>
      <c r="CF66">
        <v>-5.7000000000000003E-5</v>
      </c>
      <c r="CG66">
        <v>1</v>
      </c>
      <c r="CH66">
        <v>0.60051900000000002</v>
      </c>
      <c r="CI66">
        <v>0.60216099999999995</v>
      </c>
      <c r="CJ66">
        <v>0.107265</v>
      </c>
      <c r="CK66">
        <v>0</v>
      </c>
      <c r="CL66" t="s">
        <v>1427</v>
      </c>
      <c r="CM66" t="s">
        <v>201</v>
      </c>
      <c r="CN66" t="s">
        <v>202</v>
      </c>
      <c r="CO66" t="s">
        <v>203</v>
      </c>
      <c r="CP66" t="s">
        <v>204</v>
      </c>
      <c r="CQ66" t="s">
        <v>205</v>
      </c>
      <c r="CR66" t="s">
        <v>206</v>
      </c>
    </row>
    <row r="67" spans="1:96">
      <c r="A67">
        <v>25</v>
      </c>
      <c r="B67" s="3">
        <v>0.56530092592592596</v>
      </c>
      <c r="C67" s="1">
        <v>45176</v>
      </c>
      <c r="D67" t="s">
        <v>196</v>
      </c>
      <c r="E67" t="s">
        <v>197</v>
      </c>
      <c r="G67">
        <v>25</v>
      </c>
      <c r="J67">
        <v>-2.4970000000000001E-3</v>
      </c>
      <c r="K67">
        <v>2.921932</v>
      </c>
      <c r="L67">
        <v>-2.4989999999999999E-3</v>
      </c>
      <c r="M67">
        <v>-0.114172</v>
      </c>
      <c r="N67">
        <v>1.936682</v>
      </c>
      <c r="O67">
        <v>1.9396899999999999</v>
      </c>
      <c r="P67">
        <v>6.111218</v>
      </c>
      <c r="Q67">
        <v>4.1745369999999999</v>
      </c>
      <c r="R67">
        <v>20.332975000000001</v>
      </c>
      <c r="S67">
        <v>20.301447</v>
      </c>
      <c r="T67">
        <v>64.061408999999998</v>
      </c>
      <c r="U67">
        <v>0.44178600000000001</v>
      </c>
      <c r="V67" t="s">
        <v>1428</v>
      </c>
      <c r="W67">
        <v>0</v>
      </c>
      <c r="X67">
        <v>0</v>
      </c>
      <c r="Y67">
        <v>0</v>
      </c>
      <c r="Z67">
        <v>69.774628000000007</v>
      </c>
      <c r="AA67">
        <v>166.19726600000001</v>
      </c>
      <c r="AB67">
        <v>0.58016999999999996</v>
      </c>
      <c r="AC67">
        <v>0.5</v>
      </c>
      <c r="AD67">
        <v>0.8</v>
      </c>
      <c r="AE67">
        <v>31.193232999999999</v>
      </c>
      <c r="AF67">
        <v>35.28</v>
      </c>
      <c r="AG67">
        <v>35.340000000000003</v>
      </c>
      <c r="AH67">
        <v>34.479999999999997</v>
      </c>
      <c r="AI67">
        <v>36.43</v>
      </c>
      <c r="AJ67">
        <v>95.4</v>
      </c>
      <c r="AK67">
        <v>156.69999999999999</v>
      </c>
      <c r="AL67">
        <v>157.5</v>
      </c>
      <c r="AM67">
        <v>-0.5</v>
      </c>
      <c r="AN67">
        <v>134</v>
      </c>
      <c r="AO67">
        <v>3.9169999999999998</v>
      </c>
      <c r="AP67" s="3">
        <v>0.56246527777777777</v>
      </c>
      <c r="AQ67" s="1">
        <v>45176</v>
      </c>
      <c r="AR67">
        <v>-0.48</v>
      </c>
      <c r="AS67">
        <v>-2E-3</v>
      </c>
      <c r="AT67">
        <v>-3.0000000000000001E-3</v>
      </c>
      <c r="AU67">
        <v>-9999</v>
      </c>
      <c r="AV67">
        <v>1.425</v>
      </c>
      <c r="AW67">
        <v>3.004</v>
      </c>
      <c r="AX67">
        <v>-9999</v>
      </c>
      <c r="AY67">
        <v>1</v>
      </c>
      <c r="AZ67">
        <v>150</v>
      </c>
      <c r="BA67">
        <v>5.0000000000000001E-3</v>
      </c>
      <c r="BB67">
        <v>2</v>
      </c>
      <c r="BC67">
        <v>0</v>
      </c>
      <c r="BD67" t="s">
        <v>200</v>
      </c>
      <c r="BE67">
        <v>7000</v>
      </c>
      <c r="BF67">
        <v>500</v>
      </c>
      <c r="BG67">
        <v>5</v>
      </c>
      <c r="BH67">
        <v>2</v>
      </c>
      <c r="BI67">
        <v>300</v>
      </c>
      <c r="BJ67">
        <v>300</v>
      </c>
      <c r="BK67">
        <v>300</v>
      </c>
      <c r="BL67">
        <v>151.26693700000001</v>
      </c>
      <c r="BM67">
        <v>25</v>
      </c>
      <c r="BN67">
        <v>-10.028425</v>
      </c>
      <c r="BO67">
        <v>150.330658</v>
      </c>
      <c r="BP67">
        <v>151.81341599999999</v>
      </c>
      <c r="BQ67">
        <v>-1.482758</v>
      </c>
      <c r="BR67">
        <v>2.401319</v>
      </c>
      <c r="BS67">
        <v>2.4681069999999998</v>
      </c>
      <c r="BT67">
        <v>1.590965</v>
      </c>
      <c r="BU67">
        <v>1.0021869999999999</v>
      </c>
      <c r="BV67">
        <v>0.18761800000000001</v>
      </c>
      <c r="BW67">
        <v>2.5388000000000001E-2</v>
      </c>
      <c r="BX67">
        <v>0.24409900000000001</v>
      </c>
      <c r="BY67">
        <v>0.22647400000000001</v>
      </c>
      <c r="BZ67">
        <v>69.774628000000007</v>
      </c>
      <c r="CA67">
        <v>3.5799999999999997E-4</v>
      </c>
      <c r="CB67">
        <v>2.3486280000000002</v>
      </c>
      <c r="CC67">
        <v>-5.1E-5</v>
      </c>
      <c r="CD67">
        <v>1</v>
      </c>
      <c r="CE67">
        <v>2.4109430000000001</v>
      </c>
      <c r="CF67">
        <v>-5.7000000000000003E-5</v>
      </c>
      <c r="CG67">
        <v>1</v>
      </c>
      <c r="CH67">
        <v>0.60051900000000002</v>
      </c>
      <c r="CI67">
        <v>0.60216099999999995</v>
      </c>
      <c r="CJ67">
        <v>0.107265</v>
      </c>
      <c r="CK67">
        <v>0</v>
      </c>
      <c r="CL67" t="s">
        <v>1428</v>
      </c>
      <c r="CM67" t="s">
        <v>201</v>
      </c>
      <c r="CN67" t="s">
        <v>202</v>
      </c>
      <c r="CO67" t="s">
        <v>203</v>
      </c>
      <c r="CP67" t="s">
        <v>204</v>
      </c>
      <c r="CQ67" t="s">
        <v>205</v>
      </c>
      <c r="CR67" t="s">
        <v>206</v>
      </c>
    </row>
    <row r="68" spans="1:96">
      <c r="A68">
        <v>26</v>
      </c>
      <c r="B68" s="3">
        <v>0.56538194444444445</v>
      </c>
      <c r="C68" s="1">
        <v>45176</v>
      </c>
      <c r="D68" t="s">
        <v>196</v>
      </c>
      <c r="E68" t="s">
        <v>197</v>
      </c>
      <c r="G68">
        <v>26</v>
      </c>
      <c r="J68">
        <v>-2.6580000000000002E-3</v>
      </c>
      <c r="K68">
        <v>2.9198330000000001</v>
      </c>
      <c r="L68">
        <v>-2.6610000000000002E-3</v>
      </c>
      <c r="M68">
        <v>-0.14058300000000001</v>
      </c>
      <c r="N68">
        <v>1.95631</v>
      </c>
      <c r="O68">
        <v>1.960019</v>
      </c>
      <c r="P68">
        <v>6.7657489999999996</v>
      </c>
      <c r="Q68">
        <v>4.8094390000000002</v>
      </c>
      <c r="R68">
        <v>20.547045000000001</v>
      </c>
      <c r="S68">
        <v>20.508167</v>
      </c>
      <c r="T68">
        <v>70.925926000000004</v>
      </c>
      <c r="U68">
        <v>0.44178600000000001</v>
      </c>
      <c r="V68" t="s">
        <v>1429</v>
      </c>
      <c r="W68">
        <v>0</v>
      </c>
      <c r="X68">
        <v>0</v>
      </c>
      <c r="Y68">
        <v>0</v>
      </c>
      <c r="Z68">
        <v>72.617408999999995</v>
      </c>
      <c r="AA68">
        <v>89.143410000000003</v>
      </c>
      <c r="AB68">
        <v>0.185387</v>
      </c>
      <c r="AC68">
        <v>0.5</v>
      </c>
      <c r="AD68">
        <v>0.8</v>
      </c>
      <c r="AE68">
        <v>90.059951999999996</v>
      </c>
      <c r="AF68">
        <v>35.61</v>
      </c>
      <c r="AG68">
        <v>35.68</v>
      </c>
      <c r="AH68">
        <v>34.5</v>
      </c>
      <c r="AI68">
        <v>38.299999999999997</v>
      </c>
      <c r="AJ68">
        <v>95.39</v>
      </c>
      <c r="AK68">
        <v>156.5</v>
      </c>
      <c r="AL68">
        <v>157.4</v>
      </c>
      <c r="AM68">
        <v>-0.6</v>
      </c>
      <c r="AN68">
        <v>1214</v>
      </c>
      <c r="AO68">
        <v>3.9169999999999998</v>
      </c>
      <c r="AP68" s="3">
        <v>0.56246527777777777</v>
      </c>
      <c r="AQ68" s="1">
        <v>45176</v>
      </c>
      <c r="AR68">
        <v>-0.48</v>
      </c>
      <c r="AS68">
        <v>-1E-3</v>
      </c>
      <c r="AT68">
        <v>-3.0000000000000001E-3</v>
      </c>
      <c r="AU68">
        <v>-9999</v>
      </c>
      <c r="AV68">
        <v>-9.7000000000000003E-2</v>
      </c>
      <c r="AW68">
        <v>-0.06</v>
      </c>
      <c r="AX68">
        <v>-9999</v>
      </c>
      <c r="AY68">
        <v>1</v>
      </c>
      <c r="AZ68">
        <v>150</v>
      </c>
      <c r="BA68">
        <v>5.0000000000000001E-3</v>
      </c>
      <c r="BB68">
        <v>2</v>
      </c>
      <c r="BC68">
        <v>0</v>
      </c>
      <c r="BD68" t="s">
        <v>200</v>
      </c>
      <c r="BE68">
        <v>7000</v>
      </c>
      <c r="BF68">
        <v>500</v>
      </c>
      <c r="BG68">
        <v>5</v>
      </c>
      <c r="BH68">
        <v>2</v>
      </c>
      <c r="BI68">
        <v>300</v>
      </c>
      <c r="BJ68">
        <v>300</v>
      </c>
      <c r="BK68">
        <v>300</v>
      </c>
      <c r="BL68">
        <v>87.594864000000001</v>
      </c>
      <c r="BM68">
        <v>25</v>
      </c>
      <c r="BN68">
        <v>-1.041309</v>
      </c>
      <c r="BO68">
        <v>87.846992</v>
      </c>
      <c r="BP68">
        <v>87.649849000000003</v>
      </c>
      <c r="BQ68">
        <v>0.19714400000000001</v>
      </c>
      <c r="BR68">
        <v>2.401764</v>
      </c>
      <c r="BS68">
        <v>2.4685670000000002</v>
      </c>
      <c r="BT68">
        <v>1.5889260000000001</v>
      </c>
      <c r="BU68">
        <v>1.0020579999999999</v>
      </c>
      <c r="BV68">
        <v>0.18751599999999999</v>
      </c>
      <c r="BW68">
        <v>5.0421000000000001E-2</v>
      </c>
      <c r="BX68">
        <v>0.24465899999999999</v>
      </c>
      <c r="BY68">
        <v>1.1843699999999999</v>
      </c>
      <c r="BZ68">
        <v>72.617408999999995</v>
      </c>
      <c r="CA68">
        <v>3.4499999999999998E-4</v>
      </c>
      <c r="CB68">
        <v>2.3486280000000002</v>
      </c>
      <c r="CC68">
        <v>-5.1E-5</v>
      </c>
      <c r="CD68">
        <v>1</v>
      </c>
      <c r="CE68">
        <v>2.4109430000000001</v>
      </c>
      <c r="CF68">
        <v>-5.7000000000000003E-5</v>
      </c>
      <c r="CG68">
        <v>1</v>
      </c>
      <c r="CH68">
        <v>0.60051900000000002</v>
      </c>
      <c r="CI68">
        <v>0.60216099999999995</v>
      </c>
      <c r="CJ68">
        <v>0.107265</v>
      </c>
      <c r="CK68">
        <v>0</v>
      </c>
      <c r="CL68" t="s">
        <v>1429</v>
      </c>
      <c r="CM68" t="s">
        <v>201</v>
      </c>
      <c r="CN68" t="s">
        <v>202</v>
      </c>
      <c r="CO68" t="s">
        <v>203</v>
      </c>
      <c r="CP68" t="s">
        <v>204</v>
      </c>
      <c r="CQ68" t="s">
        <v>205</v>
      </c>
      <c r="CR68" t="s">
        <v>206</v>
      </c>
    </row>
    <row r="69" spans="1:96">
      <c r="A69">
        <v>27</v>
      </c>
      <c r="B69" s="3">
        <v>0.56559027777777782</v>
      </c>
      <c r="C69" s="1">
        <v>45176</v>
      </c>
      <c r="D69" t="s">
        <v>196</v>
      </c>
      <c r="E69" t="s">
        <v>197</v>
      </c>
      <c r="G69">
        <v>27</v>
      </c>
      <c r="J69">
        <v>8.3171999999999996E-2</v>
      </c>
      <c r="K69">
        <v>2.9206750000000001</v>
      </c>
      <c r="L69">
        <v>8.0868999999999996E-2</v>
      </c>
      <c r="M69">
        <v>3.174604</v>
      </c>
      <c r="N69">
        <v>2.068063</v>
      </c>
      <c r="O69">
        <v>1.9844740000000001</v>
      </c>
      <c r="P69">
        <v>5.6608700000000001</v>
      </c>
      <c r="Q69">
        <v>3.5928070000000001</v>
      </c>
      <c r="R69">
        <v>20.804500999999998</v>
      </c>
      <c r="S69">
        <v>21.680819</v>
      </c>
      <c r="T69">
        <v>59.346504000000003</v>
      </c>
      <c r="U69">
        <v>0.44178600000000001</v>
      </c>
      <c r="V69" t="s">
        <v>1430</v>
      </c>
      <c r="W69">
        <v>0</v>
      </c>
      <c r="X69">
        <v>0</v>
      </c>
      <c r="Y69">
        <v>0</v>
      </c>
      <c r="Z69">
        <v>101.77195</v>
      </c>
      <c r="AA69">
        <v>285.28939800000001</v>
      </c>
      <c r="AB69">
        <v>0.64326799999999995</v>
      </c>
      <c r="AC69">
        <v>0.5</v>
      </c>
      <c r="AD69">
        <v>0.8</v>
      </c>
      <c r="AE69">
        <v>198.303619</v>
      </c>
      <c r="AF69">
        <v>37.6</v>
      </c>
      <c r="AG69">
        <v>36.08</v>
      </c>
      <c r="AH69">
        <v>34.520000000000003</v>
      </c>
      <c r="AI69">
        <v>35.04</v>
      </c>
      <c r="AJ69">
        <v>95.39</v>
      </c>
      <c r="AK69">
        <v>156.6</v>
      </c>
      <c r="AL69">
        <v>157.69999999999999</v>
      </c>
      <c r="AM69">
        <v>-0.7</v>
      </c>
      <c r="AN69">
        <v>771</v>
      </c>
      <c r="AO69">
        <v>3.9159999999999999</v>
      </c>
      <c r="AP69" s="3">
        <v>0.56246527777777777</v>
      </c>
      <c r="AQ69" s="1">
        <v>45176</v>
      </c>
      <c r="AR69">
        <v>-0.48</v>
      </c>
      <c r="AS69">
        <v>-1E-3</v>
      </c>
      <c r="AT69">
        <v>0</v>
      </c>
      <c r="AU69">
        <v>-9999</v>
      </c>
      <c r="AV69">
        <v>0.25600000000000001</v>
      </c>
      <c r="AW69">
        <v>0.56699999999999995</v>
      </c>
      <c r="AX69">
        <v>-9999</v>
      </c>
      <c r="AY69">
        <v>1</v>
      </c>
      <c r="AZ69">
        <v>150</v>
      </c>
      <c r="BA69">
        <v>5.0000000000000001E-3</v>
      </c>
      <c r="BB69">
        <v>2</v>
      </c>
      <c r="BC69">
        <v>0</v>
      </c>
      <c r="BD69" t="s">
        <v>200</v>
      </c>
      <c r="BE69">
        <v>7000</v>
      </c>
      <c r="BF69">
        <v>500</v>
      </c>
      <c r="BG69">
        <v>5</v>
      </c>
      <c r="BH69">
        <v>2</v>
      </c>
      <c r="BI69">
        <v>300</v>
      </c>
      <c r="BJ69">
        <v>300</v>
      </c>
      <c r="BK69">
        <v>300</v>
      </c>
      <c r="BL69">
        <v>241.01829499999999</v>
      </c>
      <c r="BM69">
        <v>25</v>
      </c>
      <c r="BN69">
        <v>-31.761509</v>
      </c>
      <c r="BO69">
        <v>230.02731299999999</v>
      </c>
      <c r="BP69">
        <v>239.73362700000001</v>
      </c>
      <c r="BQ69">
        <v>-9.7063140000000008</v>
      </c>
      <c r="BR69">
        <v>2.402282</v>
      </c>
      <c r="BS69">
        <v>2.4713409999999998</v>
      </c>
      <c r="BT69">
        <v>1.5897429999999999</v>
      </c>
      <c r="BU69">
        <v>1.0028900000000001</v>
      </c>
      <c r="BV69">
        <v>0.18735299999999999</v>
      </c>
      <c r="BW69">
        <v>6.5059999999999996E-3</v>
      </c>
      <c r="BX69">
        <v>0.246143</v>
      </c>
      <c r="BY69">
        <v>0.79077299999999995</v>
      </c>
      <c r="BZ69">
        <v>101.77195</v>
      </c>
      <c r="CA69">
        <v>3.5500000000000001E-4</v>
      </c>
      <c r="CB69">
        <v>2.3486280000000002</v>
      </c>
      <c r="CC69">
        <v>-5.1E-5</v>
      </c>
      <c r="CD69">
        <v>1</v>
      </c>
      <c r="CE69">
        <v>2.4109430000000001</v>
      </c>
      <c r="CF69">
        <v>-5.7000000000000003E-5</v>
      </c>
      <c r="CG69">
        <v>1</v>
      </c>
      <c r="CH69">
        <v>0.60051900000000002</v>
      </c>
      <c r="CI69">
        <v>0.60216099999999995</v>
      </c>
      <c r="CJ69">
        <v>0.107265</v>
      </c>
      <c r="CK69">
        <v>0</v>
      </c>
      <c r="CL69" t="s">
        <v>1430</v>
      </c>
      <c r="CM69" t="s">
        <v>201</v>
      </c>
      <c r="CN69" t="s">
        <v>202</v>
      </c>
      <c r="CO69" t="s">
        <v>203</v>
      </c>
      <c r="CP69" t="s">
        <v>204</v>
      </c>
      <c r="CQ69" t="s">
        <v>205</v>
      </c>
      <c r="CR69" t="s">
        <v>206</v>
      </c>
    </row>
    <row r="70" spans="1:96">
      <c r="A70">
        <v>28</v>
      </c>
      <c r="B70" s="3">
        <v>0.56570601851851854</v>
      </c>
      <c r="C70" s="1">
        <v>45176</v>
      </c>
      <c r="D70" t="s">
        <v>196</v>
      </c>
      <c r="E70" t="s">
        <v>197</v>
      </c>
      <c r="G70">
        <v>28</v>
      </c>
      <c r="J70">
        <v>9.5991999999999994E-2</v>
      </c>
      <c r="K70">
        <v>2.9186679999999998</v>
      </c>
      <c r="L70">
        <v>9.2935000000000004E-2</v>
      </c>
      <c r="M70">
        <v>3.1294019999999998</v>
      </c>
      <c r="N70">
        <v>2.0905589999999998</v>
      </c>
      <c r="O70">
        <v>2.0080490000000002</v>
      </c>
      <c r="P70">
        <v>5.1801139999999997</v>
      </c>
      <c r="Q70">
        <v>3.0895549999999998</v>
      </c>
      <c r="R70">
        <v>21.051544</v>
      </c>
      <c r="S70">
        <v>21.916547999999999</v>
      </c>
      <c r="T70">
        <v>54.306148999999998</v>
      </c>
      <c r="U70">
        <v>0.44178600000000001</v>
      </c>
      <c r="V70" t="s">
        <v>1431</v>
      </c>
      <c r="W70">
        <v>0</v>
      </c>
      <c r="X70">
        <v>0</v>
      </c>
      <c r="Y70">
        <v>0</v>
      </c>
      <c r="Z70">
        <v>111.785889</v>
      </c>
      <c r="AA70">
        <v>321.64614899999998</v>
      </c>
      <c r="AB70">
        <v>0.65245699999999995</v>
      </c>
      <c r="AC70">
        <v>0.5</v>
      </c>
      <c r="AD70">
        <v>0.8</v>
      </c>
      <c r="AE70">
        <v>85.257216999999997</v>
      </c>
      <c r="AF70">
        <v>38</v>
      </c>
      <c r="AG70">
        <v>36.5</v>
      </c>
      <c r="AH70">
        <v>34.53</v>
      </c>
      <c r="AI70">
        <v>33.450000000000003</v>
      </c>
      <c r="AJ70">
        <v>95.39</v>
      </c>
      <c r="AK70">
        <v>156.30000000000001</v>
      </c>
      <c r="AL70">
        <v>157.9</v>
      </c>
      <c r="AM70">
        <v>-1</v>
      </c>
      <c r="AN70">
        <v>327</v>
      </c>
      <c r="AO70">
        <v>3.9159999999999999</v>
      </c>
      <c r="AP70" s="3">
        <v>0.56246527777777777</v>
      </c>
      <c r="AQ70" s="1">
        <v>45176</v>
      </c>
      <c r="AR70">
        <v>-0.48</v>
      </c>
      <c r="AS70">
        <v>1E-3</v>
      </c>
      <c r="AT70">
        <v>2E-3</v>
      </c>
      <c r="AU70">
        <v>-9999</v>
      </c>
      <c r="AV70">
        <v>0.48</v>
      </c>
      <c r="AW70">
        <v>3.3919999999999999</v>
      </c>
      <c r="AX70">
        <v>-9999</v>
      </c>
      <c r="AY70">
        <v>1</v>
      </c>
      <c r="AZ70">
        <v>150</v>
      </c>
      <c r="BA70">
        <v>5.0000000000000001E-3</v>
      </c>
      <c r="BB70">
        <v>2</v>
      </c>
      <c r="BC70">
        <v>0</v>
      </c>
      <c r="BD70" t="s">
        <v>200</v>
      </c>
      <c r="BE70">
        <v>7000</v>
      </c>
      <c r="BF70">
        <v>500</v>
      </c>
      <c r="BG70">
        <v>5</v>
      </c>
      <c r="BH70">
        <v>2</v>
      </c>
      <c r="BI70">
        <v>300</v>
      </c>
      <c r="BJ70">
        <v>300</v>
      </c>
      <c r="BK70">
        <v>300</v>
      </c>
      <c r="BL70">
        <v>298.43188500000002</v>
      </c>
      <c r="BM70">
        <v>25</v>
      </c>
      <c r="BN70">
        <v>-16.070824000000002</v>
      </c>
      <c r="BO70">
        <v>297.90152</v>
      </c>
      <c r="BP70">
        <v>298.595642</v>
      </c>
      <c r="BQ70">
        <v>-0.69412200000000002</v>
      </c>
      <c r="BR70">
        <v>2.4028269999999998</v>
      </c>
      <c r="BS70">
        <v>2.4718939999999998</v>
      </c>
      <c r="BT70">
        <v>1.587799</v>
      </c>
      <c r="BU70">
        <v>1.0035769999999999</v>
      </c>
      <c r="BV70">
        <v>0.18731700000000001</v>
      </c>
      <c r="BW70">
        <v>-1.4326999999999999E-2</v>
      </c>
      <c r="BX70">
        <v>0.24695800000000001</v>
      </c>
      <c r="BY70">
        <v>0.39698899999999998</v>
      </c>
      <c r="BZ70">
        <v>111.785889</v>
      </c>
      <c r="CA70">
        <v>3.5199999999999999E-4</v>
      </c>
      <c r="CB70">
        <v>2.3486280000000002</v>
      </c>
      <c r="CC70">
        <v>-5.1E-5</v>
      </c>
      <c r="CD70">
        <v>1</v>
      </c>
      <c r="CE70">
        <v>2.4109430000000001</v>
      </c>
      <c r="CF70">
        <v>-5.7000000000000003E-5</v>
      </c>
      <c r="CG70">
        <v>1</v>
      </c>
      <c r="CH70">
        <v>0.60051900000000002</v>
      </c>
      <c r="CI70">
        <v>0.60216099999999995</v>
      </c>
      <c r="CJ70">
        <v>0.107265</v>
      </c>
      <c r="CK70">
        <v>0</v>
      </c>
      <c r="CL70" t="s">
        <v>1431</v>
      </c>
      <c r="CM70" t="s">
        <v>201</v>
      </c>
      <c r="CN70" t="s">
        <v>202</v>
      </c>
      <c r="CO70" t="s">
        <v>203</v>
      </c>
      <c r="CP70" t="s">
        <v>204</v>
      </c>
      <c r="CQ70" t="s">
        <v>205</v>
      </c>
      <c r="CR70" t="s">
        <v>206</v>
      </c>
    </row>
    <row r="71" spans="1:96">
      <c r="A71">
        <v>29</v>
      </c>
      <c r="B71" s="3">
        <v>0.56586805555555553</v>
      </c>
      <c r="C71" s="1">
        <v>45176</v>
      </c>
      <c r="D71" t="s">
        <v>196</v>
      </c>
      <c r="E71" t="s">
        <v>197</v>
      </c>
      <c r="G71">
        <v>29</v>
      </c>
      <c r="J71">
        <v>4.2571999999999999E-2</v>
      </c>
      <c r="K71">
        <v>2.9185140000000001</v>
      </c>
      <c r="L71">
        <v>4.1959999999999997E-2</v>
      </c>
      <c r="M71">
        <v>1.5995999999999999</v>
      </c>
      <c r="N71">
        <v>2.0832130000000002</v>
      </c>
      <c r="O71">
        <v>2.0410279999999998</v>
      </c>
      <c r="P71">
        <v>5.5736990000000004</v>
      </c>
      <c r="Q71">
        <v>3.4904860000000002</v>
      </c>
      <c r="R71">
        <v>21.396729000000001</v>
      </c>
      <c r="S71">
        <v>21.838964000000001</v>
      </c>
      <c r="T71">
        <v>58.430801000000002</v>
      </c>
      <c r="U71">
        <v>0.44178600000000001</v>
      </c>
      <c r="V71" t="s">
        <v>1432</v>
      </c>
      <c r="W71">
        <v>0</v>
      </c>
      <c r="X71">
        <v>0</v>
      </c>
      <c r="Y71">
        <v>0</v>
      </c>
      <c r="Z71">
        <v>205.52516199999999</v>
      </c>
      <c r="AA71">
        <v>335.853455</v>
      </c>
      <c r="AB71">
        <v>0.38805099999999998</v>
      </c>
      <c r="AC71">
        <v>0.5</v>
      </c>
      <c r="AD71">
        <v>0.8</v>
      </c>
      <c r="AE71">
        <v>151.29628</v>
      </c>
      <c r="AF71">
        <v>37.869999999999997</v>
      </c>
      <c r="AG71">
        <v>37.11</v>
      </c>
      <c r="AH71">
        <v>34.520000000000003</v>
      </c>
      <c r="AI71">
        <v>34.76</v>
      </c>
      <c r="AJ71">
        <v>95.39</v>
      </c>
      <c r="AK71">
        <v>156.30000000000001</v>
      </c>
      <c r="AL71">
        <v>157.4</v>
      </c>
      <c r="AM71">
        <v>-0.7</v>
      </c>
      <c r="AN71">
        <v>975</v>
      </c>
      <c r="AO71">
        <v>3.9159999999999999</v>
      </c>
      <c r="AP71" s="3">
        <v>0.56246527777777777</v>
      </c>
      <c r="AQ71" s="1">
        <v>45176</v>
      </c>
      <c r="AR71">
        <v>-0.48</v>
      </c>
      <c r="AS71">
        <v>0</v>
      </c>
      <c r="AT71">
        <v>-3.0000000000000001E-3</v>
      </c>
      <c r="AU71">
        <v>-1E-3</v>
      </c>
      <c r="AV71">
        <v>-2.371</v>
      </c>
      <c r="AW71">
        <v>-3.1429999999999998</v>
      </c>
      <c r="AX71">
        <v>3.91</v>
      </c>
      <c r="AY71">
        <v>1</v>
      </c>
      <c r="AZ71">
        <v>150</v>
      </c>
      <c r="BA71">
        <v>5.0000000000000001E-3</v>
      </c>
      <c r="BB71">
        <v>2</v>
      </c>
      <c r="BC71">
        <v>0</v>
      </c>
      <c r="BD71" t="s">
        <v>200</v>
      </c>
      <c r="BE71">
        <v>7000</v>
      </c>
      <c r="BF71">
        <v>500</v>
      </c>
      <c r="BG71">
        <v>5</v>
      </c>
      <c r="BH71">
        <v>2</v>
      </c>
      <c r="BI71">
        <v>300</v>
      </c>
      <c r="BJ71">
        <v>300</v>
      </c>
      <c r="BK71">
        <v>300</v>
      </c>
      <c r="BL71">
        <v>332.28994799999998</v>
      </c>
      <c r="BM71">
        <v>25</v>
      </c>
      <c r="BN71">
        <v>-2.3152270000000001</v>
      </c>
      <c r="BO71">
        <v>337.06997699999999</v>
      </c>
      <c r="BP71">
        <v>332.532715</v>
      </c>
      <c r="BQ71">
        <v>4.5372620000000001</v>
      </c>
      <c r="BR71">
        <v>2.4036170000000001</v>
      </c>
      <c r="BS71">
        <v>2.4717210000000001</v>
      </c>
      <c r="BT71">
        <v>1.5876509999999999</v>
      </c>
      <c r="BU71">
        <v>1.002089</v>
      </c>
      <c r="BV71">
        <v>0.18734600000000001</v>
      </c>
      <c r="BW71">
        <v>2.8180000000000002E-3</v>
      </c>
      <c r="BX71">
        <v>0.24807999999999999</v>
      </c>
      <c r="BY71">
        <v>0.97172400000000003</v>
      </c>
      <c r="BZ71">
        <v>205.52516199999999</v>
      </c>
      <c r="CA71">
        <v>3.4600000000000001E-4</v>
      </c>
      <c r="CB71">
        <v>2.3486280000000002</v>
      </c>
      <c r="CC71">
        <v>-5.1E-5</v>
      </c>
      <c r="CD71">
        <v>1</v>
      </c>
      <c r="CE71">
        <v>2.4109430000000001</v>
      </c>
      <c r="CF71">
        <v>-5.7000000000000003E-5</v>
      </c>
      <c r="CG71">
        <v>1</v>
      </c>
      <c r="CH71">
        <v>0.60051900000000002</v>
      </c>
      <c r="CI71">
        <v>0.60216099999999995</v>
      </c>
      <c r="CJ71">
        <v>0.107265</v>
      </c>
      <c r="CK71">
        <v>0</v>
      </c>
      <c r="CL71" t="s">
        <v>1432</v>
      </c>
      <c r="CM71" t="s">
        <v>201</v>
      </c>
      <c r="CN71" t="s">
        <v>202</v>
      </c>
      <c r="CO71" t="s">
        <v>203</v>
      </c>
      <c r="CP71" t="s">
        <v>204</v>
      </c>
      <c r="CQ71" t="s">
        <v>205</v>
      </c>
      <c r="CR71" t="s">
        <v>206</v>
      </c>
    </row>
    <row r="72" spans="1:96">
      <c r="A72">
        <v>30</v>
      </c>
      <c r="B72" s="3">
        <v>0.56598379629629625</v>
      </c>
      <c r="C72" s="1">
        <v>45176</v>
      </c>
      <c r="D72" t="s">
        <v>196</v>
      </c>
      <c r="E72" t="s">
        <v>197</v>
      </c>
      <c r="G72">
        <v>30</v>
      </c>
      <c r="J72">
        <v>5.0455E-2</v>
      </c>
      <c r="K72">
        <v>2.9199510000000002</v>
      </c>
      <c r="L72">
        <v>4.9598000000000003E-2</v>
      </c>
      <c r="M72">
        <v>2.1025749999999999</v>
      </c>
      <c r="N72">
        <v>2.0628220000000002</v>
      </c>
      <c r="O72">
        <v>2.0074200000000002</v>
      </c>
      <c r="P72">
        <v>5.9372860000000003</v>
      </c>
      <c r="Q72">
        <v>3.8744640000000001</v>
      </c>
      <c r="R72">
        <v>21.043134999999999</v>
      </c>
      <c r="S72">
        <v>21.623895999999998</v>
      </c>
      <c r="T72">
        <v>62.238636</v>
      </c>
      <c r="U72">
        <v>0.44178600000000001</v>
      </c>
      <c r="V72" t="s">
        <v>1433</v>
      </c>
      <c r="W72">
        <v>0</v>
      </c>
      <c r="X72">
        <v>0</v>
      </c>
      <c r="Y72">
        <v>0</v>
      </c>
      <c r="Z72">
        <v>76.079246999999995</v>
      </c>
      <c r="AA72">
        <v>120.599052</v>
      </c>
      <c r="AB72">
        <v>0.36915599999999998</v>
      </c>
      <c r="AC72">
        <v>0.5</v>
      </c>
      <c r="AD72">
        <v>0.8</v>
      </c>
      <c r="AE72">
        <v>161.67115799999999</v>
      </c>
      <c r="AF72">
        <v>37.5</v>
      </c>
      <c r="AG72">
        <v>36.5</v>
      </c>
      <c r="AH72">
        <v>34.520000000000003</v>
      </c>
      <c r="AI72">
        <v>35.9</v>
      </c>
      <c r="AJ72">
        <v>95.4</v>
      </c>
      <c r="AK72">
        <v>156.5</v>
      </c>
      <c r="AL72">
        <v>157.4</v>
      </c>
      <c r="AM72">
        <v>-0.6</v>
      </c>
      <c r="AN72">
        <v>1095</v>
      </c>
      <c r="AO72">
        <v>3.91</v>
      </c>
      <c r="AP72" s="3">
        <v>0.56246527777777777</v>
      </c>
      <c r="AQ72" s="1">
        <v>45176</v>
      </c>
      <c r="AR72">
        <v>-0.48</v>
      </c>
      <c r="AS72">
        <v>2E-3</v>
      </c>
      <c r="AT72">
        <v>3.0000000000000001E-3</v>
      </c>
      <c r="AU72">
        <v>-9999</v>
      </c>
      <c r="AV72">
        <v>-0.92300000000000004</v>
      </c>
      <c r="AW72">
        <v>-0.58699999999999997</v>
      </c>
      <c r="AX72">
        <v>-9999</v>
      </c>
      <c r="AY72">
        <v>1</v>
      </c>
      <c r="AZ72">
        <v>150</v>
      </c>
      <c r="BA72">
        <v>5.0000000000000001E-3</v>
      </c>
      <c r="BB72">
        <v>2</v>
      </c>
      <c r="BC72">
        <v>0</v>
      </c>
      <c r="BD72" t="s">
        <v>200</v>
      </c>
      <c r="BE72">
        <v>7000</v>
      </c>
      <c r="BF72">
        <v>500</v>
      </c>
      <c r="BG72">
        <v>5</v>
      </c>
      <c r="BH72">
        <v>2</v>
      </c>
      <c r="BI72">
        <v>300</v>
      </c>
      <c r="BJ72">
        <v>300</v>
      </c>
      <c r="BK72">
        <v>300</v>
      </c>
      <c r="BL72">
        <v>109.301804</v>
      </c>
      <c r="BM72">
        <v>25</v>
      </c>
      <c r="BN72">
        <v>-8.6427289999999992</v>
      </c>
      <c r="BO72">
        <v>105.397583</v>
      </c>
      <c r="BP72">
        <v>108.202721</v>
      </c>
      <c r="BQ72">
        <v>-2.8051379999999999</v>
      </c>
      <c r="BR72">
        <v>2.4028209999999999</v>
      </c>
      <c r="BS72">
        <v>2.471203</v>
      </c>
      <c r="BT72">
        <v>1.5890409999999999</v>
      </c>
      <c r="BU72">
        <v>1.002008</v>
      </c>
      <c r="BV72">
        <v>0.18734200000000001</v>
      </c>
      <c r="BW72">
        <v>1.7892999999999999E-2</v>
      </c>
      <c r="BX72">
        <v>0.24883</v>
      </c>
      <c r="BY72">
        <v>1.0782849999999999</v>
      </c>
      <c r="BZ72">
        <v>76.079246999999995</v>
      </c>
      <c r="CA72">
        <v>3.4499999999999998E-4</v>
      </c>
      <c r="CB72">
        <v>2.3486280000000002</v>
      </c>
      <c r="CC72">
        <v>-5.1E-5</v>
      </c>
      <c r="CD72">
        <v>1</v>
      </c>
      <c r="CE72">
        <v>2.4109430000000001</v>
      </c>
      <c r="CF72">
        <v>-5.7000000000000003E-5</v>
      </c>
      <c r="CG72">
        <v>1</v>
      </c>
      <c r="CH72">
        <v>0.60051900000000002</v>
      </c>
      <c r="CI72">
        <v>0.60216099999999995</v>
      </c>
      <c r="CJ72">
        <v>0.107265</v>
      </c>
      <c r="CK72">
        <v>0</v>
      </c>
      <c r="CL72" t="s">
        <v>1433</v>
      </c>
      <c r="CM72" t="s">
        <v>201</v>
      </c>
      <c r="CN72" t="s">
        <v>202</v>
      </c>
      <c r="CO72" t="s">
        <v>203</v>
      </c>
      <c r="CP72" t="s">
        <v>204</v>
      </c>
      <c r="CQ72" t="s">
        <v>205</v>
      </c>
      <c r="CR72" t="s">
        <v>206</v>
      </c>
    </row>
    <row r="73" spans="1:96">
      <c r="A73">
        <v>31</v>
      </c>
      <c r="B73" s="3">
        <v>0.56999999999999995</v>
      </c>
      <c r="C73" s="1">
        <v>45176</v>
      </c>
      <c r="D73" t="s">
        <v>196</v>
      </c>
      <c r="E73" t="s">
        <v>197</v>
      </c>
      <c r="G73">
        <v>31</v>
      </c>
      <c r="J73">
        <v>2.1580000000000002E-3</v>
      </c>
      <c r="K73">
        <v>2.9206690000000002</v>
      </c>
      <c r="L73">
        <v>2.1570000000000001E-3</v>
      </c>
      <c r="M73">
        <v>0.113992</v>
      </c>
      <c r="N73">
        <v>1.8879330000000001</v>
      </c>
      <c r="O73">
        <v>1.8849260000000001</v>
      </c>
      <c r="P73">
        <v>6.7003320000000004</v>
      </c>
      <c r="Q73">
        <v>4.8123990000000001</v>
      </c>
      <c r="R73">
        <v>19.768913000000001</v>
      </c>
      <c r="S73">
        <v>19.800442</v>
      </c>
      <c r="T73">
        <v>70.272385</v>
      </c>
      <c r="U73">
        <v>0.44178600000000001</v>
      </c>
      <c r="V73" t="s">
        <v>1434</v>
      </c>
      <c r="W73">
        <v>0</v>
      </c>
      <c r="X73">
        <v>0</v>
      </c>
      <c r="Y73">
        <v>0</v>
      </c>
      <c r="Z73">
        <v>72.718979000000004</v>
      </c>
      <c r="AA73">
        <v>81.782760999999994</v>
      </c>
      <c r="AB73">
        <v>0.110828</v>
      </c>
      <c r="AC73">
        <v>0.5</v>
      </c>
      <c r="AD73">
        <v>0.8</v>
      </c>
      <c r="AE73">
        <v>91.406357</v>
      </c>
      <c r="AF73">
        <v>33.840000000000003</v>
      </c>
      <c r="AG73">
        <v>33.78</v>
      </c>
      <c r="AH73">
        <v>34.78</v>
      </c>
      <c r="AI73">
        <v>38.119999999999997</v>
      </c>
      <c r="AJ73">
        <v>95.35</v>
      </c>
      <c r="AK73">
        <v>156.6</v>
      </c>
      <c r="AL73">
        <v>157.5</v>
      </c>
      <c r="AM73">
        <v>-0.6</v>
      </c>
      <c r="AN73">
        <v>2062</v>
      </c>
      <c r="AO73">
        <v>3.91</v>
      </c>
      <c r="AP73" s="3">
        <v>0.56989583333333338</v>
      </c>
      <c r="AQ73" s="1">
        <v>45176</v>
      </c>
      <c r="AR73">
        <v>-0.47</v>
      </c>
      <c r="AS73">
        <v>-1E-3</v>
      </c>
      <c r="AT73">
        <v>0</v>
      </c>
      <c r="AU73">
        <v>-9999</v>
      </c>
      <c r="AV73">
        <v>-5.5E-2</v>
      </c>
      <c r="AW73">
        <v>-0.33800000000000002</v>
      </c>
      <c r="AX73">
        <v>-9999</v>
      </c>
      <c r="AY73">
        <v>1</v>
      </c>
      <c r="AZ73">
        <v>150</v>
      </c>
      <c r="BA73">
        <v>5.0000000000000001E-3</v>
      </c>
      <c r="BB73">
        <v>2</v>
      </c>
      <c r="BC73">
        <v>0</v>
      </c>
      <c r="BD73" t="s">
        <v>200</v>
      </c>
      <c r="BE73">
        <v>7000</v>
      </c>
      <c r="BF73">
        <v>500</v>
      </c>
      <c r="BG73">
        <v>5</v>
      </c>
      <c r="BH73">
        <v>2</v>
      </c>
      <c r="BI73">
        <v>300</v>
      </c>
      <c r="BJ73">
        <v>300</v>
      </c>
      <c r="BK73">
        <v>300</v>
      </c>
      <c r="BL73">
        <v>81.510902000000002</v>
      </c>
      <c r="BM73">
        <v>25</v>
      </c>
      <c r="BN73">
        <v>-0.155223</v>
      </c>
      <c r="BO73">
        <v>82.321999000000005</v>
      </c>
      <c r="BP73">
        <v>81.560119999999998</v>
      </c>
      <c r="BQ73">
        <v>0.76187899999999997</v>
      </c>
      <c r="BR73">
        <v>2.399222</v>
      </c>
      <c r="BS73">
        <v>2.4659970000000002</v>
      </c>
      <c r="BT73">
        <v>1.589737</v>
      </c>
      <c r="BU73">
        <v>1.002257</v>
      </c>
      <c r="BV73">
        <v>0.185473</v>
      </c>
      <c r="BW73">
        <v>4.4262999999999997E-2</v>
      </c>
      <c r="BX73">
        <v>0.27801500000000001</v>
      </c>
      <c r="BY73">
        <v>1.935927</v>
      </c>
      <c r="BZ73">
        <v>72.718979000000004</v>
      </c>
      <c r="CA73">
        <v>3.48E-4</v>
      </c>
      <c r="CB73">
        <v>2.3486280000000002</v>
      </c>
      <c r="CC73">
        <v>-5.1E-5</v>
      </c>
      <c r="CD73">
        <v>1</v>
      </c>
      <c r="CE73">
        <v>2.4109430000000001</v>
      </c>
      <c r="CF73">
        <v>-5.7000000000000003E-5</v>
      </c>
      <c r="CG73">
        <v>1</v>
      </c>
      <c r="CH73">
        <v>0.60051900000000002</v>
      </c>
      <c r="CI73">
        <v>0.60216099999999995</v>
      </c>
      <c r="CJ73">
        <v>0.107265</v>
      </c>
      <c r="CK73">
        <v>0</v>
      </c>
      <c r="CL73" t="s">
        <v>1434</v>
      </c>
      <c r="CM73" t="s">
        <v>201</v>
      </c>
      <c r="CN73" t="s">
        <v>202</v>
      </c>
      <c r="CO73" t="s">
        <v>203</v>
      </c>
      <c r="CP73" t="s">
        <v>204</v>
      </c>
      <c r="CQ73" t="s">
        <v>205</v>
      </c>
      <c r="CR73" t="s">
        <v>206</v>
      </c>
    </row>
    <row r="74" spans="1:96">
      <c r="A74">
        <v>32</v>
      </c>
      <c r="B74" s="3">
        <v>0.57018518518518524</v>
      </c>
      <c r="C74" s="1">
        <v>45176</v>
      </c>
      <c r="D74" t="s">
        <v>196</v>
      </c>
      <c r="E74" t="s">
        <v>197</v>
      </c>
      <c r="G74">
        <v>32</v>
      </c>
      <c r="J74">
        <v>9.9946999999999994E-2</v>
      </c>
      <c r="K74">
        <v>2.919251</v>
      </c>
      <c r="L74">
        <v>9.6638000000000002E-2</v>
      </c>
      <c r="M74">
        <v>3.339575</v>
      </c>
      <c r="N74">
        <v>2.014008</v>
      </c>
      <c r="O74">
        <v>1.925962</v>
      </c>
      <c r="P74">
        <v>5.1845699999999999</v>
      </c>
      <c r="Q74">
        <v>3.170563</v>
      </c>
      <c r="R74">
        <v>20.199562</v>
      </c>
      <c r="S74">
        <v>21.122982</v>
      </c>
      <c r="T74">
        <v>54.375954</v>
      </c>
      <c r="U74">
        <v>0.44178600000000001</v>
      </c>
      <c r="V74" t="s">
        <v>1435</v>
      </c>
      <c r="W74">
        <v>0</v>
      </c>
      <c r="X74">
        <v>0</v>
      </c>
      <c r="Y74">
        <v>0</v>
      </c>
      <c r="Z74">
        <v>90.766311999999999</v>
      </c>
      <c r="AA74">
        <v>331.61511200000001</v>
      </c>
      <c r="AB74">
        <v>0.72628999999999999</v>
      </c>
      <c r="AC74">
        <v>0.5</v>
      </c>
      <c r="AD74">
        <v>0.8</v>
      </c>
      <c r="AE74">
        <v>310.26312300000001</v>
      </c>
      <c r="AF74">
        <v>36.06</v>
      </c>
      <c r="AG74">
        <v>34.49</v>
      </c>
      <c r="AH74">
        <v>34.79</v>
      </c>
      <c r="AI74">
        <v>33.46</v>
      </c>
      <c r="AJ74">
        <v>95.35</v>
      </c>
      <c r="AK74">
        <v>156.4</v>
      </c>
      <c r="AL74">
        <v>157.5</v>
      </c>
      <c r="AM74">
        <v>-0.7</v>
      </c>
      <c r="AN74">
        <v>1068</v>
      </c>
      <c r="AO74">
        <v>3.9079999999999999</v>
      </c>
      <c r="AP74" s="3">
        <v>0.56989583333333338</v>
      </c>
      <c r="AQ74" s="1">
        <v>45176</v>
      </c>
      <c r="AR74">
        <v>-0.47</v>
      </c>
      <c r="AS74">
        <v>-2E-3</v>
      </c>
      <c r="AT74">
        <v>0</v>
      </c>
      <c r="AU74">
        <v>0</v>
      </c>
      <c r="AV74">
        <v>-12.965999999999999</v>
      </c>
      <c r="AW74">
        <v>4.2329999999999997</v>
      </c>
      <c r="AX74">
        <v>-6.843</v>
      </c>
      <c r="AY74">
        <v>1</v>
      </c>
      <c r="AZ74">
        <v>150</v>
      </c>
      <c r="BA74">
        <v>5.0000000000000001E-3</v>
      </c>
      <c r="BB74">
        <v>2</v>
      </c>
      <c r="BC74">
        <v>0</v>
      </c>
      <c r="BD74" t="s">
        <v>200</v>
      </c>
      <c r="BE74">
        <v>7000</v>
      </c>
      <c r="BF74">
        <v>500</v>
      </c>
      <c r="BG74">
        <v>5</v>
      </c>
      <c r="BH74">
        <v>2</v>
      </c>
      <c r="BI74">
        <v>300</v>
      </c>
      <c r="BJ74">
        <v>300</v>
      </c>
      <c r="BK74">
        <v>300</v>
      </c>
      <c r="BL74">
        <v>312.57568400000002</v>
      </c>
      <c r="BM74">
        <v>25</v>
      </c>
      <c r="BN74">
        <v>-12.959115000000001</v>
      </c>
      <c r="BO74">
        <v>315.55902099999997</v>
      </c>
      <c r="BP74">
        <v>313.02773999999999</v>
      </c>
      <c r="BQ74">
        <v>2.5312809999999999</v>
      </c>
      <c r="BR74">
        <v>2.4001480000000002</v>
      </c>
      <c r="BS74">
        <v>2.4691299999999998</v>
      </c>
      <c r="BT74">
        <v>1.588363</v>
      </c>
      <c r="BU74">
        <v>1.0023960000000001</v>
      </c>
      <c r="BV74">
        <v>0.185363</v>
      </c>
      <c r="BW74">
        <v>-1.7655000000000001E-2</v>
      </c>
      <c r="BX74">
        <v>0.279308</v>
      </c>
      <c r="BY74">
        <v>1.0544279999999999</v>
      </c>
      <c r="BZ74">
        <v>90.766311999999999</v>
      </c>
      <c r="CA74">
        <v>3.59E-4</v>
      </c>
      <c r="CB74">
        <v>2.3486280000000002</v>
      </c>
      <c r="CC74">
        <v>-5.1E-5</v>
      </c>
      <c r="CD74">
        <v>1</v>
      </c>
      <c r="CE74">
        <v>2.4109430000000001</v>
      </c>
      <c r="CF74">
        <v>-5.7000000000000003E-5</v>
      </c>
      <c r="CG74">
        <v>1</v>
      </c>
      <c r="CH74">
        <v>0.60051900000000002</v>
      </c>
      <c r="CI74">
        <v>0.60216099999999995</v>
      </c>
      <c r="CJ74">
        <v>0.107265</v>
      </c>
      <c r="CK74">
        <v>0</v>
      </c>
      <c r="CL74" t="s">
        <v>1435</v>
      </c>
      <c r="CM74" t="s">
        <v>201</v>
      </c>
      <c r="CN74" t="s">
        <v>202</v>
      </c>
      <c r="CO74" t="s">
        <v>203</v>
      </c>
      <c r="CP74" t="s">
        <v>204</v>
      </c>
      <c r="CQ74" t="s">
        <v>205</v>
      </c>
      <c r="CR74" t="s">
        <v>206</v>
      </c>
    </row>
    <row r="75" spans="1:96">
      <c r="A75">
        <v>33</v>
      </c>
      <c r="B75" s="3">
        <v>0.5703125</v>
      </c>
      <c r="C75" s="1">
        <v>45176</v>
      </c>
      <c r="D75" t="s">
        <v>196</v>
      </c>
      <c r="E75" t="s">
        <v>197</v>
      </c>
      <c r="G75">
        <v>33</v>
      </c>
      <c r="J75">
        <v>3.9220999999999999E-2</v>
      </c>
      <c r="K75">
        <v>2.9183300000000001</v>
      </c>
      <c r="L75">
        <v>3.8699999999999998E-2</v>
      </c>
      <c r="M75">
        <v>1.8635489999999999</v>
      </c>
      <c r="N75">
        <v>1.9512229999999999</v>
      </c>
      <c r="O75">
        <v>1.9020250000000001</v>
      </c>
      <c r="P75">
        <v>6.3426520000000002</v>
      </c>
      <c r="Q75">
        <v>4.3914280000000003</v>
      </c>
      <c r="R75">
        <v>19.949078</v>
      </c>
      <c r="S75">
        <v>20.465088000000002</v>
      </c>
      <c r="T75">
        <v>66.523865000000001</v>
      </c>
      <c r="U75">
        <v>0.44178600000000001</v>
      </c>
      <c r="V75" t="s">
        <v>1436</v>
      </c>
      <c r="W75">
        <v>0</v>
      </c>
      <c r="X75">
        <v>0</v>
      </c>
      <c r="Y75">
        <v>0</v>
      </c>
      <c r="Z75">
        <v>83.110213999999999</v>
      </c>
      <c r="AA75">
        <v>121.59345999999999</v>
      </c>
      <c r="AB75">
        <v>0.31649100000000002</v>
      </c>
      <c r="AC75">
        <v>0.5</v>
      </c>
      <c r="AD75">
        <v>0.8</v>
      </c>
      <c r="AE75">
        <v>236.93112199999999</v>
      </c>
      <c r="AF75">
        <v>34.94</v>
      </c>
      <c r="AG75">
        <v>34.049999999999997</v>
      </c>
      <c r="AH75">
        <v>34.799999999999997</v>
      </c>
      <c r="AI75">
        <v>37.11</v>
      </c>
      <c r="AJ75">
        <v>95.34</v>
      </c>
      <c r="AK75">
        <v>156.30000000000001</v>
      </c>
      <c r="AL75">
        <v>157.30000000000001</v>
      </c>
      <c r="AM75">
        <v>-0.6</v>
      </c>
      <c r="AN75">
        <v>1872</v>
      </c>
      <c r="AO75">
        <v>3.907</v>
      </c>
      <c r="AP75" s="3">
        <v>0.56989583333333338</v>
      </c>
      <c r="AQ75" s="1">
        <v>45176</v>
      </c>
      <c r="AR75">
        <v>-0.47</v>
      </c>
      <c r="AS75">
        <v>-4.0000000000000001E-3</v>
      </c>
      <c r="AT75">
        <v>-3.0000000000000001E-3</v>
      </c>
      <c r="AU75">
        <v>-9999</v>
      </c>
      <c r="AV75">
        <v>-1.0309999999999999</v>
      </c>
      <c r="AW75">
        <v>8.5999999999999993E-2</v>
      </c>
      <c r="AX75">
        <v>-9999</v>
      </c>
      <c r="AY75">
        <v>1</v>
      </c>
      <c r="AZ75">
        <v>150</v>
      </c>
      <c r="BA75">
        <v>5.0000000000000001E-3</v>
      </c>
      <c r="BB75">
        <v>2</v>
      </c>
      <c r="BC75">
        <v>0</v>
      </c>
      <c r="BD75" t="s">
        <v>200</v>
      </c>
      <c r="BE75">
        <v>7000</v>
      </c>
      <c r="BF75">
        <v>500</v>
      </c>
      <c r="BG75">
        <v>5</v>
      </c>
      <c r="BH75">
        <v>2</v>
      </c>
      <c r="BI75">
        <v>300</v>
      </c>
      <c r="BJ75">
        <v>300</v>
      </c>
      <c r="BK75">
        <v>300</v>
      </c>
      <c r="BL75">
        <v>108.46817799999999</v>
      </c>
      <c r="BM75">
        <v>25</v>
      </c>
      <c r="BN75">
        <v>-9.576784</v>
      </c>
      <c r="BO75">
        <v>105.26561700000001</v>
      </c>
      <c r="BP75">
        <v>107.85740699999999</v>
      </c>
      <c r="BQ75">
        <v>-2.5917889999999999</v>
      </c>
      <c r="BR75">
        <v>2.3995790000000001</v>
      </c>
      <c r="BS75">
        <v>2.467546</v>
      </c>
      <c r="BT75">
        <v>1.5874729999999999</v>
      </c>
      <c r="BU75">
        <v>1.0016389999999999</v>
      </c>
      <c r="BV75">
        <v>0.18534600000000001</v>
      </c>
      <c r="BW75">
        <v>3.0380000000000001E-2</v>
      </c>
      <c r="BX75">
        <v>0.280061</v>
      </c>
      <c r="BY75">
        <v>1.767102</v>
      </c>
      <c r="BZ75">
        <v>83.110213999999999</v>
      </c>
      <c r="CA75">
        <v>3.4600000000000001E-4</v>
      </c>
      <c r="CB75">
        <v>2.3486280000000002</v>
      </c>
      <c r="CC75">
        <v>-5.1E-5</v>
      </c>
      <c r="CD75">
        <v>1</v>
      </c>
      <c r="CE75">
        <v>2.4109430000000001</v>
      </c>
      <c r="CF75">
        <v>-5.7000000000000003E-5</v>
      </c>
      <c r="CG75">
        <v>1</v>
      </c>
      <c r="CH75">
        <v>0.60051900000000002</v>
      </c>
      <c r="CI75">
        <v>0.60216099999999995</v>
      </c>
      <c r="CJ75">
        <v>0.107265</v>
      </c>
      <c r="CK75">
        <v>0</v>
      </c>
      <c r="CL75" t="s">
        <v>1436</v>
      </c>
      <c r="CM75" t="s">
        <v>201</v>
      </c>
      <c r="CN75" t="s">
        <v>202</v>
      </c>
      <c r="CO75" t="s">
        <v>203</v>
      </c>
      <c r="CP75" t="s">
        <v>204</v>
      </c>
      <c r="CQ75" t="s">
        <v>205</v>
      </c>
      <c r="CR75" t="s">
        <v>206</v>
      </c>
    </row>
    <row r="76" spans="1:96">
      <c r="A76">
        <v>34</v>
      </c>
      <c r="B76" s="3">
        <v>0.57045138888888891</v>
      </c>
      <c r="C76" s="1">
        <v>45176</v>
      </c>
      <c r="D76" t="s">
        <v>196</v>
      </c>
      <c r="E76" t="s">
        <v>197</v>
      </c>
      <c r="G76">
        <v>34</v>
      </c>
      <c r="J76">
        <v>6.0262000000000003E-2</v>
      </c>
      <c r="K76">
        <v>2.9205450000000002</v>
      </c>
      <c r="L76">
        <v>5.9043999999999999E-2</v>
      </c>
      <c r="M76">
        <v>2.6808999999999998</v>
      </c>
      <c r="N76">
        <v>1.9463520000000001</v>
      </c>
      <c r="O76">
        <v>1.8756999999999999</v>
      </c>
      <c r="P76">
        <v>6.0926749999999998</v>
      </c>
      <c r="Q76">
        <v>4.1463229999999998</v>
      </c>
      <c r="R76">
        <v>19.674213000000002</v>
      </c>
      <c r="S76">
        <v>20.415282999999999</v>
      </c>
      <c r="T76">
        <v>63.906052000000003</v>
      </c>
      <c r="U76">
        <v>0.44178600000000001</v>
      </c>
      <c r="V76" t="s">
        <v>1437</v>
      </c>
      <c r="W76">
        <v>0</v>
      </c>
      <c r="X76">
        <v>0</v>
      </c>
      <c r="Y76">
        <v>0</v>
      </c>
      <c r="Z76">
        <v>248.38793899999999</v>
      </c>
      <c r="AA76">
        <v>336.38519300000002</v>
      </c>
      <c r="AB76">
        <v>0.26159700000000002</v>
      </c>
      <c r="AC76">
        <v>0.5</v>
      </c>
      <c r="AD76">
        <v>0.8</v>
      </c>
      <c r="AE76">
        <v>184.15362500000001</v>
      </c>
      <c r="AF76">
        <v>34.85</v>
      </c>
      <c r="AG76">
        <v>33.58</v>
      </c>
      <c r="AH76">
        <v>34.799999999999997</v>
      </c>
      <c r="AI76">
        <v>36.369999999999997</v>
      </c>
      <c r="AJ76">
        <v>95.34</v>
      </c>
      <c r="AK76">
        <v>156.6</v>
      </c>
      <c r="AL76">
        <v>157.5</v>
      </c>
      <c r="AM76">
        <v>-0.6</v>
      </c>
      <c r="AN76">
        <v>1760</v>
      </c>
      <c r="AO76">
        <v>3.9020000000000001</v>
      </c>
      <c r="AP76" s="3">
        <v>0.56989583333333338</v>
      </c>
      <c r="AQ76" s="1">
        <v>45176</v>
      </c>
      <c r="AR76">
        <v>-0.47</v>
      </c>
      <c r="AS76">
        <v>-2E-3</v>
      </c>
      <c r="AT76">
        <v>-3.0000000000000001E-3</v>
      </c>
      <c r="AU76">
        <v>-1E-3</v>
      </c>
      <c r="AV76">
        <v>-4.08</v>
      </c>
      <c r="AW76">
        <v>-2.7189999999999999</v>
      </c>
      <c r="AX76">
        <v>-4.6420000000000003</v>
      </c>
      <c r="AY76">
        <v>1</v>
      </c>
      <c r="AZ76">
        <v>150</v>
      </c>
      <c r="BA76">
        <v>5.0000000000000001E-3</v>
      </c>
      <c r="BB76">
        <v>2</v>
      </c>
      <c r="BC76">
        <v>0</v>
      </c>
      <c r="BD76" t="s">
        <v>200</v>
      </c>
      <c r="BE76">
        <v>7000</v>
      </c>
      <c r="BF76">
        <v>500</v>
      </c>
      <c r="BG76">
        <v>5</v>
      </c>
      <c r="BH76">
        <v>2</v>
      </c>
      <c r="BI76">
        <v>300</v>
      </c>
      <c r="BJ76">
        <v>300</v>
      </c>
      <c r="BK76">
        <v>300</v>
      </c>
      <c r="BL76">
        <v>331.702698</v>
      </c>
      <c r="BM76">
        <v>25</v>
      </c>
      <c r="BN76">
        <v>-3.1171389999999999</v>
      </c>
      <c r="BO76">
        <v>335.62338299999999</v>
      </c>
      <c r="BP76">
        <v>331.91424599999999</v>
      </c>
      <c r="BQ76">
        <v>3.7091370000000001</v>
      </c>
      <c r="BR76">
        <v>2.3989539999999998</v>
      </c>
      <c r="BS76">
        <v>2.467419</v>
      </c>
      <c r="BT76">
        <v>1.5896159999999999</v>
      </c>
      <c r="BU76">
        <v>1.0022690000000001</v>
      </c>
      <c r="BV76">
        <v>0.185336</v>
      </c>
      <c r="BW76">
        <v>2.0517000000000001E-2</v>
      </c>
      <c r="BX76">
        <v>0.28102199999999999</v>
      </c>
      <c r="BY76">
        <v>1.668085</v>
      </c>
      <c r="BZ76">
        <v>248.38793899999999</v>
      </c>
      <c r="CA76">
        <v>3.4699999999999998E-4</v>
      </c>
      <c r="CB76">
        <v>2.3486280000000002</v>
      </c>
      <c r="CC76">
        <v>-5.1E-5</v>
      </c>
      <c r="CD76">
        <v>1</v>
      </c>
      <c r="CE76">
        <v>2.4109430000000001</v>
      </c>
      <c r="CF76">
        <v>-5.7000000000000003E-5</v>
      </c>
      <c r="CG76">
        <v>1</v>
      </c>
      <c r="CH76">
        <v>0.60051900000000002</v>
      </c>
      <c r="CI76">
        <v>0.60216099999999995</v>
      </c>
      <c r="CJ76">
        <v>0.107265</v>
      </c>
      <c r="CK76">
        <v>0</v>
      </c>
      <c r="CL76" t="s">
        <v>1437</v>
      </c>
      <c r="CM76" t="s">
        <v>201</v>
      </c>
      <c r="CN76" t="s">
        <v>202</v>
      </c>
      <c r="CO76" t="s">
        <v>203</v>
      </c>
      <c r="CP76" t="s">
        <v>204</v>
      </c>
      <c r="CQ76" t="s">
        <v>205</v>
      </c>
      <c r="CR76" t="s">
        <v>206</v>
      </c>
    </row>
    <row r="77" spans="1:96">
      <c r="A77">
        <v>35</v>
      </c>
      <c r="B77" s="3">
        <v>0.57417824074074075</v>
      </c>
      <c r="C77" s="1">
        <v>45176</v>
      </c>
      <c r="D77" t="s">
        <v>196</v>
      </c>
      <c r="E77" t="s">
        <v>197</v>
      </c>
      <c r="G77">
        <v>35</v>
      </c>
      <c r="J77">
        <v>3.9947000000000003E-2</v>
      </c>
      <c r="K77">
        <v>2.920995</v>
      </c>
      <c r="L77">
        <v>3.9407999999999999E-2</v>
      </c>
      <c r="M77">
        <v>1.7538879999999999</v>
      </c>
      <c r="N77">
        <v>1.9776309999999999</v>
      </c>
      <c r="O77">
        <v>1.931424</v>
      </c>
      <c r="P77">
        <v>6.0438039999999997</v>
      </c>
      <c r="Q77">
        <v>4.066173</v>
      </c>
      <c r="R77">
        <v>20.251377000000002</v>
      </c>
      <c r="S77">
        <v>20.735865</v>
      </c>
      <c r="T77">
        <v>63.370510000000003</v>
      </c>
      <c r="U77">
        <v>0.44178600000000001</v>
      </c>
      <c r="V77" t="s">
        <v>1438</v>
      </c>
      <c r="W77">
        <v>0</v>
      </c>
      <c r="X77">
        <v>0</v>
      </c>
      <c r="Y77">
        <v>0</v>
      </c>
      <c r="Z77">
        <v>78.230377000000004</v>
      </c>
      <c r="AA77">
        <v>152.398956</v>
      </c>
      <c r="AB77">
        <v>0.486674</v>
      </c>
      <c r="AC77">
        <v>0.5</v>
      </c>
      <c r="AD77">
        <v>0.8</v>
      </c>
      <c r="AE77">
        <v>272.24453699999998</v>
      </c>
      <c r="AF77">
        <v>35.83</v>
      </c>
      <c r="AG77">
        <v>34.99</v>
      </c>
      <c r="AH77">
        <v>34.590000000000003</v>
      </c>
      <c r="AI77">
        <v>36.229999999999997</v>
      </c>
      <c r="AJ77">
        <v>95.37</v>
      </c>
      <c r="AK77">
        <v>156.6</v>
      </c>
      <c r="AL77">
        <v>157.6</v>
      </c>
      <c r="AM77">
        <v>-0.7</v>
      </c>
      <c r="AN77">
        <v>1398</v>
      </c>
      <c r="AO77">
        <v>3.8969999999999998</v>
      </c>
      <c r="AP77" s="3">
        <v>0.56989583333333338</v>
      </c>
      <c r="AQ77" s="1">
        <v>45176</v>
      </c>
      <c r="AR77">
        <v>-0.47</v>
      </c>
      <c r="AS77">
        <v>-1E-3</v>
      </c>
      <c r="AT77">
        <v>1E-3</v>
      </c>
      <c r="AU77">
        <v>7.0000000000000001E-3</v>
      </c>
      <c r="AV77">
        <v>0.123</v>
      </c>
      <c r="AW77">
        <v>2.3559999999999999</v>
      </c>
      <c r="AX77">
        <v>10.329000000000001</v>
      </c>
      <c r="AY77">
        <v>1</v>
      </c>
      <c r="AZ77">
        <v>150</v>
      </c>
      <c r="BA77">
        <v>5.0000000000000001E-3</v>
      </c>
      <c r="BB77">
        <v>2</v>
      </c>
      <c r="BC77">
        <v>0</v>
      </c>
      <c r="BD77" t="s">
        <v>200</v>
      </c>
      <c r="BE77">
        <v>7000</v>
      </c>
      <c r="BF77">
        <v>500</v>
      </c>
      <c r="BG77">
        <v>5</v>
      </c>
      <c r="BH77">
        <v>2</v>
      </c>
      <c r="BI77">
        <v>300</v>
      </c>
      <c r="BJ77">
        <v>300</v>
      </c>
      <c r="BK77">
        <v>300</v>
      </c>
      <c r="BL77">
        <v>130.24485799999999</v>
      </c>
      <c r="BM77">
        <v>25</v>
      </c>
      <c r="BN77">
        <v>-16.311578999999998</v>
      </c>
      <c r="BO77">
        <v>123.56793999999999</v>
      </c>
      <c r="BP77">
        <v>129.003128</v>
      </c>
      <c r="BQ77">
        <v>-5.4351880000000001</v>
      </c>
      <c r="BR77">
        <v>2.4008440000000002</v>
      </c>
      <c r="BS77">
        <v>2.4688379999999999</v>
      </c>
      <c r="BT77">
        <v>1.5900529999999999</v>
      </c>
      <c r="BU77">
        <v>1.002748</v>
      </c>
      <c r="BV77">
        <v>0.18687899999999999</v>
      </c>
      <c r="BW77">
        <v>2.1360000000000001E-2</v>
      </c>
      <c r="BX77">
        <v>0.30561700000000003</v>
      </c>
      <c r="BY77">
        <v>1.3475630000000001</v>
      </c>
      <c r="BZ77">
        <v>78.230377000000004</v>
      </c>
      <c r="CA77">
        <v>3.5799999999999997E-4</v>
      </c>
      <c r="CB77">
        <v>2.3486280000000002</v>
      </c>
      <c r="CC77">
        <v>-5.1E-5</v>
      </c>
      <c r="CD77">
        <v>1</v>
      </c>
      <c r="CE77">
        <v>2.4109430000000001</v>
      </c>
      <c r="CF77">
        <v>-5.7000000000000003E-5</v>
      </c>
      <c r="CG77">
        <v>1</v>
      </c>
      <c r="CH77">
        <v>0.60051900000000002</v>
      </c>
      <c r="CI77">
        <v>0.60216099999999995</v>
      </c>
      <c r="CJ77">
        <v>0.107265</v>
      </c>
      <c r="CK77">
        <v>0</v>
      </c>
      <c r="CL77" t="s">
        <v>1438</v>
      </c>
      <c r="CM77" t="s">
        <v>201</v>
      </c>
      <c r="CN77" t="s">
        <v>202</v>
      </c>
      <c r="CO77" t="s">
        <v>203</v>
      </c>
      <c r="CP77" t="s">
        <v>204</v>
      </c>
      <c r="CQ77" t="s">
        <v>205</v>
      </c>
      <c r="CR77" t="s">
        <v>206</v>
      </c>
    </row>
    <row r="78" spans="1:96">
      <c r="A78">
        <v>36</v>
      </c>
      <c r="B78" s="3">
        <v>0.57430555555555551</v>
      </c>
      <c r="C78" s="1">
        <v>45176</v>
      </c>
      <c r="D78" t="s">
        <v>196</v>
      </c>
      <c r="E78" t="s">
        <v>197</v>
      </c>
      <c r="G78">
        <v>36</v>
      </c>
      <c r="J78">
        <v>4.6074999999999998E-2</v>
      </c>
      <c r="K78">
        <v>2.9204759999999998</v>
      </c>
      <c r="L78">
        <v>4.5358999999999997E-2</v>
      </c>
      <c r="M78">
        <v>1.9045160000000001</v>
      </c>
      <c r="N78">
        <v>1.949695</v>
      </c>
      <c r="O78">
        <v>1.8994850000000001</v>
      </c>
      <c r="P78">
        <v>5.7915830000000001</v>
      </c>
      <c r="Q78">
        <v>3.8418869999999998</v>
      </c>
      <c r="R78">
        <v>19.916692999999999</v>
      </c>
      <c r="S78">
        <v>20.443162999999998</v>
      </c>
      <c r="T78">
        <v>60.726559000000002</v>
      </c>
      <c r="U78">
        <v>0.44178600000000001</v>
      </c>
      <c r="V78" t="s">
        <v>1439</v>
      </c>
      <c r="W78">
        <v>0</v>
      </c>
      <c r="X78">
        <v>0</v>
      </c>
      <c r="Y78">
        <v>0</v>
      </c>
      <c r="Z78">
        <v>77.576637000000005</v>
      </c>
      <c r="AA78">
        <v>150.09210200000001</v>
      </c>
      <c r="AB78">
        <v>0.48314000000000001</v>
      </c>
      <c r="AC78">
        <v>0.5</v>
      </c>
      <c r="AD78">
        <v>0.8</v>
      </c>
      <c r="AE78">
        <v>213.95841999999999</v>
      </c>
      <c r="AF78">
        <v>35.31</v>
      </c>
      <c r="AG78">
        <v>34.4</v>
      </c>
      <c r="AH78">
        <v>34.590000000000003</v>
      </c>
      <c r="AI78">
        <v>35.450000000000003</v>
      </c>
      <c r="AJ78">
        <v>95.37</v>
      </c>
      <c r="AK78">
        <v>156.5</v>
      </c>
      <c r="AL78">
        <v>157.6</v>
      </c>
      <c r="AM78">
        <v>-0.6</v>
      </c>
      <c r="AN78">
        <v>1107</v>
      </c>
      <c r="AO78">
        <v>3.8679999999999999</v>
      </c>
      <c r="AP78" s="3">
        <v>0.56989583333333338</v>
      </c>
      <c r="AQ78" s="1">
        <v>45176</v>
      </c>
      <c r="AR78">
        <v>-0.47</v>
      </c>
      <c r="AS78">
        <v>-1E-3</v>
      </c>
      <c r="AT78">
        <v>-1E-3</v>
      </c>
      <c r="AU78">
        <v>1.2999999999999999E-2</v>
      </c>
      <c r="AV78">
        <v>-0.39500000000000002</v>
      </c>
      <c r="AW78">
        <v>-0.48599999999999999</v>
      </c>
      <c r="AX78">
        <v>-3.49</v>
      </c>
      <c r="AY78">
        <v>1</v>
      </c>
      <c r="AZ78">
        <v>150</v>
      </c>
      <c r="BA78">
        <v>5.0000000000000001E-3</v>
      </c>
      <c r="BB78">
        <v>2</v>
      </c>
      <c r="BC78">
        <v>0</v>
      </c>
      <c r="BD78" t="s">
        <v>200</v>
      </c>
      <c r="BE78">
        <v>7000</v>
      </c>
      <c r="BF78">
        <v>500</v>
      </c>
      <c r="BG78">
        <v>5</v>
      </c>
      <c r="BH78">
        <v>2</v>
      </c>
      <c r="BI78">
        <v>300</v>
      </c>
      <c r="BJ78">
        <v>300</v>
      </c>
      <c r="BK78">
        <v>300</v>
      </c>
      <c r="BL78">
        <v>131.75296</v>
      </c>
      <c r="BM78">
        <v>25</v>
      </c>
      <c r="BN78">
        <v>-13.290380000000001</v>
      </c>
      <c r="BO78">
        <v>127.382401</v>
      </c>
      <c r="BP78">
        <v>131.02960200000001</v>
      </c>
      <c r="BQ78">
        <v>-3.6472020000000001</v>
      </c>
      <c r="BR78">
        <v>2.4000720000000002</v>
      </c>
      <c r="BS78">
        <v>2.4681129999999998</v>
      </c>
      <c r="BT78">
        <v>1.58955</v>
      </c>
      <c r="BU78">
        <v>1.0024979999999999</v>
      </c>
      <c r="BV78">
        <v>0.18684300000000001</v>
      </c>
      <c r="BW78">
        <v>1.1027E-2</v>
      </c>
      <c r="BX78">
        <v>0.30637799999999998</v>
      </c>
      <c r="BY78">
        <v>1.0891519999999999</v>
      </c>
      <c r="BZ78">
        <v>77.576637000000005</v>
      </c>
      <c r="CA78">
        <v>3.4600000000000001E-4</v>
      </c>
      <c r="CB78">
        <v>2.3486280000000002</v>
      </c>
      <c r="CC78">
        <v>-5.1E-5</v>
      </c>
      <c r="CD78">
        <v>1</v>
      </c>
      <c r="CE78">
        <v>2.4109430000000001</v>
      </c>
      <c r="CF78">
        <v>-5.7000000000000003E-5</v>
      </c>
      <c r="CG78">
        <v>1</v>
      </c>
      <c r="CH78">
        <v>0.60051900000000002</v>
      </c>
      <c r="CI78">
        <v>0.60216099999999995</v>
      </c>
      <c r="CJ78">
        <v>0.107265</v>
      </c>
      <c r="CK78">
        <v>0</v>
      </c>
      <c r="CL78" t="s">
        <v>1439</v>
      </c>
      <c r="CM78" t="s">
        <v>201</v>
      </c>
      <c r="CN78" t="s">
        <v>202</v>
      </c>
      <c r="CO78" t="s">
        <v>203</v>
      </c>
      <c r="CP78" t="s">
        <v>204</v>
      </c>
      <c r="CQ78" t="s">
        <v>205</v>
      </c>
      <c r="CR78" t="s">
        <v>206</v>
      </c>
    </row>
    <row r="79" spans="1:96">
      <c r="A79">
        <v>37</v>
      </c>
      <c r="B79" s="3">
        <v>0.57447916666666665</v>
      </c>
      <c r="C79" s="1">
        <v>45176</v>
      </c>
      <c r="D79" t="s">
        <v>196</v>
      </c>
      <c r="E79" t="s">
        <v>197</v>
      </c>
      <c r="G79">
        <v>37</v>
      </c>
      <c r="J79">
        <v>7.3145000000000002E-2</v>
      </c>
      <c r="K79">
        <v>2.9185759999999998</v>
      </c>
      <c r="L79">
        <v>7.1357000000000004E-2</v>
      </c>
      <c r="M79">
        <v>2.4406370000000002</v>
      </c>
      <c r="N79">
        <v>1.9712799999999999</v>
      </c>
      <c r="O79">
        <v>1.9068560000000001</v>
      </c>
      <c r="P79">
        <v>5.112069</v>
      </c>
      <c r="Q79">
        <v>3.1407880000000001</v>
      </c>
      <c r="R79">
        <v>19.994555999999999</v>
      </c>
      <c r="S79">
        <v>20.670086000000001</v>
      </c>
      <c r="T79">
        <v>53.603183999999999</v>
      </c>
      <c r="U79">
        <v>0.44178600000000001</v>
      </c>
      <c r="V79" t="s">
        <v>1440</v>
      </c>
      <c r="W79">
        <v>0</v>
      </c>
      <c r="X79">
        <v>0</v>
      </c>
      <c r="Y79">
        <v>0</v>
      </c>
      <c r="Z79">
        <v>114.569664</v>
      </c>
      <c r="AA79">
        <v>284.12582400000002</v>
      </c>
      <c r="AB79">
        <v>0.59676399999999996</v>
      </c>
      <c r="AC79">
        <v>0.5</v>
      </c>
      <c r="AD79">
        <v>0.8</v>
      </c>
      <c r="AE79">
        <v>180.50225800000001</v>
      </c>
      <c r="AF79">
        <v>35.72</v>
      </c>
      <c r="AG79">
        <v>34.549999999999997</v>
      </c>
      <c r="AH79">
        <v>34.58</v>
      </c>
      <c r="AI79">
        <v>33.21</v>
      </c>
      <c r="AJ79">
        <v>95.37</v>
      </c>
      <c r="AK79">
        <v>156.30000000000001</v>
      </c>
      <c r="AL79">
        <v>157.69999999999999</v>
      </c>
      <c r="AM79">
        <v>-0.9</v>
      </c>
      <c r="AN79">
        <v>756</v>
      </c>
      <c r="AO79">
        <v>3.9</v>
      </c>
      <c r="AP79" s="3">
        <v>0.56989583333333338</v>
      </c>
      <c r="AQ79" s="1">
        <v>45176</v>
      </c>
      <c r="AR79">
        <v>-0.47</v>
      </c>
      <c r="AS79">
        <v>2E-3</v>
      </c>
      <c r="AT79">
        <v>3.0000000000000001E-3</v>
      </c>
      <c r="AU79">
        <v>-9999</v>
      </c>
      <c r="AV79">
        <v>1.403</v>
      </c>
      <c r="AW79">
        <v>3.8180000000000001</v>
      </c>
      <c r="AX79">
        <v>-9999</v>
      </c>
      <c r="AY79">
        <v>1</v>
      </c>
      <c r="AZ79">
        <v>150</v>
      </c>
      <c r="BA79">
        <v>5.0000000000000001E-3</v>
      </c>
      <c r="BB79">
        <v>2</v>
      </c>
      <c r="BC79">
        <v>0</v>
      </c>
      <c r="BD79" t="s">
        <v>200</v>
      </c>
      <c r="BE79">
        <v>7000</v>
      </c>
      <c r="BF79">
        <v>500</v>
      </c>
      <c r="BG79">
        <v>5</v>
      </c>
      <c r="BH79">
        <v>2</v>
      </c>
      <c r="BI79">
        <v>300</v>
      </c>
      <c r="BJ79">
        <v>300</v>
      </c>
      <c r="BK79">
        <v>300</v>
      </c>
      <c r="BL79">
        <v>257.34329200000002</v>
      </c>
      <c r="BM79">
        <v>25</v>
      </c>
      <c r="BN79">
        <v>-18.851268999999998</v>
      </c>
      <c r="BO79">
        <v>254.20188899999999</v>
      </c>
      <c r="BP79">
        <v>257.087311</v>
      </c>
      <c r="BQ79">
        <v>-2.8854220000000002</v>
      </c>
      <c r="BR79">
        <v>2.4002659999999998</v>
      </c>
      <c r="BS79">
        <v>2.468683</v>
      </c>
      <c r="BT79">
        <v>1.58771</v>
      </c>
      <c r="BU79">
        <v>1.003044</v>
      </c>
      <c r="BV79">
        <v>0.186894</v>
      </c>
      <c r="BW79">
        <v>-1.813E-2</v>
      </c>
      <c r="BX79">
        <v>0.30743599999999999</v>
      </c>
      <c r="BY79">
        <v>0.77789699999999995</v>
      </c>
      <c r="BZ79">
        <v>114.569664</v>
      </c>
      <c r="CA79">
        <v>3.5E-4</v>
      </c>
      <c r="CB79">
        <v>2.3486280000000002</v>
      </c>
      <c r="CC79">
        <v>-5.1E-5</v>
      </c>
      <c r="CD79">
        <v>1</v>
      </c>
      <c r="CE79">
        <v>2.4109430000000001</v>
      </c>
      <c r="CF79">
        <v>-5.7000000000000003E-5</v>
      </c>
      <c r="CG79">
        <v>1</v>
      </c>
      <c r="CH79">
        <v>0.60051900000000002</v>
      </c>
      <c r="CI79">
        <v>0.60216099999999995</v>
      </c>
      <c r="CJ79">
        <v>0.107265</v>
      </c>
      <c r="CK79">
        <v>0</v>
      </c>
      <c r="CL79" t="s">
        <v>1440</v>
      </c>
      <c r="CM79" t="s">
        <v>201</v>
      </c>
      <c r="CN79" t="s">
        <v>202</v>
      </c>
      <c r="CO79" t="s">
        <v>203</v>
      </c>
      <c r="CP79" t="s">
        <v>204</v>
      </c>
      <c r="CQ79" t="s">
        <v>205</v>
      </c>
      <c r="CR79" t="s">
        <v>206</v>
      </c>
    </row>
    <row r="80" spans="1:96">
      <c r="A80">
        <v>38</v>
      </c>
      <c r="B80" s="3">
        <v>0.57461805555555556</v>
      </c>
      <c r="C80" s="1">
        <v>45176</v>
      </c>
      <c r="D80" t="s">
        <v>196</v>
      </c>
      <c r="E80" t="s">
        <v>197</v>
      </c>
      <c r="G80">
        <v>38</v>
      </c>
      <c r="J80">
        <v>2.5534000000000001E-2</v>
      </c>
      <c r="K80">
        <v>2.9193190000000002</v>
      </c>
      <c r="L80">
        <v>2.5312999999999999E-2</v>
      </c>
      <c r="M80">
        <v>1.097583</v>
      </c>
      <c r="N80">
        <v>1.9307289999999999</v>
      </c>
      <c r="O80">
        <v>1.901762</v>
      </c>
      <c r="P80">
        <v>5.8962630000000003</v>
      </c>
      <c r="Q80">
        <v>3.9655330000000002</v>
      </c>
      <c r="R80">
        <v>19.941402</v>
      </c>
      <c r="S80">
        <v>20.245149999999999</v>
      </c>
      <c r="T80">
        <v>61.826751999999999</v>
      </c>
      <c r="U80">
        <v>0.44178600000000001</v>
      </c>
      <c r="V80" t="s">
        <v>1441</v>
      </c>
      <c r="W80">
        <v>0</v>
      </c>
      <c r="X80">
        <v>0</v>
      </c>
      <c r="Y80">
        <v>0</v>
      </c>
      <c r="Z80">
        <v>105.73983</v>
      </c>
      <c r="AA80">
        <v>156.17477400000001</v>
      </c>
      <c r="AB80">
        <v>0.32293899999999998</v>
      </c>
      <c r="AC80">
        <v>0.5</v>
      </c>
      <c r="AD80">
        <v>0.8</v>
      </c>
      <c r="AE80">
        <v>211.917236</v>
      </c>
      <c r="AF80">
        <v>35.01</v>
      </c>
      <c r="AG80">
        <v>34.49</v>
      </c>
      <c r="AH80">
        <v>34.57</v>
      </c>
      <c r="AI80">
        <v>35.78</v>
      </c>
      <c r="AJ80">
        <v>95.37</v>
      </c>
      <c r="AK80">
        <v>156.4</v>
      </c>
      <c r="AL80">
        <v>157.6</v>
      </c>
      <c r="AM80">
        <v>-0.8</v>
      </c>
      <c r="AN80">
        <v>1641</v>
      </c>
      <c r="AO80">
        <v>3.89</v>
      </c>
      <c r="AP80" s="3">
        <v>0.56989583333333338</v>
      </c>
      <c r="AQ80" s="1">
        <v>45176</v>
      </c>
      <c r="AR80">
        <v>-0.47</v>
      </c>
      <c r="AS80">
        <v>-1E-3</v>
      </c>
      <c r="AT80">
        <v>0</v>
      </c>
      <c r="AU80">
        <v>0</v>
      </c>
      <c r="AV80">
        <v>-1.611</v>
      </c>
      <c r="AW80">
        <v>-3.859</v>
      </c>
      <c r="AX80">
        <v>-9.61</v>
      </c>
      <c r="AY80">
        <v>1</v>
      </c>
      <c r="AZ80">
        <v>150</v>
      </c>
      <c r="BA80">
        <v>5.0000000000000001E-3</v>
      </c>
      <c r="BB80">
        <v>2</v>
      </c>
      <c r="BC80">
        <v>0</v>
      </c>
      <c r="BD80" t="s">
        <v>200</v>
      </c>
      <c r="BE80">
        <v>7000</v>
      </c>
      <c r="BF80">
        <v>500</v>
      </c>
      <c r="BG80">
        <v>5</v>
      </c>
      <c r="BH80">
        <v>2</v>
      </c>
      <c r="BI80">
        <v>300</v>
      </c>
      <c r="BJ80">
        <v>300</v>
      </c>
      <c r="BK80">
        <v>300</v>
      </c>
      <c r="BL80">
        <v>149.52027899999999</v>
      </c>
      <c r="BM80">
        <v>25</v>
      </c>
      <c r="BN80">
        <v>-4.6738980000000003</v>
      </c>
      <c r="BO80">
        <v>150.38252299999999</v>
      </c>
      <c r="BP80">
        <v>149.47096300000001</v>
      </c>
      <c r="BQ80">
        <v>0.91156000000000004</v>
      </c>
      <c r="BR80">
        <v>2.4001869999999998</v>
      </c>
      <c r="BS80">
        <v>2.4676960000000001</v>
      </c>
      <c r="BT80">
        <v>1.588428</v>
      </c>
      <c r="BU80">
        <v>1.0026569999999999</v>
      </c>
      <c r="BV80">
        <v>0.18700700000000001</v>
      </c>
      <c r="BW80">
        <v>1.562E-2</v>
      </c>
      <c r="BX80">
        <v>0.30824600000000002</v>
      </c>
      <c r="BY80">
        <v>1.5622229999999999</v>
      </c>
      <c r="BZ80">
        <v>105.73983</v>
      </c>
      <c r="CA80">
        <v>3.4299999999999999E-4</v>
      </c>
      <c r="CB80">
        <v>2.3486280000000002</v>
      </c>
      <c r="CC80">
        <v>-5.1E-5</v>
      </c>
      <c r="CD80">
        <v>1</v>
      </c>
      <c r="CE80">
        <v>2.4109430000000001</v>
      </c>
      <c r="CF80">
        <v>-5.7000000000000003E-5</v>
      </c>
      <c r="CG80">
        <v>1</v>
      </c>
      <c r="CH80">
        <v>0.60051900000000002</v>
      </c>
      <c r="CI80">
        <v>0.60216099999999995</v>
      </c>
      <c r="CJ80">
        <v>0.107265</v>
      </c>
      <c r="CK80">
        <v>0</v>
      </c>
      <c r="CL80" t="s">
        <v>1441</v>
      </c>
      <c r="CM80" t="s">
        <v>201</v>
      </c>
      <c r="CN80" t="s">
        <v>202</v>
      </c>
      <c r="CO80" t="s">
        <v>203</v>
      </c>
      <c r="CP80" t="s">
        <v>204</v>
      </c>
      <c r="CQ80" t="s">
        <v>205</v>
      </c>
      <c r="CR80" t="s">
        <v>206</v>
      </c>
    </row>
    <row r="81" spans="1:96">
      <c r="A81">
        <v>39</v>
      </c>
      <c r="B81" s="3">
        <v>0.5819791666666666</v>
      </c>
      <c r="C81" s="1">
        <v>45176</v>
      </c>
      <c r="D81" t="s">
        <v>196</v>
      </c>
      <c r="E81" t="s">
        <v>197</v>
      </c>
      <c r="G81">
        <v>39</v>
      </c>
      <c r="J81">
        <v>1.0815999999999999E-2</v>
      </c>
      <c r="K81">
        <v>2.9196810000000002</v>
      </c>
      <c r="L81">
        <v>1.0776000000000001E-2</v>
      </c>
      <c r="M81">
        <v>0.58272299999999999</v>
      </c>
      <c r="N81">
        <v>1.8512649999999999</v>
      </c>
      <c r="O81">
        <v>1.8359019999999999</v>
      </c>
      <c r="P81">
        <v>6.7672629999999998</v>
      </c>
      <c r="Q81">
        <v>4.9159980000000001</v>
      </c>
      <c r="R81">
        <v>19.281493999999999</v>
      </c>
      <c r="S81">
        <v>19.442841999999999</v>
      </c>
      <c r="T81">
        <v>71.072936999999996</v>
      </c>
      <c r="U81">
        <v>0.44178600000000001</v>
      </c>
      <c r="V81" t="s">
        <v>1442</v>
      </c>
      <c r="W81">
        <v>0</v>
      </c>
      <c r="X81">
        <v>0</v>
      </c>
      <c r="Y81">
        <v>0</v>
      </c>
      <c r="Z81">
        <v>123.31688699999999</v>
      </c>
      <c r="AA81">
        <v>152.546829</v>
      </c>
      <c r="AB81">
        <v>0.19161300000000001</v>
      </c>
      <c r="AC81">
        <v>0.5</v>
      </c>
      <c r="AD81">
        <v>0.8</v>
      </c>
      <c r="AE81">
        <v>148.60043300000001</v>
      </c>
      <c r="AF81">
        <v>32.94</v>
      </c>
      <c r="AG81">
        <v>32.67</v>
      </c>
      <c r="AH81">
        <v>34.909999999999997</v>
      </c>
      <c r="AI81">
        <v>38.299999999999997</v>
      </c>
      <c r="AJ81">
        <v>95.22</v>
      </c>
      <c r="AK81">
        <v>156.5</v>
      </c>
      <c r="AL81">
        <v>157.4</v>
      </c>
      <c r="AM81">
        <v>-0.6</v>
      </c>
      <c r="AN81">
        <v>1939</v>
      </c>
      <c r="AO81">
        <v>3.8889999999999998</v>
      </c>
      <c r="AP81" s="3">
        <v>0.58187500000000003</v>
      </c>
      <c r="AQ81" s="1">
        <v>45176</v>
      </c>
      <c r="AR81">
        <v>-0.5</v>
      </c>
      <c r="AS81">
        <v>0</v>
      </c>
      <c r="AT81">
        <v>1E-3</v>
      </c>
      <c r="AU81">
        <v>-9999</v>
      </c>
      <c r="AV81">
        <v>-1.9319999999999999</v>
      </c>
      <c r="AW81">
        <v>-2.1749999999999998</v>
      </c>
      <c r="AX81">
        <v>-9999</v>
      </c>
      <c r="AY81">
        <v>1</v>
      </c>
      <c r="AZ81">
        <v>150</v>
      </c>
      <c r="BA81">
        <v>5.0000000000000001E-3</v>
      </c>
      <c r="BB81">
        <v>2</v>
      </c>
      <c r="BC81">
        <v>0</v>
      </c>
      <c r="BD81" t="s">
        <v>200</v>
      </c>
      <c r="BE81">
        <v>7000</v>
      </c>
      <c r="BF81">
        <v>500</v>
      </c>
      <c r="BG81">
        <v>5</v>
      </c>
      <c r="BH81">
        <v>2</v>
      </c>
      <c r="BI81">
        <v>300</v>
      </c>
      <c r="BJ81">
        <v>300</v>
      </c>
      <c r="BK81">
        <v>300</v>
      </c>
      <c r="BL81">
        <v>150.55059800000001</v>
      </c>
      <c r="BM81">
        <v>25</v>
      </c>
      <c r="BN81">
        <v>-1.347683</v>
      </c>
      <c r="BO81">
        <v>152.16386399999999</v>
      </c>
      <c r="BP81">
        <v>150.613831</v>
      </c>
      <c r="BQ81">
        <v>1.5500339999999999</v>
      </c>
      <c r="BR81">
        <v>2.3977249999999999</v>
      </c>
      <c r="BS81">
        <v>2.464753</v>
      </c>
      <c r="BT81">
        <v>1.5887789999999999</v>
      </c>
      <c r="BU81">
        <v>1.0019370000000001</v>
      </c>
      <c r="BV81">
        <v>0.184532</v>
      </c>
      <c r="BW81">
        <v>4.5038000000000002E-2</v>
      </c>
      <c r="BX81">
        <v>0.35300599999999999</v>
      </c>
      <c r="BY81">
        <v>1.826757</v>
      </c>
      <c r="BZ81">
        <v>123.31688699999999</v>
      </c>
      <c r="CA81">
        <v>3.4200000000000002E-4</v>
      </c>
      <c r="CB81">
        <v>2.3486280000000002</v>
      </c>
      <c r="CC81">
        <v>-5.1E-5</v>
      </c>
      <c r="CD81">
        <v>1</v>
      </c>
      <c r="CE81">
        <v>2.4109430000000001</v>
      </c>
      <c r="CF81">
        <v>-5.7000000000000003E-5</v>
      </c>
      <c r="CG81">
        <v>1</v>
      </c>
      <c r="CH81">
        <v>0.60051900000000002</v>
      </c>
      <c r="CI81">
        <v>0.60216099999999995</v>
      </c>
      <c r="CJ81">
        <v>0.107265</v>
      </c>
      <c r="CK81">
        <v>0</v>
      </c>
      <c r="CL81" t="s">
        <v>1442</v>
      </c>
      <c r="CM81" t="s">
        <v>201</v>
      </c>
      <c r="CN81" t="s">
        <v>202</v>
      </c>
      <c r="CO81" t="s">
        <v>203</v>
      </c>
      <c r="CP81" t="s">
        <v>204</v>
      </c>
      <c r="CQ81" t="s">
        <v>205</v>
      </c>
      <c r="CR81" t="s">
        <v>206</v>
      </c>
    </row>
    <row r="82" spans="1:96">
      <c r="A82">
        <v>40</v>
      </c>
      <c r="B82" s="3">
        <v>0.58211805555555551</v>
      </c>
      <c r="C82" s="1">
        <v>45176</v>
      </c>
      <c r="D82" t="s">
        <v>196</v>
      </c>
      <c r="E82" t="s">
        <v>197</v>
      </c>
      <c r="G82">
        <v>40</v>
      </c>
      <c r="J82">
        <v>1.9649E-2</v>
      </c>
      <c r="K82">
        <v>2.9199199999999998</v>
      </c>
      <c r="L82">
        <v>1.9518000000000001E-2</v>
      </c>
      <c r="M82">
        <v>0.93534399999999995</v>
      </c>
      <c r="N82">
        <v>1.8916329999999999</v>
      </c>
      <c r="O82">
        <v>1.8669899999999999</v>
      </c>
      <c r="P82">
        <v>6.2591669999999997</v>
      </c>
      <c r="Q82">
        <v>4.367534</v>
      </c>
      <c r="R82">
        <v>19.608715</v>
      </c>
      <c r="S82">
        <v>19.867540000000002</v>
      </c>
      <c r="T82">
        <v>65.739090000000004</v>
      </c>
      <c r="U82">
        <v>0.44178600000000001</v>
      </c>
      <c r="V82" t="s">
        <v>1443</v>
      </c>
      <c r="W82">
        <v>0</v>
      </c>
      <c r="X82">
        <v>0</v>
      </c>
      <c r="Y82">
        <v>0</v>
      </c>
      <c r="Z82">
        <v>184.476257</v>
      </c>
      <c r="AA82">
        <v>263.12631199999998</v>
      </c>
      <c r="AB82">
        <v>0.29890600000000001</v>
      </c>
      <c r="AC82">
        <v>0.5</v>
      </c>
      <c r="AD82">
        <v>0.8</v>
      </c>
      <c r="AE82">
        <v>177.35675000000001</v>
      </c>
      <c r="AF82">
        <v>33.61</v>
      </c>
      <c r="AG82">
        <v>33.17</v>
      </c>
      <c r="AH82">
        <v>34.94</v>
      </c>
      <c r="AI82">
        <v>36.869999999999997</v>
      </c>
      <c r="AJ82">
        <v>95.21</v>
      </c>
      <c r="AK82">
        <v>156.5</v>
      </c>
      <c r="AL82">
        <v>157.5</v>
      </c>
      <c r="AM82">
        <v>-0.6</v>
      </c>
      <c r="AN82">
        <v>1483</v>
      </c>
      <c r="AO82">
        <v>3.8889999999999998</v>
      </c>
      <c r="AP82" s="3">
        <v>0.58187500000000003</v>
      </c>
      <c r="AQ82" s="1">
        <v>45176</v>
      </c>
      <c r="AR82">
        <v>-0.5</v>
      </c>
      <c r="AS82">
        <v>0</v>
      </c>
      <c r="AT82">
        <v>1E-3</v>
      </c>
      <c r="AU82">
        <v>2E-3</v>
      </c>
      <c r="AV82">
        <v>-1.5089999999999999</v>
      </c>
      <c r="AW82">
        <v>-3.2450000000000001</v>
      </c>
      <c r="AX82">
        <v>-11.42</v>
      </c>
      <c r="AY82">
        <v>1</v>
      </c>
      <c r="AZ82">
        <v>150</v>
      </c>
      <c r="BA82">
        <v>5.0000000000000001E-3</v>
      </c>
      <c r="BB82">
        <v>2</v>
      </c>
      <c r="BC82">
        <v>0</v>
      </c>
      <c r="BD82" t="s">
        <v>200</v>
      </c>
      <c r="BE82">
        <v>7000</v>
      </c>
      <c r="BF82">
        <v>500</v>
      </c>
      <c r="BG82">
        <v>5</v>
      </c>
      <c r="BH82">
        <v>2</v>
      </c>
      <c r="BI82">
        <v>300</v>
      </c>
      <c r="BJ82">
        <v>300</v>
      </c>
      <c r="BK82">
        <v>300</v>
      </c>
      <c r="BL82">
        <v>252.396942</v>
      </c>
      <c r="BM82">
        <v>25</v>
      </c>
      <c r="BN82">
        <v>-7.3765039999999997</v>
      </c>
      <c r="BO82">
        <v>252.85434000000001</v>
      </c>
      <c r="BP82">
        <v>252.546143</v>
      </c>
      <c r="BQ82">
        <v>0.308197</v>
      </c>
      <c r="BR82">
        <v>2.398387</v>
      </c>
      <c r="BS82">
        <v>2.4656950000000002</v>
      </c>
      <c r="BT82">
        <v>1.58901</v>
      </c>
      <c r="BU82">
        <v>1.0022409999999999</v>
      </c>
      <c r="BV82">
        <v>0.184339</v>
      </c>
      <c r="BW82">
        <v>2.5277000000000001E-2</v>
      </c>
      <c r="BX82">
        <v>0.35374800000000001</v>
      </c>
      <c r="BY82">
        <v>1.4228460000000001</v>
      </c>
      <c r="BZ82">
        <v>184.476257</v>
      </c>
      <c r="CA82">
        <v>3.4600000000000001E-4</v>
      </c>
      <c r="CB82">
        <v>2.3486280000000002</v>
      </c>
      <c r="CC82">
        <v>-5.1E-5</v>
      </c>
      <c r="CD82">
        <v>1</v>
      </c>
      <c r="CE82">
        <v>2.4109430000000001</v>
      </c>
      <c r="CF82">
        <v>-5.7000000000000003E-5</v>
      </c>
      <c r="CG82">
        <v>1</v>
      </c>
      <c r="CH82">
        <v>0.60051900000000002</v>
      </c>
      <c r="CI82">
        <v>0.60216099999999995</v>
      </c>
      <c r="CJ82">
        <v>0.107265</v>
      </c>
      <c r="CK82">
        <v>0</v>
      </c>
      <c r="CL82" t="s">
        <v>1443</v>
      </c>
      <c r="CM82" t="s">
        <v>201</v>
      </c>
      <c r="CN82" t="s">
        <v>202</v>
      </c>
      <c r="CO82" t="s">
        <v>203</v>
      </c>
      <c r="CP82" t="s">
        <v>204</v>
      </c>
      <c r="CQ82" t="s">
        <v>205</v>
      </c>
      <c r="CR82" t="s">
        <v>206</v>
      </c>
    </row>
    <row r="83" spans="1:96">
      <c r="A83">
        <v>41</v>
      </c>
      <c r="B83" s="3">
        <v>0.58224537037037039</v>
      </c>
      <c r="C83" s="1">
        <v>45176</v>
      </c>
      <c r="D83" t="s">
        <v>196</v>
      </c>
      <c r="E83" t="s">
        <v>197</v>
      </c>
      <c r="G83">
        <v>41</v>
      </c>
      <c r="J83">
        <v>7.3786000000000004E-2</v>
      </c>
      <c r="K83">
        <v>2.9186770000000002</v>
      </c>
      <c r="L83">
        <v>7.1967000000000003E-2</v>
      </c>
      <c r="M83">
        <v>3.4694690000000001</v>
      </c>
      <c r="N83">
        <v>1.9820009999999999</v>
      </c>
      <c r="O83">
        <v>1.890584</v>
      </c>
      <c r="P83">
        <v>6.3711019999999996</v>
      </c>
      <c r="Q83">
        <v>4.3891010000000001</v>
      </c>
      <c r="R83">
        <v>19.85511</v>
      </c>
      <c r="S83">
        <v>20.815183999999999</v>
      </c>
      <c r="T83">
        <v>66.909987999999998</v>
      </c>
      <c r="U83">
        <v>0.44178600000000001</v>
      </c>
      <c r="V83" t="s">
        <v>1444</v>
      </c>
      <c r="W83">
        <v>0</v>
      </c>
      <c r="X83">
        <v>0</v>
      </c>
      <c r="Y83">
        <v>0</v>
      </c>
      <c r="Z83">
        <v>127.12204699999999</v>
      </c>
      <c r="AA83">
        <v>203.420074</v>
      </c>
      <c r="AB83">
        <v>0.37507600000000002</v>
      </c>
      <c r="AC83">
        <v>0.5</v>
      </c>
      <c r="AD83">
        <v>0.8</v>
      </c>
      <c r="AE83">
        <v>274.66516100000001</v>
      </c>
      <c r="AF83">
        <v>35.18</v>
      </c>
      <c r="AG83">
        <v>33.56</v>
      </c>
      <c r="AH83">
        <v>34.950000000000003</v>
      </c>
      <c r="AI83">
        <v>37.19</v>
      </c>
      <c r="AJ83">
        <v>95.22</v>
      </c>
      <c r="AK83">
        <v>156.30000000000001</v>
      </c>
      <c r="AL83">
        <v>157.5</v>
      </c>
      <c r="AM83">
        <v>-0.8</v>
      </c>
      <c r="AN83">
        <v>1831</v>
      </c>
      <c r="AO83">
        <v>3.8889999999999998</v>
      </c>
      <c r="AP83" s="3">
        <v>0.58187500000000003</v>
      </c>
      <c r="AQ83" s="1">
        <v>45176</v>
      </c>
      <c r="AR83">
        <v>-0.5</v>
      </c>
      <c r="AS83">
        <v>2E-3</v>
      </c>
      <c r="AT83">
        <v>0</v>
      </c>
      <c r="AU83">
        <v>-9999</v>
      </c>
      <c r="AV83">
        <v>-0.82899999999999996</v>
      </c>
      <c r="AW83">
        <v>-2.5649999999999999</v>
      </c>
      <c r="AX83">
        <v>-9999</v>
      </c>
      <c r="AY83">
        <v>1</v>
      </c>
      <c r="AZ83">
        <v>150</v>
      </c>
      <c r="BA83">
        <v>5.0000000000000001E-3</v>
      </c>
      <c r="BB83">
        <v>2</v>
      </c>
      <c r="BC83">
        <v>0</v>
      </c>
      <c r="BD83" t="s">
        <v>200</v>
      </c>
      <c r="BE83">
        <v>7000</v>
      </c>
      <c r="BF83">
        <v>500</v>
      </c>
      <c r="BG83">
        <v>5</v>
      </c>
      <c r="BH83">
        <v>2</v>
      </c>
      <c r="BI83">
        <v>300</v>
      </c>
      <c r="BJ83">
        <v>300</v>
      </c>
      <c r="BK83">
        <v>300</v>
      </c>
      <c r="BL83">
        <v>189.028503</v>
      </c>
      <c r="BM83">
        <v>25</v>
      </c>
      <c r="BN83">
        <v>-9.9252450000000003</v>
      </c>
      <c r="BO83">
        <v>187.51573200000001</v>
      </c>
      <c r="BP83">
        <v>189.18421900000001</v>
      </c>
      <c r="BQ83">
        <v>-1.668488</v>
      </c>
      <c r="BR83">
        <v>2.398898</v>
      </c>
      <c r="BS83">
        <v>2.4679120000000001</v>
      </c>
      <c r="BT83">
        <v>1.5878080000000001</v>
      </c>
      <c r="BU83">
        <v>1.0024109999999999</v>
      </c>
      <c r="BV83">
        <v>0.184226</v>
      </c>
      <c r="BW83">
        <v>2.9430000000000001E-2</v>
      </c>
      <c r="BX83">
        <v>0.35439700000000002</v>
      </c>
      <c r="BY83">
        <v>1.7309019999999999</v>
      </c>
      <c r="BZ83">
        <v>127.12204699999999</v>
      </c>
      <c r="CA83">
        <v>3.3599999999999998E-4</v>
      </c>
      <c r="CB83">
        <v>2.3486280000000002</v>
      </c>
      <c r="CC83">
        <v>-5.1E-5</v>
      </c>
      <c r="CD83">
        <v>1</v>
      </c>
      <c r="CE83">
        <v>2.4109430000000001</v>
      </c>
      <c r="CF83">
        <v>-5.7000000000000003E-5</v>
      </c>
      <c r="CG83">
        <v>1</v>
      </c>
      <c r="CH83">
        <v>0.60051900000000002</v>
      </c>
      <c r="CI83">
        <v>0.60216099999999995</v>
      </c>
      <c r="CJ83">
        <v>0.107265</v>
      </c>
      <c r="CK83">
        <v>0</v>
      </c>
      <c r="CL83" t="s">
        <v>1444</v>
      </c>
      <c r="CM83" t="s">
        <v>201</v>
      </c>
      <c r="CN83" t="s">
        <v>202</v>
      </c>
      <c r="CO83" t="s">
        <v>203</v>
      </c>
      <c r="CP83" t="s">
        <v>204</v>
      </c>
      <c r="CQ83" t="s">
        <v>205</v>
      </c>
      <c r="CR83" t="s">
        <v>206</v>
      </c>
    </row>
    <row r="84" spans="1:96">
      <c r="A84">
        <v>42</v>
      </c>
      <c r="B84" s="3">
        <v>0.58243055555555556</v>
      </c>
      <c r="C84" s="1">
        <v>45176</v>
      </c>
      <c r="D84" t="s">
        <v>196</v>
      </c>
      <c r="E84" t="s">
        <v>197</v>
      </c>
      <c r="G84">
        <v>42</v>
      </c>
      <c r="J84">
        <v>9.5189999999999997E-2</v>
      </c>
      <c r="K84">
        <v>2.9199259999999998</v>
      </c>
      <c r="L84">
        <v>9.2185000000000003E-2</v>
      </c>
      <c r="M84">
        <v>4.6466419999999999</v>
      </c>
      <c r="N84">
        <v>2.0136769999999999</v>
      </c>
      <c r="O84">
        <v>1.8914010000000001</v>
      </c>
      <c r="P84">
        <v>6.5963839999999996</v>
      </c>
      <c r="Q84">
        <v>4.5827059999999999</v>
      </c>
      <c r="R84">
        <v>19.863121</v>
      </c>
      <c r="S84">
        <v>21.147241999999999</v>
      </c>
      <c r="T84">
        <v>69.273917999999995</v>
      </c>
      <c r="U84">
        <v>0.44178600000000001</v>
      </c>
      <c r="V84" t="s">
        <v>1445</v>
      </c>
      <c r="W84">
        <v>0</v>
      </c>
      <c r="X84">
        <v>0</v>
      </c>
      <c r="Y84">
        <v>0</v>
      </c>
      <c r="Z84">
        <v>119.493843</v>
      </c>
      <c r="AA84">
        <v>174.73109400000001</v>
      </c>
      <c r="AB84">
        <v>0.31612699999999999</v>
      </c>
      <c r="AC84">
        <v>0.5</v>
      </c>
      <c r="AD84">
        <v>0.8</v>
      </c>
      <c r="AE84">
        <v>244.613495</v>
      </c>
      <c r="AF84">
        <v>35.71</v>
      </c>
      <c r="AG84">
        <v>33.54</v>
      </c>
      <c r="AH84">
        <v>34.97</v>
      </c>
      <c r="AI84">
        <v>37.83</v>
      </c>
      <c r="AJ84">
        <v>95.22</v>
      </c>
      <c r="AK84">
        <v>156.5</v>
      </c>
      <c r="AL84">
        <v>157.9</v>
      </c>
      <c r="AM84">
        <v>-0.9</v>
      </c>
      <c r="AN84">
        <v>1934</v>
      </c>
      <c r="AO84">
        <v>3.8879999999999999</v>
      </c>
      <c r="AP84" s="3">
        <v>0.58187500000000003</v>
      </c>
      <c r="AQ84" s="1">
        <v>45176</v>
      </c>
      <c r="AR84">
        <v>-0.5</v>
      </c>
      <c r="AS84">
        <v>1E-3</v>
      </c>
      <c r="AT84">
        <v>3.0000000000000001E-3</v>
      </c>
      <c r="AU84">
        <v>-9999</v>
      </c>
      <c r="AV84">
        <v>-1.851</v>
      </c>
      <c r="AW84">
        <v>-3.5870000000000002</v>
      </c>
      <c r="AX84">
        <v>-9999</v>
      </c>
      <c r="AY84">
        <v>1</v>
      </c>
      <c r="AZ84">
        <v>150</v>
      </c>
      <c r="BA84">
        <v>5.0000000000000001E-3</v>
      </c>
      <c r="BB84">
        <v>2</v>
      </c>
      <c r="BC84">
        <v>0</v>
      </c>
      <c r="BD84" t="s">
        <v>200</v>
      </c>
      <c r="BE84">
        <v>7000</v>
      </c>
      <c r="BF84">
        <v>500</v>
      </c>
      <c r="BG84">
        <v>5</v>
      </c>
      <c r="BH84">
        <v>2</v>
      </c>
      <c r="BI84">
        <v>300</v>
      </c>
      <c r="BJ84">
        <v>300</v>
      </c>
      <c r="BK84">
        <v>300</v>
      </c>
      <c r="BL84">
        <v>166.18394499999999</v>
      </c>
      <c r="BM84">
        <v>25</v>
      </c>
      <c r="BN84">
        <v>-5.8704299999999998</v>
      </c>
      <c r="BO84">
        <v>166.16464199999999</v>
      </c>
      <c r="BP84">
        <v>166.31109599999999</v>
      </c>
      <c r="BQ84">
        <v>-0.146454</v>
      </c>
      <c r="BR84">
        <v>2.3988689999999999</v>
      </c>
      <c r="BS84">
        <v>2.4686460000000001</v>
      </c>
      <c r="BT84">
        <v>1.589016</v>
      </c>
      <c r="BU84">
        <v>1.003503</v>
      </c>
      <c r="BV84">
        <v>0.18409300000000001</v>
      </c>
      <c r="BW84">
        <v>3.7811999999999998E-2</v>
      </c>
      <c r="BX84">
        <v>0.35536600000000002</v>
      </c>
      <c r="BY84">
        <v>1.822894</v>
      </c>
      <c r="BZ84">
        <v>119.493843</v>
      </c>
      <c r="CA84">
        <v>3.3700000000000001E-4</v>
      </c>
      <c r="CB84">
        <v>2.3486280000000002</v>
      </c>
      <c r="CC84">
        <v>-5.1E-5</v>
      </c>
      <c r="CD84">
        <v>1</v>
      </c>
      <c r="CE84">
        <v>2.4109430000000001</v>
      </c>
      <c r="CF84">
        <v>-5.7000000000000003E-5</v>
      </c>
      <c r="CG84">
        <v>1</v>
      </c>
      <c r="CH84">
        <v>0.60051900000000002</v>
      </c>
      <c r="CI84">
        <v>0.60216099999999995</v>
      </c>
      <c r="CJ84">
        <v>0.107265</v>
      </c>
      <c r="CK84">
        <v>0</v>
      </c>
      <c r="CL84" t="s">
        <v>1445</v>
      </c>
      <c r="CM84" t="s">
        <v>201</v>
      </c>
      <c r="CN84" t="s">
        <v>202</v>
      </c>
      <c r="CO84" t="s">
        <v>203</v>
      </c>
      <c r="CP84" t="s">
        <v>204</v>
      </c>
      <c r="CQ84" t="s">
        <v>205</v>
      </c>
      <c r="CR84" t="s">
        <v>206</v>
      </c>
    </row>
    <row r="85" spans="1:96">
      <c r="A85">
        <v>1</v>
      </c>
      <c r="B85" s="3">
        <v>0.65818287037037038</v>
      </c>
      <c r="C85" s="1">
        <v>45176</v>
      </c>
      <c r="D85" t="s">
        <v>196</v>
      </c>
      <c r="E85" t="s">
        <v>197</v>
      </c>
      <c r="G85">
        <v>1</v>
      </c>
      <c r="J85">
        <v>3.3509999999999998E-3</v>
      </c>
      <c r="K85">
        <v>2.9191410000000002</v>
      </c>
      <c r="L85">
        <v>3.3470000000000001E-3</v>
      </c>
      <c r="M85">
        <v>0.129659</v>
      </c>
      <c r="N85">
        <v>1.921961</v>
      </c>
      <c r="O85">
        <v>1.9185430000000001</v>
      </c>
      <c r="P85">
        <v>5.4683190000000002</v>
      </c>
      <c r="Q85">
        <v>3.5463580000000001</v>
      </c>
      <c r="R85">
        <v>20.143507</v>
      </c>
      <c r="S85">
        <v>20.179396000000001</v>
      </c>
      <c r="T85">
        <v>57.413939999999997</v>
      </c>
      <c r="U85">
        <v>0.44178600000000001</v>
      </c>
      <c r="V85" t="s">
        <v>1446</v>
      </c>
      <c r="W85">
        <v>0</v>
      </c>
      <c r="X85">
        <v>0</v>
      </c>
      <c r="Y85">
        <v>0</v>
      </c>
      <c r="Z85">
        <v>82.908157000000003</v>
      </c>
      <c r="AA85">
        <v>235.80502300000001</v>
      </c>
      <c r="AB85">
        <v>0.64840399999999998</v>
      </c>
      <c r="AC85">
        <v>0.5</v>
      </c>
      <c r="AD85">
        <v>0.8</v>
      </c>
      <c r="AE85">
        <v>48.684756999999998</v>
      </c>
      <c r="AF85">
        <v>34.31</v>
      </c>
      <c r="AG85">
        <v>34.25</v>
      </c>
      <c r="AH85">
        <v>34.85</v>
      </c>
      <c r="AI85">
        <v>34.42</v>
      </c>
      <c r="AJ85">
        <v>95.24</v>
      </c>
      <c r="AK85">
        <v>156.4</v>
      </c>
      <c r="AL85">
        <v>157.69999999999999</v>
      </c>
      <c r="AM85">
        <v>-0.8</v>
      </c>
      <c r="AN85">
        <v>188</v>
      </c>
      <c r="AO85">
        <v>3.895</v>
      </c>
      <c r="AP85" s="3">
        <v>0.65807870370370369</v>
      </c>
      <c r="AQ85" s="1">
        <v>45176</v>
      </c>
      <c r="AR85">
        <v>-0.54</v>
      </c>
      <c r="AS85">
        <v>0</v>
      </c>
      <c r="AT85">
        <v>0</v>
      </c>
      <c r="AU85">
        <v>-9999</v>
      </c>
      <c r="AV85">
        <v>-1.7999999999999999E-2</v>
      </c>
      <c r="AW85">
        <v>0.27800000000000002</v>
      </c>
      <c r="AX85">
        <v>-9999</v>
      </c>
      <c r="AY85">
        <v>1</v>
      </c>
      <c r="AZ85">
        <v>150</v>
      </c>
      <c r="BA85">
        <v>5.0000000000000001E-3</v>
      </c>
      <c r="BB85">
        <v>2</v>
      </c>
      <c r="BC85">
        <v>0</v>
      </c>
      <c r="BD85" t="s">
        <v>200</v>
      </c>
      <c r="BE85">
        <v>7000</v>
      </c>
      <c r="BF85">
        <v>500</v>
      </c>
      <c r="BG85">
        <v>5</v>
      </c>
      <c r="BH85">
        <v>2</v>
      </c>
      <c r="BI85">
        <v>300</v>
      </c>
      <c r="BJ85">
        <v>300</v>
      </c>
      <c r="BK85">
        <v>300</v>
      </c>
      <c r="BL85">
        <v>214.04028299999999</v>
      </c>
      <c r="BM85">
        <v>25</v>
      </c>
      <c r="BN85">
        <v>-15.169352</v>
      </c>
      <c r="BO85">
        <v>211.52615399999999</v>
      </c>
      <c r="BP85">
        <v>214.04750100000001</v>
      </c>
      <c r="BQ85">
        <v>-2.521347</v>
      </c>
      <c r="BR85">
        <v>2.3998210000000002</v>
      </c>
      <c r="BS85">
        <v>2.4667479999999999</v>
      </c>
      <c r="BT85">
        <v>1.5882559999999999</v>
      </c>
      <c r="BU85">
        <v>1.0028550000000001</v>
      </c>
      <c r="BV85">
        <v>0.18495200000000001</v>
      </c>
      <c r="BW85">
        <v>-6.0060000000000001E-3</v>
      </c>
      <c r="BX85">
        <v>8.0128000000000005E-2</v>
      </c>
      <c r="BY85">
        <v>0.27374100000000001</v>
      </c>
      <c r="BZ85">
        <v>82.908157000000003</v>
      </c>
      <c r="CA85">
        <v>3.5599999999999998E-4</v>
      </c>
      <c r="CB85">
        <v>2.3486280000000002</v>
      </c>
      <c r="CC85">
        <v>-5.1E-5</v>
      </c>
      <c r="CD85">
        <v>1</v>
      </c>
      <c r="CE85">
        <v>2.4109430000000001</v>
      </c>
      <c r="CF85">
        <v>-5.7000000000000003E-5</v>
      </c>
      <c r="CG85">
        <v>1</v>
      </c>
      <c r="CH85">
        <v>0.60051900000000002</v>
      </c>
      <c r="CI85">
        <v>0.60216099999999995</v>
      </c>
      <c r="CJ85">
        <v>0.107265</v>
      </c>
      <c r="CK85">
        <v>0</v>
      </c>
      <c r="CL85" t="s">
        <v>1446</v>
      </c>
      <c r="CM85" t="s">
        <v>201</v>
      </c>
      <c r="CN85" t="s">
        <v>202</v>
      </c>
      <c r="CO85" t="s">
        <v>203</v>
      </c>
      <c r="CP85" t="s">
        <v>204</v>
      </c>
      <c r="CQ85" t="s">
        <v>205</v>
      </c>
      <c r="CR85" t="s">
        <v>206</v>
      </c>
    </row>
    <row r="86" spans="1:96">
      <c r="A86">
        <v>2</v>
      </c>
      <c r="B86" s="3">
        <v>0.65832175925925929</v>
      </c>
      <c r="C86" s="1">
        <v>45176</v>
      </c>
      <c r="D86" t="s">
        <v>196</v>
      </c>
      <c r="E86" t="s">
        <v>197</v>
      </c>
      <c r="G86">
        <v>2</v>
      </c>
      <c r="J86">
        <v>3.5611999999999998E-2</v>
      </c>
      <c r="K86">
        <v>2.9194439999999999</v>
      </c>
      <c r="L86">
        <v>3.5182999999999999E-2</v>
      </c>
      <c r="M86">
        <v>1.419138</v>
      </c>
      <c r="N86">
        <v>1.942871</v>
      </c>
      <c r="O86">
        <v>1.9054739999999999</v>
      </c>
      <c r="P86">
        <v>5.631901</v>
      </c>
      <c r="Q86">
        <v>3.6890309999999999</v>
      </c>
      <c r="R86">
        <v>20.006080999999998</v>
      </c>
      <c r="S86">
        <v>20.398716</v>
      </c>
      <c r="T86">
        <v>59.130833000000003</v>
      </c>
      <c r="U86">
        <v>0.44178600000000001</v>
      </c>
      <c r="V86" t="s">
        <v>1447</v>
      </c>
      <c r="W86">
        <v>0</v>
      </c>
      <c r="X86">
        <v>0</v>
      </c>
      <c r="Y86">
        <v>0</v>
      </c>
      <c r="Z86">
        <v>82.439301</v>
      </c>
      <c r="AA86">
        <v>247.314255</v>
      </c>
      <c r="AB86">
        <v>0.66666199999999998</v>
      </c>
      <c r="AC86">
        <v>0.5</v>
      </c>
      <c r="AD86">
        <v>0.8</v>
      </c>
      <c r="AE86">
        <v>64.400222999999997</v>
      </c>
      <c r="AF86">
        <v>34.69</v>
      </c>
      <c r="AG86">
        <v>34.03</v>
      </c>
      <c r="AH86">
        <v>34.840000000000003</v>
      </c>
      <c r="AI86">
        <v>34.950000000000003</v>
      </c>
      <c r="AJ86">
        <v>95.24</v>
      </c>
      <c r="AK86">
        <v>156.4</v>
      </c>
      <c r="AL86">
        <v>157.6</v>
      </c>
      <c r="AM86">
        <v>-0.7</v>
      </c>
      <c r="AN86">
        <v>242</v>
      </c>
      <c r="AO86">
        <v>3.8929999999999998</v>
      </c>
      <c r="AP86" s="3">
        <v>0.65807870370370369</v>
      </c>
      <c r="AQ86" s="1">
        <v>45176</v>
      </c>
      <c r="AR86">
        <v>-0.54</v>
      </c>
      <c r="AS86">
        <v>1E-3</v>
      </c>
      <c r="AT86">
        <v>2E-3</v>
      </c>
      <c r="AU86">
        <v>-9999</v>
      </c>
      <c r="AV86">
        <v>0.71199999999999997</v>
      </c>
      <c r="AW86">
        <v>1.371</v>
      </c>
      <c r="AX86">
        <v>-9999</v>
      </c>
      <c r="AY86">
        <v>1</v>
      </c>
      <c r="AZ86">
        <v>150</v>
      </c>
      <c r="BA86">
        <v>5.0000000000000001E-3</v>
      </c>
      <c r="BB86">
        <v>2</v>
      </c>
      <c r="BC86">
        <v>0</v>
      </c>
      <c r="BD86" t="s">
        <v>200</v>
      </c>
      <c r="BE86">
        <v>7000</v>
      </c>
      <c r="BF86">
        <v>500</v>
      </c>
      <c r="BG86">
        <v>5</v>
      </c>
      <c r="BH86">
        <v>2</v>
      </c>
      <c r="BI86">
        <v>300</v>
      </c>
      <c r="BJ86">
        <v>300</v>
      </c>
      <c r="BK86">
        <v>300</v>
      </c>
      <c r="BL86">
        <v>230.65029899999999</v>
      </c>
      <c r="BM86">
        <v>25</v>
      </c>
      <c r="BN86">
        <v>-11.177892999999999</v>
      </c>
      <c r="BO86">
        <v>232.805374</v>
      </c>
      <c r="BP86">
        <v>231.281723</v>
      </c>
      <c r="BQ86">
        <v>1.5236510000000001</v>
      </c>
      <c r="BR86">
        <v>2.3995340000000001</v>
      </c>
      <c r="BS86">
        <v>2.467295</v>
      </c>
      <c r="BT86">
        <v>1.5885499999999999</v>
      </c>
      <c r="BU86">
        <v>1.002526</v>
      </c>
      <c r="BV86">
        <v>0.185004</v>
      </c>
      <c r="BW86">
        <v>1.039E-3</v>
      </c>
      <c r="BX86">
        <v>8.2133999999999999E-2</v>
      </c>
      <c r="BY86">
        <v>0.32144899999999998</v>
      </c>
      <c r="BZ86">
        <v>82.439301</v>
      </c>
      <c r="CA86">
        <v>3.6000000000000002E-4</v>
      </c>
      <c r="CB86">
        <v>2.3486280000000002</v>
      </c>
      <c r="CC86">
        <v>-5.1E-5</v>
      </c>
      <c r="CD86">
        <v>1</v>
      </c>
      <c r="CE86">
        <v>2.4109430000000001</v>
      </c>
      <c r="CF86">
        <v>-5.7000000000000003E-5</v>
      </c>
      <c r="CG86">
        <v>1</v>
      </c>
      <c r="CH86">
        <v>0.60051900000000002</v>
      </c>
      <c r="CI86">
        <v>0.60216099999999995</v>
      </c>
      <c r="CJ86">
        <v>0.107265</v>
      </c>
      <c r="CK86">
        <v>0</v>
      </c>
      <c r="CL86" t="s">
        <v>1447</v>
      </c>
      <c r="CM86" t="s">
        <v>201</v>
      </c>
      <c r="CN86" t="s">
        <v>202</v>
      </c>
      <c r="CO86" t="s">
        <v>203</v>
      </c>
      <c r="CP86" t="s">
        <v>204</v>
      </c>
      <c r="CQ86" t="s">
        <v>205</v>
      </c>
      <c r="CR86" t="s">
        <v>206</v>
      </c>
    </row>
    <row r="87" spans="1:96">
      <c r="A87">
        <v>3</v>
      </c>
      <c r="B87" s="3">
        <v>0.65848379629629628</v>
      </c>
      <c r="C87" s="1">
        <v>45176</v>
      </c>
      <c r="D87" t="s">
        <v>196</v>
      </c>
      <c r="E87" t="s">
        <v>197</v>
      </c>
      <c r="G87">
        <v>3</v>
      </c>
      <c r="J87">
        <v>2.3476E-2</v>
      </c>
      <c r="K87">
        <v>2.9185759999999998</v>
      </c>
      <c r="L87">
        <v>2.3288E-2</v>
      </c>
      <c r="M87">
        <v>1.1755119999999999</v>
      </c>
      <c r="N87">
        <v>1.984205</v>
      </c>
      <c r="O87">
        <v>1.95322</v>
      </c>
      <c r="P87">
        <v>6.5759550000000004</v>
      </c>
      <c r="Q87">
        <v>4.5917500000000002</v>
      </c>
      <c r="R87">
        <v>20.506675999999999</v>
      </c>
      <c r="S87">
        <v>20.831985</v>
      </c>
      <c r="T87">
        <v>69.040344000000005</v>
      </c>
      <c r="U87">
        <v>0.44178600000000001</v>
      </c>
      <c r="V87" t="s">
        <v>1448</v>
      </c>
      <c r="W87">
        <v>0</v>
      </c>
      <c r="X87">
        <v>0</v>
      </c>
      <c r="Y87">
        <v>0</v>
      </c>
      <c r="Z87">
        <v>97.442863000000003</v>
      </c>
      <c r="AA87">
        <v>132.42411799999999</v>
      </c>
      <c r="AB87">
        <v>0.26416099999999998</v>
      </c>
      <c r="AC87">
        <v>0.5</v>
      </c>
      <c r="AD87">
        <v>0.8</v>
      </c>
      <c r="AE87">
        <v>184.070221</v>
      </c>
      <c r="AF87">
        <v>35.44</v>
      </c>
      <c r="AG87">
        <v>34.89</v>
      </c>
      <c r="AH87">
        <v>34.840000000000003</v>
      </c>
      <c r="AI87">
        <v>37.770000000000003</v>
      </c>
      <c r="AJ87">
        <v>95.25</v>
      </c>
      <c r="AK87">
        <v>156.30000000000001</v>
      </c>
      <c r="AL87">
        <v>157.30000000000001</v>
      </c>
      <c r="AM87">
        <v>-0.7</v>
      </c>
      <c r="AN87">
        <v>1742</v>
      </c>
      <c r="AO87">
        <v>3.8919999999999999</v>
      </c>
      <c r="AP87" s="3">
        <v>0.65807870370370369</v>
      </c>
      <c r="AQ87" s="1">
        <v>45176</v>
      </c>
      <c r="AR87">
        <v>-0.54</v>
      </c>
      <c r="AS87">
        <v>-1E-3</v>
      </c>
      <c r="AT87">
        <v>-1E-3</v>
      </c>
      <c r="AU87">
        <v>-4.0000000000000001E-3</v>
      </c>
      <c r="AV87">
        <v>-0.99199999999999999</v>
      </c>
      <c r="AW87">
        <v>-3.302</v>
      </c>
      <c r="AX87">
        <v>-11.872</v>
      </c>
      <c r="AY87">
        <v>1</v>
      </c>
      <c r="AZ87">
        <v>150</v>
      </c>
      <c r="BA87">
        <v>5.0000000000000001E-3</v>
      </c>
      <c r="BB87">
        <v>2</v>
      </c>
      <c r="BC87">
        <v>0</v>
      </c>
      <c r="BD87" t="s">
        <v>200</v>
      </c>
      <c r="BE87">
        <v>7000</v>
      </c>
      <c r="BF87">
        <v>500</v>
      </c>
      <c r="BG87">
        <v>5</v>
      </c>
      <c r="BH87">
        <v>2</v>
      </c>
      <c r="BI87">
        <v>300</v>
      </c>
      <c r="BJ87">
        <v>300</v>
      </c>
      <c r="BK87">
        <v>300</v>
      </c>
      <c r="BL87">
        <v>127.57015199999999</v>
      </c>
      <c r="BM87">
        <v>25</v>
      </c>
      <c r="BN87">
        <v>-3.3370760000000002</v>
      </c>
      <c r="BO87">
        <v>127.705696</v>
      </c>
      <c r="BP87">
        <v>127.637726</v>
      </c>
      <c r="BQ87">
        <v>6.7970000000000003E-2</v>
      </c>
      <c r="BR87">
        <v>2.400668</v>
      </c>
      <c r="BS87">
        <v>2.4683489999999999</v>
      </c>
      <c r="BT87">
        <v>1.58771</v>
      </c>
      <c r="BU87">
        <v>1.001806</v>
      </c>
      <c r="BV87">
        <v>0.18504300000000001</v>
      </c>
      <c r="BW87">
        <v>3.8786000000000001E-2</v>
      </c>
      <c r="BX87">
        <v>8.4348000000000006E-2</v>
      </c>
      <c r="BY87">
        <v>1.6522349999999999</v>
      </c>
      <c r="BZ87">
        <v>97.442863000000003</v>
      </c>
      <c r="CA87">
        <v>3.4000000000000002E-4</v>
      </c>
      <c r="CB87">
        <v>2.3486280000000002</v>
      </c>
      <c r="CC87">
        <v>-5.1E-5</v>
      </c>
      <c r="CD87">
        <v>1</v>
      </c>
      <c r="CE87">
        <v>2.4109430000000001</v>
      </c>
      <c r="CF87">
        <v>-5.7000000000000003E-5</v>
      </c>
      <c r="CG87">
        <v>1</v>
      </c>
      <c r="CH87">
        <v>0.60051900000000002</v>
      </c>
      <c r="CI87">
        <v>0.60216099999999995</v>
      </c>
      <c r="CJ87">
        <v>0.107265</v>
      </c>
      <c r="CK87">
        <v>0</v>
      </c>
      <c r="CL87" t="s">
        <v>1448</v>
      </c>
      <c r="CM87" t="s">
        <v>201</v>
      </c>
      <c r="CN87" t="s">
        <v>202</v>
      </c>
      <c r="CO87" t="s">
        <v>203</v>
      </c>
      <c r="CP87" t="s">
        <v>204</v>
      </c>
      <c r="CQ87" t="s">
        <v>205</v>
      </c>
      <c r="CR87" t="s">
        <v>206</v>
      </c>
    </row>
    <row r="88" spans="1:96">
      <c r="A88">
        <v>4</v>
      </c>
      <c r="B88" s="3">
        <v>0.65866898148148145</v>
      </c>
      <c r="C88" s="1">
        <v>45176</v>
      </c>
      <c r="D88" t="s">
        <v>196</v>
      </c>
      <c r="E88" t="s">
        <v>197</v>
      </c>
      <c r="G88">
        <v>4</v>
      </c>
      <c r="J88">
        <v>2.7321999999999999E-2</v>
      </c>
      <c r="K88">
        <v>2.9198369999999998</v>
      </c>
      <c r="L88">
        <v>2.7068999999999999E-2</v>
      </c>
      <c r="M88">
        <v>1.2653509999999999</v>
      </c>
      <c r="N88">
        <v>2.0163030000000002</v>
      </c>
      <c r="O88">
        <v>1.982993</v>
      </c>
      <c r="P88">
        <v>6.2751010000000003</v>
      </c>
      <c r="Q88">
        <v>4.2587979999999996</v>
      </c>
      <c r="R88">
        <v>20.818276999999998</v>
      </c>
      <c r="S88">
        <v>21.16798</v>
      </c>
      <c r="T88">
        <v>65.878592999999995</v>
      </c>
      <c r="U88">
        <v>0.44178600000000001</v>
      </c>
      <c r="V88" t="s">
        <v>1449</v>
      </c>
      <c r="W88">
        <v>0</v>
      </c>
      <c r="X88">
        <v>0</v>
      </c>
      <c r="Y88">
        <v>0</v>
      </c>
      <c r="Z88">
        <v>76.056717000000006</v>
      </c>
      <c r="AA88">
        <v>144.96275299999999</v>
      </c>
      <c r="AB88">
        <v>0.47533599999999998</v>
      </c>
      <c r="AC88">
        <v>0.5</v>
      </c>
      <c r="AD88">
        <v>0.8</v>
      </c>
      <c r="AE88">
        <v>276.65329000000003</v>
      </c>
      <c r="AF88">
        <v>36.03</v>
      </c>
      <c r="AG88">
        <v>35.43</v>
      </c>
      <c r="AH88">
        <v>34.83</v>
      </c>
      <c r="AI88">
        <v>36.909999999999997</v>
      </c>
      <c r="AJ88">
        <v>95.25</v>
      </c>
      <c r="AK88">
        <v>156.5</v>
      </c>
      <c r="AL88">
        <v>157.80000000000001</v>
      </c>
      <c r="AM88">
        <v>-0.8</v>
      </c>
      <c r="AN88">
        <v>1455</v>
      </c>
      <c r="AO88">
        <v>3.8860000000000001</v>
      </c>
      <c r="AP88" s="3">
        <v>0.65807870370370369</v>
      </c>
      <c r="AQ88" s="1">
        <v>45176</v>
      </c>
      <c r="AR88">
        <v>-0.54</v>
      </c>
      <c r="AS88">
        <v>1E-3</v>
      </c>
      <c r="AT88">
        <v>1E-3</v>
      </c>
      <c r="AU88">
        <v>-9999</v>
      </c>
      <c r="AV88">
        <v>-1.6419999999999999</v>
      </c>
      <c r="AW88">
        <v>-0.45500000000000002</v>
      </c>
      <c r="AX88">
        <v>-9999</v>
      </c>
      <c r="AY88">
        <v>1</v>
      </c>
      <c r="AZ88">
        <v>150</v>
      </c>
      <c r="BA88">
        <v>5.0000000000000001E-3</v>
      </c>
      <c r="BB88">
        <v>2</v>
      </c>
      <c r="BC88">
        <v>0</v>
      </c>
      <c r="BD88" t="s">
        <v>200</v>
      </c>
      <c r="BE88">
        <v>7000</v>
      </c>
      <c r="BF88">
        <v>500</v>
      </c>
      <c r="BG88">
        <v>5</v>
      </c>
      <c r="BH88">
        <v>2</v>
      </c>
      <c r="BI88">
        <v>300</v>
      </c>
      <c r="BJ88">
        <v>300</v>
      </c>
      <c r="BK88">
        <v>300</v>
      </c>
      <c r="BL88">
        <v>131.132126</v>
      </c>
      <c r="BM88">
        <v>25</v>
      </c>
      <c r="BN88">
        <v>-9.7967209999999998</v>
      </c>
      <c r="BO88">
        <v>128.96312</v>
      </c>
      <c r="BP88">
        <v>130.91123999999999</v>
      </c>
      <c r="BQ88">
        <v>-1.9481200000000001</v>
      </c>
      <c r="BR88">
        <v>2.4013779999999998</v>
      </c>
      <c r="BS88">
        <v>2.4691679999999998</v>
      </c>
      <c r="BT88">
        <v>1.5889310000000001</v>
      </c>
      <c r="BU88">
        <v>1.003139</v>
      </c>
      <c r="BV88">
        <v>0.185081</v>
      </c>
      <c r="BW88">
        <v>2.7261000000000001E-2</v>
      </c>
      <c r="BX88">
        <v>8.6840000000000001E-2</v>
      </c>
      <c r="BY88">
        <v>1.3977109999999999</v>
      </c>
      <c r="BZ88">
        <v>76.056717000000006</v>
      </c>
      <c r="CA88">
        <v>3.59E-4</v>
      </c>
      <c r="CB88">
        <v>2.3486280000000002</v>
      </c>
      <c r="CC88">
        <v>-5.1E-5</v>
      </c>
      <c r="CD88">
        <v>1</v>
      </c>
      <c r="CE88">
        <v>2.4109430000000001</v>
      </c>
      <c r="CF88">
        <v>-5.7000000000000003E-5</v>
      </c>
      <c r="CG88">
        <v>1</v>
      </c>
      <c r="CH88">
        <v>0.60051900000000002</v>
      </c>
      <c r="CI88">
        <v>0.60216099999999995</v>
      </c>
      <c r="CJ88">
        <v>0.107265</v>
      </c>
      <c r="CK88">
        <v>0</v>
      </c>
      <c r="CL88" t="s">
        <v>1449</v>
      </c>
      <c r="CM88" t="s">
        <v>201</v>
      </c>
      <c r="CN88" t="s">
        <v>202</v>
      </c>
      <c r="CO88" t="s">
        <v>203</v>
      </c>
      <c r="CP88" t="s">
        <v>204</v>
      </c>
      <c r="CQ88" t="s">
        <v>205</v>
      </c>
      <c r="CR88" t="s">
        <v>206</v>
      </c>
    </row>
    <row r="89" spans="1:96">
      <c r="A89">
        <v>5</v>
      </c>
      <c r="B89" s="3">
        <v>0.66101851851851856</v>
      </c>
      <c r="C89" s="1">
        <v>45176</v>
      </c>
      <c r="D89" t="s">
        <v>196</v>
      </c>
      <c r="E89" t="s">
        <v>197</v>
      </c>
      <c r="G89">
        <v>5</v>
      </c>
      <c r="J89">
        <v>8.8500000000000002E-3</v>
      </c>
      <c r="K89">
        <v>2.9201009999999998</v>
      </c>
      <c r="L89">
        <v>8.8229999999999992E-3</v>
      </c>
      <c r="M89">
        <v>0.51034999999999997</v>
      </c>
      <c r="N89">
        <v>2.0332569999999999</v>
      </c>
      <c r="O89">
        <v>2.0198269999999998</v>
      </c>
      <c r="P89">
        <v>7.27393</v>
      </c>
      <c r="Q89">
        <v>5.2406730000000001</v>
      </c>
      <c r="R89">
        <v>21.204926</v>
      </c>
      <c r="S89">
        <v>21.345915000000002</v>
      </c>
      <c r="T89">
        <v>76.364517000000006</v>
      </c>
      <c r="U89">
        <v>0.44178600000000001</v>
      </c>
      <c r="V89" t="s">
        <v>1450</v>
      </c>
      <c r="W89">
        <v>0</v>
      </c>
      <c r="X89">
        <v>0</v>
      </c>
      <c r="Y89">
        <v>0</v>
      </c>
      <c r="Z89">
        <v>67.260147000000003</v>
      </c>
      <c r="AA89">
        <v>80.472206</v>
      </c>
      <c r="AB89">
        <v>0.16418199999999999</v>
      </c>
      <c r="AC89">
        <v>0.5</v>
      </c>
      <c r="AD89">
        <v>0.8</v>
      </c>
      <c r="AE89">
        <v>110.262573</v>
      </c>
      <c r="AF89">
        <v>35.31</v>
      </c>
      <c r="AG89">
        <v>35.08</v>
      </c>
      <c r="AH89">
        <v>35.35</v>
      </c>
      <c r="AI89">
        <v>39.64</v>
      </c>
      <c r="AJ89">
        <v>95.25</v>
      </c>
      <c r="AK89">
        <v>156.5</v>
      </c>
      <c r="AL89">
        <v>157.4</v>
      </c>
      <c r="AM89">
        <v>-0.6</v>
      </c>
      <c r="AN89">
        <v>1679</v>
      </c>
      <c r="AO89">
        <v>3.8849999999999998</v>
      </c>
      <c r="AP89" s="3">
        <v>0.65807870370370369</v>
      </c>
      <c r="AQ89" s="1">
        <v>45176</v>
      </c>
      <c r="AR89">
        <v>-0.54</v>
      </c>
      <c r="AS89">
        <v>1E-3</v>
      </c>
      <c r="AT89">
        <v>2E-3</v>
      </c>
      <c r="AU89">
        <v>-9999</v>
      </c>
      <c r="AV89">
        <v>8.6999999999999994E-2</v>
      </c>
      <c r="AW89">
        <v>-0.252</v>
      </c>
      <c r="AX89">
        <v>-9999</v>
      </c>
      <c r="AY89">
        <v>1</v>
      </c>
      <c r="AZ89">
        <v>150</v>
      </c>
      <c r="BA89">
        <v>5.0000000000000001E-3</v>
      </c>
      <c r="BB89">
        <v>2</v>
      </c>
      <c r="BC89">
        <v>0</v>
      </c>
      <c r="BD89" t="s">
        <v>200</v>
      </c>
      <c r="BE89">
        <v>7000</v>
      </c>
      <c r="BF89">
        <v>500</v>
      </c>
      <c r="BG89">
        <v>5</v>
      </c>
      <c r="BH89">
        <v>2</v>
      </c>
      <c r="BI89">
        <v>300</v>
      </c>
      <c r="BJ89">
        <v>300</v>
      </c>
      <c r="BK89">
        <v>300</v>
      </c>
      <c r="BL89">
        <v>78.474997999999999</v>
      </c>
      <c r="BM89">
        <v>25</v>
      </c>
      <c r="BN89">
        <v>-1.385697</v>
      </c>
      <c r="BO89">
        <v>78.321579</v>
      </c>
      <c r="BP89">
        <v>78.484688000000006</v>
      </c>
      <c r="BQ89">
        <v>-0.163109</v>
      </c>
      <c r="BR89">
        <v>2.4008259999999999</v>
      </c>
      <c r="BS89">
        <v>2.4680689999999998</v>
      </c>
      <c r="BT89">
        <v>1.589186</v>
      </c>
      <c r="BU89">
        <v>1.0019830000000001</v>
      </c>
      <c r="BV89">
        <v>0.18142900000000001</v>
      </c>
      <c r="BW89">
        <v>5.7668999999999998E-2</v>
      </c>
      <c r="BX89">
        <v>0.116836</v>
      </c>
      <c r="BY89">
        <v>1.596312</v>
      </c>
      <c r="BZ89">
        <v>67.260147000000003</v>
      </c>
      <c r="CA89">
        <v>3.4400000000000001E-4</v>
      </c>
      <c r="CB89">
        <v>2.3486280000000002</v>
      </c>
      <c r="CC89">
        <v>-5.1E-5</v>
      </c>
      <c r="CD89">
        <v>1</v>
      </c>
      <c r="CE89">
        <v>2.4109430000000001</v>
      </c>
      <c r="CF89">
        <v>-5.7000000000000003E-5</v>
      </c>
      <c r="CG89">
        <v>1</v>
      </c>
      <c r="CH89">
        <v>0.60051900000000002</v>
      </c>
      <c r="CI89">
        <v>0.60216099999999995</v>
      </c>
      <c r="CJ89">
        <v>0.107265</v>
      </c>
      <c r="CK89">
        <v>0</v>
      </c>
      <c r="CL89" t="s">
        <v>1450</v>
      </c>
      <c r="CM89" t="s">
        <v>201</v>
      </c>
      <c r="CN89" t="s">
        <v>202</v>
      </c>
      <c r="CO89" t="s">
        <v>203</v>
      </c>
      <c r="CP89" t="s">
        <v>204</v>
      </c>
      <c r="CQ89" t="s">
        <v>205</v>
      </c>
      <c r="CR89" t="s">
        <v>206</v>
      </c>
    </row>
    <row r="90" spans="1:96">
      <c r="A90">
        <v>6</v>
      </c>
      <c r="B90" s="3">
        <v>0.66112268518518513</v>
      </c>
      <c r="C90" s="1">
        <v>45176</v>
      </c>
      <c r="D90" t="s">
        <v>196</v>
      </c>
      <c r="E90" t="s">
        <v>197</v>
      </c>
      <c r="G90">
        <v>6</v>
      </c>
      <c r="J90">
        <v>1.0158E-2</v>
      </c>
      <c r="K90">
        <v>2.9205160000000001</v>
      </c>
      <c r="L90">
        <v>1.0122000000000001E-2</v>
      </c>
      <c r="M90">
        <v>0.45856799999999998</v>
      </c>
      <c r="N90">
        <v>2.00271</v>
      </c>
      <c r="O90">
        <v>1.9906429999999999</v>
      </c>
      <c r="P90">
        <v>6.1336570000000004</v>
      </c>
      <c r="Q90">
        <v>4.1309469999999999</v>
      </c>
      <c r="R90">
        <v>20.897984000000001</v>
      </c>
      <c r="S90">
        <v>21.024667999999998</v>
      </c>
      <c r="T90">
        <v>64.391800000000003</v>
      </c>
      <c r="U90">
        <v>0.44178600000000001</v>
      </c>
      <c r="V90" t="s">
        <v>1451</v>
      </c>
      <c r="W90">
        <v>0</v>
      </c>
      <c r="X90">
        <v>0</v>
      </c>
      <c r="Y90">
        <v>0</v>
      </c>
      <c r="Z90">
        <v>73.406341999999995</v>
      </c>
      <c r="AA90">
        <v>118.339798</v>
      </c>
      <c r="AB90">
        <v>0.37969900000000001</v>
      </c>
      <c r="AC90">
        <v>0.5</v>
      </c>
      <c r="AD90">
        <v>0.8</v>
      </c>
      <c r="AE90">
        <v>106.141075</v>
      </c>
      <c r="AF90">
        <v>34.71</v>
      </c>
      <c r="AG90">
        <v>34.51</v>
      </c>
      <c r="AH90">
        <v>35.380000000000003</v>
      </c>
      <c r="AI90">
        <v>36.5</v>
      </c>
      <c r="AJ90">
        <v>95.26</v>
      </c>
      <c r="AK90">
        <v>156.6</v>
      </c>
      <c r="AL90">
        <v>157.4</v>
      </c>
      <c r="AM90">
        <v>-0.5</v>
      </c>
      <c r="AN90">
        <v>699</v>
      </c>
      <c r="AO90">
        <v>3.8849999999999998</v>
      </c>
      <c r="AP90" s="3">
        <v>0.65807870370370369</v>
      </c>
      <c r="AQ90" s="1">
        <v>45176</v>
      </c>
      <c r="AR90">
        <v>-0.54</v>
      </c>
      <c r="AS90">
        <v>-1E-3</v>
      </c>
      <c r="AT90">
        <v>-2E-3</v>
      </c>
      <c r="AU90">
        <v>-9999</v>
      </c>
      <c r="AV90">
        <v>4.6230000000000002</v>
      </c>
      <c r="AW90">
        <v>4.5190000000000001</v>
      </c>
      <c r="AX90">
        <v>-9999</v>
      </c>
      <c r="AY90">
        <v>1</v>
      </c>
      <c r="AZ90">
        <v>150</v>
      </c>
      <c r="BA90">
        <v>5.0000000000000001E-3</v>
      </c>
      <c r="BB90">
        <v>2</v>
      </c>
      <c r="BC90">
        <v>0</v>
      </c>
      <c r="BD90" t="s">
        <v>200</v>
      </c>
      <c r="BE90">
        <v>7000</v>
      </c>
      <c r="BF90">
        <v>500</v>
      </c>
      <c r="BG90">
        <v>5</v>
      </c>
      <c r="BH90">
        <v>2</v>
      </c>
      <c r="BI90">
        <v>300</v>
      </c>
      <c r="BJ90">
        <v>300</v>
      </c>
      <c r="BK90">
        <v>300</v>
      </c>
      <c r="BL90">
        <v>101.394295</v>
      </c>
      <c r="BM90">
        <v>25</v>
      </c>
      <c r="BN90">
        <v>-13.55195</v>
      </c>
      <c r="BO90">
        <v>93.551872000000003</v>
      </c>
      <c r="BP90">
        <v>98.90213</v>
      </c>
      <c r="BQ90">
        <v>-5.3502580000000002</v>
      </c>
      <c r="BR90">
        <v>2.400067</v>
      </c>
      <c r="BS90">
        <v>2.4672209999999999</v>
      </c>
      <c r="BT90">
        <v>1.589588</v>
      </c>
      <c r="BU90">
        <v>1.001819</v>
      </c>
      <c r="BV90">
        <v>0.18117900000000001</v>
      </c>
      <c r="BW90">
        <v>1.4456E-2</v>
      </c>
      <c r="BX90">
        <v>0.117921</v>
      </c>
      <c r="BY90">
        <v>0.72706199999999999</v>
      </c>
      <c r="BZ90">
        <v>73.406341999999995</v>
      </c>
      <c r="CA90">
        <v>3.5300000000000002E-4</v>
      </c>
      <c r="CB90">
        <v>2.3486280000000002</v>
      </c>
      <c r="CC90">
        <v>-5.1E-5</v>
      </c>
      <c r="CD90">
        <v>1</v>
      </c>
      <c r="CE90">
        <v>2.4109430000000001</v>
      </c>
      <c r="CF90">
        <v>-5.7000000000000003E-5</v>
      </c>
      <c r="CG90">
        <v>1</v>
      </c>
      <c r="CH90">
        <v>0.60051900000000002</v>
      </c>
      <c r="CI90">
        <v>0.60216099999999995</v>
      </c>
      <c r="CJ90">
        <v>0.107265</v>
      </c>
      <c r="CK90">
        <v>0</v>
      </c>
      <c r="CL90" t="s">
        <v>1451</v>
      </c>
      <c r="CM90" t="s">
        <v>201</v>
      </c>
      <c r="CN90" t="s">
        <v>202</v>
      </c>
      <c r="CO90" t="s">
        <v>203</v>
      </c>
      <c r="CP90" t="s">
        <v>204</v>
      </c>
      <c r="CQ90" t="s">
        <v>205</v>
      </c>
      <c r="CR90" t="s">
        <v>206</v>
      </c>
    </row>
    <row r="91" spans="1:96">
      <c r="A91">
        <v>7</v>
      </c>
      <c r="B91" s="3">
        <v>0.66128472222222223</v>
      </c>
      <c r="C91" s="1">
        <v>45176</v>
      </c>
      <c r="D91" t="s">
        <v>196</v>
      </c>
      <c r="E91" t="s">
        <v>197</v>
      </c>
      <c r="G91">
        <v>7</v>
      </c>
      <c r="J91">
        <v>4.4560000000000002E-2</v>
      </c>
      <c r="K91">
        <v>2.919092</v>
      </c>
      <c r="L91">
        <v>4.3889999999999998E-2</v>
      </c>
      <c r="M91">
        <v>2.29291</v>
      </c>
      <c r="N91">
        <v>2.0262380000000002</v>
      </c>
      <c r="O91">
        <v>1.965849</v>
      </c>
      <c r="P91">
        <v>6.7726610000000003</v>
      </c>
      <c r="Q91">
        <v>4.7464230000000001</v>
      </c>
      <c r="R91">
        <v>20.638126</v>
      </c>
      <c r="S91">
        <v>21.272120000000001</v>
      </c>
      <c r="T91">
        <v>71.101630999999998</v>
      </c>
      <c r="U91">
        <v>0.44178600000000001</v>
      </c>
      <c r="V91" t="s">
        <v>1452</v>
      </c>
      <c r="W91">
        <v>0</v>
      </c>
      <c r="X91">
        <v>0</v>
      </c>
      <c r="Y91">
        <v>0</v>
      </c>
      <c r="Z91">
        <v>78.600525000000005</v>
      </c>
      <c r="AA91">
        <v>121.533714</v>
      </c>
      <c r="AB91">
        <v>0.35326200000000002</v>
      </c>
      <c r="AC91">
        <v>0.5</v>
      </c>
      <c r="AD91">
        <v>0.8</v>
      </c>
      <c r="AE91">
        <v>232.30830399999999</v>
      </c>
      <c r="AF91">
        <v>35.03</v>
      </c>
      <c r="AG91">
        <v>33.99</v>
      </c>
      <c r="AH91">
        <v>35.43</v>
      </c>
      <c r="AI91">
        <v>38.32</v>
      </c>
      <c r="AJ91">
        <v>95.25</v>
      </c>
      <c r="AK91">
        <v>156.4</v>
      </c>
      <c r="AL91">
        <v>157.5</v>
      </c>
      <c r="AM91">
        <v>-0.7</v>
      </c>
      <c r="AN91">
        <v>1644</v>
      </c>
      <c r="AO91">
        <v>3.8519999999999999</v>
      </c>
      <c r="AP91" s="3">
        <v>0.65807870370370369</v>
      </c>
      <c r="AQ91" s="1">
        <v>45176</v>
      </c>
      <c r="AR91">
        <v>-0.54</v>
      </c>
      <c r="AS91">
        <v>0</v>
      </c>
      <c r="AT91">
        <v>1E-3</v>
      </c>
      <c r="AU91">
        <v>4.0000000000000001E-3</v>
      </c>
      <c r="AV91">
        <v>0.157</v>
      </c>
      <c r="AW91">
        <v>-1.663</v>
      </c>
      <c r="AX91">
        <v>-8.2919999999999998</v>
      </c>
      <c r="AY91">
        <v>1</v>
      </c>
      <c r="AZ91">
        <v>150</v>
      </c>
      <c r="BA91">
        <v>5.0000000000000001E-3</v>
      </c>
      <c r="BB91">
        <v>2</v>
      </c>
      <c r="BC91">
        <v>0</v>
      </c>
      <c r="BD91" t="s">
        <v>200</v>
      </c>
      <c r="BE91">
        <v>7000</v>
      </c>
      <c r="BF91">
        <v>500</v>
      </c>
      <c r="BG91">
        <v>5</v>
      </c>
      <c r="BH91">
        <v>2</v>
      </c>
      <c r="BI91">
        <v>300</v>
      </c>
      <c r="BJ91">
        <v>300</v>
      </c>
      <c r="BK91">
        <v>300</v>
      </c>
      <c r="BL91">
        <v>109.085442</v>
      </c>
      <c r="BM91">
        <v>25</v>
      </c>
      <c r="BN91">
        <v>-9.0862250000000007</v>
      </c>
      <c r="BO91">
        <v>105.447647</v>
      </c>
      <c r="BP91">
        <v>108.501274</v>
      </c>
      <c r="BQ91">
        <v>-3.0536270000000001</v>
      </c>
      <c r="BR91">
        <v>2.3993820000000001</v>
      </c>
      <c r="BS91">
        <v>2.46766</v>
      </c>
      <c r="BT91">
        <v>1.588209</v>
      </c>
      <c r="BU91">
        <v>1.0022489999999999</v>
      </c>
      <c r="BV91">
        <v>0.18085599999999999</v>
      </c>
      <c r="BW91">
        <v>3.8384000000000001E-2</v>
      </c>
      <c r="BX91">
        <v>0.119709</v>
      </c>
      <c r="BY91">
        <v>1.565318</v>
      </c>
      <c r="BZ91">
        <v>78.600525000000005</v>
      </c>
      <c r="CA91">
        <v>3.4400000000000001E-4</v>
      </c>
      <c r="CB91">
        <v>2.3486280000000002</v>
      </c>
      <c r="CC91">
        <v>-5.1E-5</v>
      </c>
      <c r="CD91">
        <v>1</v>
      </c>
      <c r="CE91">
        <v>2.4109430000000001</v>
      </c>
      <c r="CF91">
        <v>-5.7000000000000003E-5</v>
      </c>
      <c r="CG91">
        <v>1</v>
      </c>
      <c r="CH91">
        <v>0.60051900000000002</v>
      </c>
      <c r="CI91">
        <v>0.60216099999999995</v>
      </c>
      <c r="CJ91">
        <v>0.107265</v>
      </c>
      <c r="CK91">
        <v>0</v>
      </c>
      <c r="CL91" t="s">
        <v>1452</v>
      </c>
      <c r="CM91" t="s">
        <v>201</v>
      </c>
      <c r="CN91" t="s">
        <v>202</v>
      </c>
      <c r="CO91" t="s">
        <v>203</v>
      </c>
      <c r="CP91" t="s">
        <v>204</v>
      </c>
      <c r="CQ91" t="s">
        <v>205</v>
      </c>
      <c r="CR91" t="s">
        <v>206</v>
      </c>
    </row>
    <row r="92" spans="1:96">
      <c r="A92">
        <v>8</v>
      </c>
      <c r="B92" s="3">
        <v>0.66140046296296295</v>
      </c>
      <c r="C92" s="1">
        <v>45176</v>
      </c>
      <c r="D92" t="s">
        <v>196</v>
      </c>
      <c r="E92" t="s">
        <v>197</v>
      </c>
      <c r="G92">
        <v>8</v>
      </c>
      <c r="J92">
        <v>1.6910000000000001E-2</v>
      </c>
      <c r="K92">
        <v>2.9192339999999999</v>
      </c>
      <c r="L92">
        <v>1.6813000000000002E-2</v>
      </c>
      <c r="M92">
        <v>0.90831099999999998</v>
      </c>
      <c r="N92">
        <v>1.9886740000000001</v>
      </c>
      <c r="O92">
        <v>1.9647429999999999</v>
      </c>
      <c r="P92">
        <v>6.8950529999999999</v>
      </c>
      <c r="Q92">
        <v>4.9063790000000003</v>
      </c>
      <c r="R92">
        <v>20.625658000000001</v>
      </c>
      <c r="S92">
        <v>20.876881000000001</v>
      </c>
      <c r="T92">
        <v>72.383499</v>
      </c>
      <c r="U92">
        <v>0.44178600000000001</v>
      </c>
      <c r="V92" t="s">
        <v>1453</v>
      </c>
      <c r="W92">
        <v>0</v>
      </c>
      <c r="X92">
        <v>0</v>
      </c>
      <c r="Y92">
        <v>0</v>
      </c>
      <c r="Z92">
        <v>75.497390999999993</v>
      </c>
      <c r="AA92">
        <v>105.88453699999999</v>
      </c>
      <c r="AB92">
        <v>0.28698400000000002</v>
      </c>
      <c r="AC92">
        <v>0.5</v>
      </c>
      <c r="AD92">
        <v>0.8</v>
      </c>
      <c r="AE92">
        <v>24.220844</v>
      </c>
      <c r="AF92">
        <v>34.33</v>
      </c>
      <c r="AG92">
        <v>33.92</v>
      </c>
      <c r="AH92">
        <v>35.46</v>
      </c>
      <c r="AI92">
        <v>38.65</v>
      </c>
      <c r="AJ92">
        <v>95.26</v>
      </c>
      <c r="AK92">
        <v>156.4</v>
      </c>
      <c r="AL92">
        <v>142.80000000000001</v>
      </c>
      <c r="AM92">
        <v>8.6999999999999993</v>
      </c>
      <c r="AN92">
        <v>211</v>
      </c>
      <c r="AO92">
        <v>3.8769999999999998</v>
      </c>
      <c r="AP92" s="3">
        <v>0.65807870370370369</v>
      </c>
      <c r="AQ92" s="1">
        <v>45176</v>
      </c>
      <c r="AR92">
        <v>-0.54</v>
      </c>
      <c r="AS92">
        <v>1E-3</v>
      </c>
      <c r="AT92">
        <v>0</v>
      </c>
      <c r="AU92">
        <v>-9999</v>
      </c>
      <c r="AV92">
        <v>-1.282</v>
      </c>
      <c r="AW92">
        <v>-2.3140000000000001</v>
      </c>
      <c r="AX92">
        <v>-9999</v>
      </c>
      <c r="AY92">
        <v>1</v>
      </c>
      <c r="AZ92">
        <v>150</v>
      </c>
      <c r="BA92">
        <v>5.0000000000000001E-3</v>
      </c>
      <c r="BB92">
        <v>2</v>
      </c>
      <c r="BC92">
        <v>0</v>
      </c>
      <c r="BD92" t="s">
        <v>200</v>
      </c>
      <c r="BE92">
        <v>7000</v>
      </c>
      <c r="BF92">
        <v>500</v>
      </c>
      <c r="BG92">
        <v>5</v>
      </c>
      <c r="BH92">
        <v>2</v>
      </c>
      <c r="BI92">
        <v>300</v>
      </c>
      <c r="BJ92">
        <v>300</v>
      </c>
      <c r="BK92">
        <v>300</v>
      </c>
      <c r="BL92">
        <v>98.180649000000003</v>
      </c>
      <c r="BM92">
        <v>25</v>
      </c>
      <c r="BN92">
        <v>-5.7346659999999998</v>
      </c>
      <c r="BO92">
        <v>96.045615999999995</v>
      </c>
      <c r="BP92">
        <v>97.659263999999993</v>
      </c>
      <c r="BQ92">
        <v>-1.6136470000000001</v>
      </c>
      <c r="BR92">
        <v>2.3992819999999999</v>
      </c>
      <c r="BS92">
        <v>2.4666670000000002</v>
      </c>
      <c r="BT92">
        <v>1.588346</v>
      </c>
      <c r="BU92">
        <v>0.95636399999999999</v>
      </c>
      <c r="BV92">
        <v>0.18065800000000001</v>
      </c>
      <c r="BW92">
        <v>4.2533000000000001E-2</v>
      </c>
      <c r="BX92">
        <v>0.12085600000000001</v>
      </c>
      <c r="BY92">
        <v>0.29439199999999999</v>
      </c>
      <c r="BZ92">
        <v>75.497390999999993</v>
      </c>
      <c r="CA92">
        <v>3.6000000000000002E-4</v>
      </c>
      <c r="CB92">
        <v>2.3486280000000002</v>
      </c>
      <c r="CC92">
        <v>-5.1E-5</v>
      </c>
      <c r="CD92">
        <v>1</v>
      </c>
      <c r="CE92">
        <v>2.4109430000000001</v>
      </c>
      <c r="CF92">
        <v>-5.7000000000000003E-5</v>
      </c>
      <c r="CG92">
        <v>1</v>
      </c>
      <c r="CH92">
        <v>0.60051900000000002</v>
      </c>
      <c r="CI92">
        <v>0.60216099999999995</v>
      </c>
      <c r="CJ92">
        <v>0.107265</v>
      </c>
      <c r="CK92">
        <v>0</v>
      </c>
      <c r="CL92" t="s">
        <v>1453</v>
      </c>
      <c r="CM92" t="s">
        <v>201</v>
      </c>
      <c r="CN92" t="s">
        <v>202</v>
      </c>
      <c r="CO92" t="s">
        <v>203</v>
      </c>
      <c r="CP92" t="s">
        <v>204</v>
      </c>
      <c r="CQ92" t="s">
        <v>205</v>
      </c>
      <c r="CR92" t="s">
        <v>206</v>
      </c>
    </row>
    <row r="93" spans="1:96">
      <c r="A93">
        <v>9</v>
      </c>
      <c r="B93" s="3">
        <v>0.66568287037037044</v>
      </c>
      <c r="C93" s="1">
        <v>45176</v>
      </c>
      <c r="D93" t="s">
        <v>196</v>
      </c>
      <c r="E93" t="s">
        <v>197</v>
      </c>
      <c r="G93">
        <v>9</v>
      </c>
      <c r="J93">
        <v>-2.1499999999999999E-4</v>
      </c>
      <c r="K93">
        <v>2.9192140000000002</v>
      </c>
      <c r="L93">
        <v>-2.1499999999999999E-4</v>
      </c>
      <c r="M93">
        <v>-1.291E-2</v>
      </c>
      <c r="N93">
        <v>2.087631</v>
      </c>
      <c r="O93">
        <v>2.0879699999999999</v>
      </c>
      <c r="P93">
        <v>7.5155139999999996</v>
      </c>
      <c r="Q93">
        <v>5.4278829999999996</v>
      </c>
      <c r="R93">
        <v>21.922446999999998</v>
      </c>
      <c r="S93">
        <v>21.918880000000001</v>
      </c>
      <c r="T93">
        <v>78.908423999999997</v>
      </c>
      <c r="U93">
        <v>0.44178600000000001</v>
      </c>
      <c r="V93" t="s">
        <v>1454</v>
      </c>
      <c r="W93">
        <v>0</v>
      </c>
      <c r="X93">
        <v>0</v>
      </c>
      <c r="Y93">
        <v>0</v>
      </c>
      <c r="Z93">
        <v>63.223244000000001</v>
      </c>
      <c r="AA93">
        <v>73.920494000000005</v>
      </c>
      <c r="AB93">
        <v>0.14471300000000001</v>
      </c>
      <c r="AC93">
        <v>0.5</v>
      </c>
      <c r="AD93">
        <v>0.8</v>
      </c>
      <c r="AE93">
        <v>100.55750999999999</v>
      </c>
      <c r="AF93">
        <v>33.65</v>
      </c>
      <c r="AG93">
        <v>33.659999999999997</v>
      </c>
      <c r="AH93">
        <v>36.700000000000003</v>
      </c>
      <c r="AI93">
        <v>40.26</v>
      </c>
      <c r="AJ93">
        <v>95.24</v>
      </c>
      <c r="AK93">
        <v>156.4</v>
      </c>
      <c r="AL93">
        <v>157.1</v>
      </c>
      <c r="AM93">
        <v>-0.4</v>
      </c>
      <c r="AN93">
        <v>1737</v>
      </c>
      <c r="AO93">
        <v>3.8759999999999999</v>
      </c>
      <c r="AP93" s="3">
        <v>0.66560185185185183</v>
      </c>
      <c r="AQ93" s="1">
        <v>45176</v>
      </c>
      <c r="AR93">
        <v>-0.51</v>
      </c>
      <c r="AS93">
        <v>0</v>
      </c>
      <c r="AT93">
        <v>4.0000000000000001E-3</v>
      </c>
      <c r="AU93">
        <v>-9999</v>
      </c>
      <c r="AV93">
        <v>-4.5999999999999999E-2</v>
      </c>
      <c r="AW93">
        <v>-7.1999999999999995E-2</v>
      </c>
      <c r="AX93">
        <v>-9999</v>
      </c>
      <c r="AY93">
        <v>1</v>
      </c>
      <c r="AZ93">
        <v>150</v>
      </c>
      <c r="BA93">
        <v>5.0000000000000001E-3</v>
      </c>
      <c r="BB93">
        <v>2</v>
      </c>
      <c r="BC93">
        <v>0</v>
      </c>
      <c r="BD93" t="s">
        <v>200</v>
      </c>
      <c r="BE93">
        <v>7000</v>
      </c>
      <c r="BF93">
        <v>500</v>
      </c>
      <c r="BG93">
        <v>5</v>
      </c>
      <c r="BH93">
        <v>2</v>
      </c>
      <c r="BI93">
        <v>300</v>
      </c>
      <c r="BJ93">
        <v>300</v>
      </c>
      <c r="BK93">
        <v>300</v>
      </c>
      <c r="BL93">
        <v>73.192122999999995</v>
      </c>
      <c r="BM93">
        <v>25</v>
      </c>
      <c r="BN93">
        <v>-0.46748000000000001</v>
      </c>
      <c r="BO93">
        <v>73.783637999999996</v>
      </c>
      <c r="BP93">
        <v>73.249984999999995</v>
      </c>
      <c r="BQ93">
        <v>0.53365300000000004</v>
      </c>
      <c r="BR93">
        <v>2.3987280000000002</v>
      </c>
      <c r="BS93">
        <v>2.4654410000000002</v>
      </c>
      <c r="BT93">
        <v>1.588327</v>
      </c>
      <c r="BU93">
        <v>1.000891</v>
      </c>
      <c r="BV93">
        <v>0.172148</v>
      </c>
      <c r="BW93">
        <v>4.8037999999999997E-2</v>
      </c>
      <c r="BX93">
        <v>0.16600200000000001</v>
      </c>
      <c r="BY93">
        <v>1.6479429999999999</v>
      </c>
      <c r="BZ93">
        <v>63.223244000000001</v>
      </c>
      <c r="CA93">
        <v>3.5399999999999999E-4</v>
      </c>
      <c r="CB93">
        <v>2.3486280000000002</v>
      </c>
      <c r="CC93">
        <v>-5.1E-5</v>
      </c>
      <c r="CD93">
        <v>1</v>
      </c>
      <c r="CE93">
        <v>2.4109430000000001</v>
      </c>
      <c r="CF93">
        <v>-5.7000000000000003E-5</v>
      </c>
      <c r="CG93">
        <v>1</v>
      </c>
      <c r="CH93">
        <v>0.60051900000000002</v>
      </c>
      <c r="CI93">
        <v>0.60216099999999995</v>
      </c>
      <c r="CJ93">
        <v>0.107265</v>
      </c>
      <c r="CK93">
        <v>0</v>
      </c>
      <c r="CL93" t="s">
        <v>1454</v>
      </c>
      <c r="CM93" t="s">
        <v>201</v>
      </c>
      <c r="CN93" t="s">
        <v>202</v>
      </c>
      <c r="CO93" t="s">
        <v>203</v>
      </c>
      <c r="CP93" t="s">
        <v>204</v>
      </c>
      <c r="CQ93" t="s">
        <v>205</v>
      </c>
      <c r="CR93" t="s">
        <v>206</v>
      </c>
    </row>
    <row r="94" spans="1:96">
      <c r="A94">
        <v>10</v>
      </c>
      <c r="B94" s="3">
        <v>0.66578703703703701</v>
      </c>
      <c r="C94" s="1">
        <v>45176</v>
      </c>
      <c r="D94" t="s">
        <v>196</v>
      </c>
      <c r="E94" t="s">
        <v>197</v>
      </c>
      <c r="G94">
        <v>10</v>
      </c>
      <c r="J94">
        <v>1.6900000000000001E-3</v>
      </c>
      <c r="K94">
        <v>2.9193440000000002</v>
      </c>
      <c r="L94">
        <v>1.689E-3</v>
      </c>
      <c r="M94">
        <v>9.9668999999999994E-2</v>
      </c>
      <c r="N94">
        <v>2.0166379999999999</v>
      </c>
      <c r="O94">
        <v>2.014014</v>
      </c>
      <c r="P94">
        <v>7.3597039999999998</v>
      </c>
      <c r="Q94">
        <v>5.3430660000000003</v>
      </c>
      <c r="R94">
        <v>21.1465</v>
      </c>
      <c r="S94">
        <v>21.174057000000001</v>
      </c>
      <c r="T94">
        <v>77.274535999999998</v>
      </c>
      <c r="U94">
        <v>0.44178600000000001</v>
      </c>
      <c r="V94" t="s">
        <v>1455</v>
      </c>
      <c r="W94">
        <v>0</v>
      </c>
      <c r="X94">
        <v>0</v>
      </c>
      <c r="Y94">
        <v>0</v>
      </c>
      <c r="Z94">
        <v>71.354988000000006</v>
      </c>
      <c r="AA94">
        <v>80.666542000000007</v>
      </c>
      <c r="AB94">
        <v>0.11543299999999999</v>
      </c>
      <c r="AC94">
        <v>0.5</v>
      </c>
      <c r="AD94">
        <v>0.8</v>
      </c>
      <c r="AE94">
        <v>81.912918000000005</v>
      </c>
      <c r="AF94">
        <v>32.46</v>
      </c>
      <c r="AG94">
        <v>32.42</v>
      </c>
      <c r="AH94">
        <v>36.729999999999997</v>
      </c>
      <c r="AI94">
        <v>39.86</v>
      </c>
      <c r="AJ94">
        <v>95.24</v>
      </c>
      <c r="AK94">
        <v>156.4</v>
      </c>
      <c r="AL94">
        <v>157.30000000000001</v>
      </c>
      <c r="AM94">
        <v>-0.6</v>
      </c>
      <c r="AN94">
        <v>1774</v>
      </c>
      <c r="AO94">
        <v>3.875</v>
      </c>
      <c r="AP94" s="3">
        <v>0.66560185185185183</v>
      </c>
      <c r="AQ94" s="1">
        <v>45176</v>
      </c>
      <c r="AR94">
        <v>-0.51</v>
      </c>
      <c r="AS94">
        <v>0</v>
      </c>
      <c r="AT94">
        <v>1E-3</v>
      </c>
      <c r="AU94">
        <v>-9999</v>
      </c>
      <c r="AV94">
        <v>-0.125</v>
      </c>
      <c r="AW94">
        <v>8.5999999999999993E-2</v>
      </c>
      <c r="AX94">
        <v>-9999</v>
      </c>
      <c r="AY94">
        <v>1</v>
      </c>
      <c r="AZ94">
        <v>150</v>
      </c>
      <c r="BA94">
        <v>5.0000000000000001E-3</v>
      </c>
      <c r="BB94">
        <v>2</v>
      </c>
      <c r="BC94">
        <v>0</v>
      </c>
      <c r="BD94" t="s">
        <v>200</v>
      </c>
      <c r="BE94">
        <v>7000</v>
      </c>
      <c r="BF94">
        <v>500</v>
      </c>
      <c r="BG94">
        <v>5</v>
      </c>
      <c r="BH94">
        <v>2</v>
      </c>
      <c r="BI94">
        <v>300</v>
      </c>
      <c r="BJ94">
        <v>300</v>
      </c>
      <c r="BK94">
        <v>300</v>
      </c>
      <c r="BL94">
        <v>80.666542000000007</v>
      </c>
      <c r="BM94">
        <v>25</v>
      </c>
      <c r="BN94">
        <v>0.42810900000000002</v>
      </c>
      <c r="BO94">
        <v>81.990120000000005</v>
      </c>
      <c r="BP94">
        <v>81.280579000000003</v>
      </c>
      <c r="BQ94">
        <v>0.70954099999999998</v>
      </c>
      <c r="BR94">
        <v>2.3970889999999998</v>
      </c>
      <c r="BS94">
        <v>2.4637479999999998</v>
      </c>
      <c r="BT94">
        <v>1.5884529999999999</v>
      </c>
      <c r="BU94">
        <v>1.001657</v>
      </c>
      <c r="BV94">
        <v>0.171959</v>
      </c>
      <c r="BW94">
        <v>4.2222000000000003E-2</v>
      </c>
      <c r="BX94">
        <v>0.166905</v>
      </c>
      <c r="BY94">
        <v>1.680626</v>
      </c>
      <c r="BZ94">
        <v>71.354988000000006</v>
      </c>
      <c r="CA94">
        <v>3.48E-4</v>
      </c>
      <c r="CB94">
        <v>2.3486280000000002</v>
      </c>
      <c r="CC94">
        <v>-5.1E-5</v>
      </c>
      <c r="CD94">
        <v>1</v>
      </c>
      <c r="CE94">
        <v>2.4109430000000001</v>
      </c>
      <c r="CF94">
        <v>-5.7000000000000003E-5</v>
      </c>
      <c r="CG94">
        <v>1</v>
      </c>
      <c r="CH94">
        <v>0.60051900000000002</v>
      </c>
      <c r="CI94">
        <v>0.60216099999999995</v>
      </c>
      <c r="CJ94">
        <v>0.107265</v>
      </c>
      <c r="CK94">
        <v>0</v>
      </c>
      <c r="CL94" t="s">
        <v>1455</v>
      </c>
      <c r="CM94" t="s">
        <v>201</v>
      </c>
      <c r="CN94" t="s">
        <v>202</v>
      </c>
      <c r="CO94" t="s">
        <v>203</v>
      </c>
      <c r="CP94" t="s">
        <v>204</v>
      </c>
      <c r="CQ94" t="s">
        <v>205</v>
      </c>
      <c r="CR94" t="s">
        <v>206</v>
      </c>
    </row>
    <row r="95" spans="1:96">
      <c r="A95">
        <v>11</v>
      </c>
      <c r="B95" s="3">
        <v>0.66591435185185188</v>
      </c>
      <c r="C95" s="1">
        <v>45176</v>
      </c>
      <c r="D95" t="s">
        <v>196</v>
      </c>
      <c r="E95" t="s">
        <v>197</v>
      </c>
      <c r="G95">
        <v>11</v>
      </c>
      <c r="J95">
        <v>3.5364E-2</v>
      </c>
      <c r="K95">
        <v>2.9197669999999998</v>
      </c>
      <c r="L95">
        <v>3.4941E-2</v>
      </c>
      <c r="M95">
        <v>1.405392</v>
      </c>
      <c r="N95">
        <v>2.0327700000000002</v>
      </c>
      <c r="O95">
        <v>1.9957800000000001</v>
      </c>
      <c r="P95">
        <v>5.708151</v>
      </c>
      <c r="Q95">
        <v>3.6753809999999998</v>
      </c>
      <c r="R95">
        <v>20.953679999999999</v>
      </c>
      <c r="S95">
        <v>21.342037000000001</v>
      </c>
      <c r="T95">
        <v>59.929825000000001</v>
      </c>
      <c r="U95">
        <v>0.44178600000000001</v>
      </c>
      <c r="V95" t="s">
        <v>1456</v>
      </c>
      <c r="W95">
        <v>0</v>
      </c>
      <c r="X95">
        <v>0</v>
      </c>
      <c r="Y95">
        <v>0</v>
      </c>
      <c r="Z95">
        <v>88.559387000000001</v>
      </c>
      <c r="AA95">
        <v>286.43078600000001</v>
      </c>
      <c r="AB95">
        <v>0.69081700000000001</v>
      </c>
      <c r="AC95">
        <v>0.5</v>
      </c>
      <c r="AD95">
        <v>0.8</v>
      </c>
      <c r="AE95">
        <v>90.050537000000006</v>
      </c>
      <c r="AF95">
        <v>32.69</v>
      </c>
      <c r="AG95">
        <v>32.090000000000003</v>
      </c>
      <c r="AH95">
        <v>36.75</v>
      </c>
      <c r="AI95">
        <v>35.19</v>
      </c>
      <c r="AJ95">
        <v>95.25</v>
      </c>
      <c r="AK95">
        <v>156.5</v>
      </c>
      <c r="AL95">
        <v>157.5</v>
      </c>
      <c r="AM95">
        <v>-0.6</v>
      </c>
      <c r="AN95">
        <v>326</v>
      </c>
      <c r="AO95">
        <v>3.8420000000000001</v>
      </c>
      <c r="AP95" s="3">
        <v>0.66560185185185183</v>
      </c>
      <c r="AQ95" s="1">
        <v>45176</v>
      </c>
      <c r="AR95">
        <v>-0.51</v>
      </c>
      <c r="AS95">
        <v>1E-3</v>
      </c>
      <c r="AT95">
        <v>3.0000000000000001E-3</v>
      </c>
      <c r="AU95">
        <v>6.0000000000000001E-3</v>
      </c>
      <c r="AV95">
        <v>-1.4E-2</v>
      </c>
      <c r="AW95">
        <v>-1.6419999999999999</v>
      </c>
      <c r="AX95">
        <v>-6.9710000000000001</v>
      </c>
      <c r="AY95">
        <v>1</v>
      </c>
      <c r="AZ95">
        <v>150</v>
      </c>
      <c r="BA95">
        <v>5.0000000000000001E-3</v>
      </c>
      <c r="BB95">
        <v>2</v>
      </c>
      <c r="BC95">
        <v>0</v>
      </c>
      <c r="BD95" t="s">
        <v>200</v>
      </c>
      <c r="BE95">
        <v>7000</v>
      </c>
      <c r="BF95">
        <v>500</v>
      </c>
      <c r="BG95">
        <v>5</v>
      </c>
      <c r="BH95">
        <v>2</v>
      </c>
      <c r="BI95">
        <v>300</v>
      </c>
      <c r="BJ95">
        <v>300</v>
      </c>
      <c r="BK95">
        <v>300</v>
      </c>
      <c r="BL95">
        <v>247.72096300000001</v>
      </c>
      <c r="BM95">
        <v>25</v>
      </c>
      <c r="BN95">
        <v>-26.783498999999999</v>
      </c>
      <c r="BO95">
        <v>241.76000999999999</v>
      </c>
      <c r="BP95">
        <v>248.01501500000001</v>
      </c>
      <c r="BQ95">
        <v>-6.2550049999999997</v>
      </c>
      <c r="BR95">
        <v>2.3966590000000001</v>
      </c>
      <c r="BS95">
        <v>2.4640689999999998</v>
      </c>
      <c r="BT95">
        <v>1.5888629999999999</v>
      </c>
      <c r="BU95">
        <v>1.002154</v>
      </c>
      <c r="BV95">
        <v>0.171846</v>
      </c>
      <c r="BW95">
        <v>-2.0958999999999998E-2</v>
      </c>
      <c r="BX95">
        <v>0.16796700000000001</v>
      </c>
      <c r="BY95">
        <v>0.396285</v>
      </c>
      <c r="BZ95">
        <v>88.559387000000001</v>
      </c>
      <c r="CA95">
        <v>3.5599999999999998E-4</v>
      </c>
      <c r="CB95">
        <v>2.3486280000000002</v>
      </c>
      <c r="CC95">
        <v>-5.1E-5</v>
      </c>
      <c r="CD95">
        <v>1</v>
      </c>
      <c r="CE95">
        <v>2.4109430000000001</v>
      </c>
      <c r="CF95">
        <v>-5.7000000000000003E-5</v>
      </c>
      <c r="CG95">
        <v>1</v>
      </c>
      <c r="CH95">
        <v>0.60051900000000002</v>
      </c>
      <c r="CI95">
        <v>0.60216099999999995</v>
      </c>
      <c r="CJ95">
        <v>0.107265</v>
      </c>
      <c r="CK95">
        <v>0</v>
      </c>
      <c r="CL95" t="s">
        <v>1456</v>
      </c>
      <c r="CM95" t="s">
        <v>201</v>
      </c>
      <c r="CN95" t="s">
        <v>202</v>
      </c>
      <c r="CO95" t="s">
        <v>203</v>
      </c>
      <c r="CP95" t="s">
        <v>204</v>
      </c>
      <c r="CQ95" t="s">
        <v>205</v>
      </c>
      <c r="CR95" t="s">
        <v>206</v>
      </c>
    </row>
    <row r="96" spans="1:96">
      <c r="A96">
        <v>12</v>
      </c>
      <c r="B96" s="3">
        <v>0.66600694444444442</v>
      </c>
      <c r="C96" s="1">
        <v>45176</v>
      </c>
      <c r="D96" t="s">
        <v>196</v>
      </c>
      <c r="E96" t="s">
        <v>197</v>
      </c>
      <c r="G96">
        <v>12</v>
      </c>
      <c r="J96">
        <v>3.2839E-2</v>
      </c>
      <c r="K96">
        <v>2.9207260000000002</v>
      </c>
      <c r="L96">
        <v>3.2474000000000003E-2</v>
      </c>
      <c r="M96">
        <v>1.2557430000000001</v>
      </c>
      <c r="N96">
        <v>2.0749569999999999</v>
      </c>
      <c r="O96">
        <v>2.041947</v>
      </c>
      <c r="P96">
        <v>5.6093060000000001</v>
      </c>
      <c r="Q96">
        <v>3.5343490000000002</v>
      </c>
      <c r="R96">
        <v>21.439623000000001</v>
      </c>
      <c r="S96">
        <v>21.786207000000001</v>
      </c>
      <c r="T96">
        <v>58.895451000000001</v>
      </c>
      <c r="U96">
        <v>0.44178600000000001</v>
      </c>
      <c r="V96" t="s">
        <v>1457</v>
      </c>
      <c r="W96">
        <v>0</v>
      </c>
      <c r="X96">
        <v>0</v>
      </c>
      <c r="Y96">
        <v>0</v>
      </c>
      <c r="Z96">
        <v>91.688277999999997</v>
      </c>
      <c r="AA96">
        <v>294.265289</v>
      </c>
      <c r="AB96">
        <v>0.68841600000000003</v>
      </c>
      <c r="AC96">
        <v>0.5</v>
      </c>
      <c r="AD96">
        <v>0.8</v>
      </c>
      <c r="AE96">
        <v>69.545433000000003</v>
      </c>
      <c r="AF96">
        <v>33.369999999999997</v>
      </c>
      <c r="AG96">
        <v>32.840000000000003</v>
      </c>
      <c r="AH96">
        <v>36.75</v>
      </c>
      <c r="AI96">
        <v>34.869999999999997</v>
      </c>
      <c r="AJ96">
        <v>95.24</v>
      </c>
      <c r="AK96">
        <v>156.6</v>
      </c>
      <c r="AL96">
        <v>157.4</v>
      </c>
      <c r="AM96">
        <v>-0.6</v>
      </c>
      <c r="AN96">
        <v>253</v>
      </c>
      <c r="AO96">
        <v>3.875</v>
      </c>
      <c r="AP96" s="3">
        <v>0.66560185185185183</v>
      </c>
      <c r="AQ96" s="1">
        <v>45176</v>
      </c>
      <c r="AR96">
        <v>-0.51</v>
      </c>
      <c r="AS96">
        <v>1E-3</v>
      </c>
      <c r="AT96">
        <v>2E-3</v>
      </c>
      <c r="AU96">
        <v>-9999</v>
      </c>
      <c r="AV96">
        <v>3.0529999999999999</v>
      </c>
      <c r="AW96">
        <v>1.8640000000000001</v>
      </c>
      <c r="AX96">
        <v>-9999</v>
      </c>
      <c r="AY96">
        <v>1</v>
      </c>
      <c r="AZ96">
        <v>150</v>
      </c>
      <c r="BA96">
        <v>5.0000000000000001E-3</v>
      </c>
      <c r="BB96">
        <v>2</v>
      </c>
      <c r="BC96">
        <v>0</v>
      </c>
      <c r="BD96" t="s">
        <v>200</v>
      </c>
      <c r="BE96">
        <v>7000</v>
      </c>
      <c r="BF96">
        <v>500</v>
      </c>
      <c r="BG96">
        <v>5</v>
      </c>
      <c r="BH96">
        <v>2</v>
      </c>
      <c r="BI96">
        <v>300</v>
      </c>
      <c r="BJ96">
        <v>300</v>
      </c>
      <c r="BK96">
        <v>300</v>
      </c>
      <c r="BL96">
        <v>265.93386800000002</v>
      </c>
      <c r="BM96">
        <v>25</v>
      </c>
      <c r="BN96">
        <v>-20.496727</v>
      </c>
      <c r="BO96">
        <v>262.27569599999998</v>
      </c>
      <c r="BP96">
        <v>264.866669</v>
      </c>
      <c r="BQ96">
        <v>-2.590973</v>
      </c>
      <c r="BR96">
        <v>2.3976410000000001</v>
      </c>
      <c r="BS96">
        <v>2.4650310000000002</v>
      </c>
      <c r="BT96">
        <v>1.5897920000000001</v>
      </c>
      <c r="BU96">
        <v>1.002124</v>
      </c>
      <c r="BV96">
        <v>0.17185300000000001</v>
      </c>
      <c r="BW96">
        <v>-2.5085E-2</v>
      </c>
      <c r="BX96">
        <v>0.168652</v>
      </c>
      <c r="BY96">
        <v>0.33125199999999999</v>
      </c>
      <c r="BZ96">
        <v>91.688277999999997</v>
      </c>
      <c r="CA96">
        <v>3.6099999999999999E-4</v>
      </c>
      <c r="CB96">
        <v>2.3486280000000002</v>
      </c>
      <c r="CC96">
        <v>-5.1E-5</v>
      </c>
      <c r="CD96">
        <v>1</v>
      </c>
      <c r="CE96">
        <v>2.4109430000000001</v>
      </c>
      <c r="CF96">
        <v>-5.7000000000000003E-5</v>
      </c>
      <c r="CG96">
        <v>1</v>
      </c>
      <c r="CH96">
        <v>0.60051900000000002</v>
      </c>
      <c r="CI96">
        <v>0.60216099999999995</v>
      </c>
      <c r="CJ96">
        <v>0.107265</v>
      </c>
      <c r="CK96">
        <v>0</v>
      </c>
      <c r="CL96" t="s">
        <v>1457</v>
      </c>
      <c r="CM96" t="s">
        <v>201</v>
      </c>
      <c r="CN96" t="s">
        <v>202</v>
      </c>
      <c r="CO96" t="s">
        <v>203</v>
      </c>
      <c r="CP96" t="s">
        <v>204</v>
      </c>
      <c r="CQ96" t="s">
        <v>205</v>
      </c>
      <c r="CR96" t="s">
        <v>206</v>
      </c>
    </row>
    <row r="97" spans="1:96">
      <c r="A97">
        <v>13</v>
      </c>
      <c r="B97" s="3">
        <v>0.66609953703703706</v>
      </c>
      <c r="C97" s="1">
        <v>45176</v>
      </c>
      <c r="D97" t="s">
        <v>196</v>
      </c>
      <c r="E97" t="s">
        <v>197</v>
      </c>
      <c r="G97">
        <v>13</v>
      </c>
      <c r="J97">
        <v>2.9263000000000001E-2</v>
      </c>
      <c r="K97">
        <v>2.920407</v>
      </c>
      <c r="L97">
        <v>2.8972000000000001E-2</v>
      </c>
      <c r="M97">
        <v>1.6121160000000001</v>
      </c>
      <c r="N97">
        <v>2.0399069999999999</v>
      </c>
      <c r="O97">
        <v>1.9975050000000001</v>
      </c>
      <c r="P97">
        <v>7.0853089999999996</v>
      </c>
      <c r="Q97">
        <v>5.0454030000000003</v>
      </c>
      <c r="R97">
        <v>20.974208999999998</v>
      </c>
      <c r="S97">
        <v>21.419432</v>
      </c>
      <c r="T97">
        <v>74.397186000000005</v>
      </c>
      <c r="U97">
        <v>0.44178600000000001</v>
      </c>
      <c r="V97" t="s">
        <v>1458</v>
      </c>
      <c r="W97">
        <v>0</v>
      </c>
      <c r="X97">
        <v>0</v>
      </c>
      <c r="Y97">
        <v>0</v>
      </c>
      <c r="Z97">
        <v>69.234252999999995</v>
      </c>
      <c r="AA97">
        <v>98.201949999999997</v>
      </c>
      <c r="AB97">
        <v>0.29498099999999999</v>
      </c>
      <c r="AC97">
        <v>0.5</v>
      </c>
      <c r="AD97">
        <v>0.8</v>
      </c>
      <c r="AE97">
        <v>201.51701399999999</v>
      </c>
      <c r="AF97">
        <v>32.799999999999997</v>
      </c>
      <c r="AG97">
        <v>32.119999999999997</v>
      </c>
      <c r="AH97">
        <v>36.75</v>
      </c>
      <c r="AI97">
        <v>39.15</v>
      </c>
      <c r="AJ97">
        <v>95.24</v>
      </c>
      <c r="AK97">
        <v>156.5</v>
      </c>
      <c r="AL97">
        <v>157.5</v>
      </c>
      <c r="AM97">
        <v>-0.6</v>
      </c>
      <c r="AN97">
        <v>1708</v>
      </c>
      <c r="AO97">
        <v>3.8759999999999999</v>
      </c>
      <c r="AP97" s="3">
        <v>0.66560185185185183</v>
      </c>
      <c r="AQ97" s="1">
        <v>45176</v>
      </c>
      <c r="AR97">
        <v>-0.51</v>
      </c>
      <c r="AS97">
        <v>1E-3</v>
      </c>
      <c r="AT97">
        <v>2E-3</v>
      </c>
      <c r="AU97">
        <v>-9999</v>
      </c>
      <c r="AV97">
        <v>-0.57499999999999996</v>
      </c>
      <c r="AW97">
        <v>6.2E-2</v>
      </c>
      <c r="AX97">
        <v>-9999</v>
      </c>
      <c r="AY97">
        <v>1</v>
      </c>
      <c r="AZ97">
        <v>150</v>
      </c>
      <c r="BA97">
        <v>5.0000000000000001E-3</v>
      </c>
      <c r="BB97">
        <v>2</v>
      </c>
      <c r="BC97">
        <v>0</v>
      </c>
      <c r="BD97" t="s">
        <v>200</v>
      </c>
      <c r="BE97">
        <v>7000</v>
      </c>
      <c r="BF97">
        <v>500</v>
      </c>
      <c r="BG97">
        <v>5</v>
      </c>
      <c r="BH97">
        <v>2</v>
      </c>
      <c r="BI97">
        <v>300</v>
      </c>
      <c r="BJ97">
        <v>300</v>
      </c>
      <c r="BK97">
        <v>300</v>
      </c>
      <c r="BL97">
        <v>89.544296000000003</v>
      </c>
      <c r="BM97">
        <v>25</v>
      </c>
      <c r="BN97">
        <v>-6.62392</v>
      </c>
      <c r="BO97">
        <v>86.566688999999997</v>
      </c>
      <c r="BP97">
        <v>88.701210000000003</v>
      </c>
      <c r="BQ97">
        <v>-2.1345209999999999</v>
      </c>
      <c r="BR97">
        <v>2.3966919999999998</v>
      </c>
      <c r="BS97">
        <v>2.4642279999999999</v>
      </c>
      <c r="BT97">
        <v>1.5894820000000001</v>
      </c>
      <c r="BU97">
        <v>1.0022629999999999</v>
      </c>
      <c r="BV97">
        <v>0.17183699999999999</v>
      </c>
      <c r="BW97">
        <v>3.2222000000000001E-2</v>
      </c>
      <c r="BX97">
        <v>0.16945199999999999</v>
      </c>
      <c r="BY97">
        <v>1.6219509999999999</v>
      </c>
      <c r="BZ97">
        <v>69.234252999999995</v>
      </c>
      <c r="CA97">
        <v>3.5E-4</v>
      </c>
      <c r="CB97">
        <v>2.3486280000000002</v>
      </c>
      <c r="CC97">
        <v>-5.1E-5</v>
      </c>
      <c r="CD97">
        <v>1</v>
      </c>
      <c r="CE97">
        <v>2.4109430000000001</v>
      </c>
      <c r="CF97">
        <v>-5.7000000000000003E-5</v>
      </c>
      <c r="CG97">
        <v>1</v>
      </c>
      <c r="CH97">
        <v>0.60051900000000002</v>
      </c>
      <c r="CI97">
        <v>0.60216099999999995</v>
      </c>
      <c r="CJ97">
        <v>0.107265</v>
      </c>
      <c r="CK97">
        <v>0</v>
      </c>
      <c r="CL97" t="s">
        <v>1458</v>
      </c>
      <c r="CM97" t="s">
        <v>201</v>
      </c>
      <c r="CN97" t="s">
        <v>202</v>
      </c>
      <c r="CO97" t="s">
        <v>203</v>
      </c>
      <c r="CP97" t="s">
        <v>204</v>
      </c>
      <c r="CQ97" t="s">
        <v>205</v>
      </c>
      <c r="CR97" t="s">
        <v>206</v>
      </c>
    </row>
    <row r="98" spans="1:96">
      <c r="A98">
        <v>14</v>
      </c>
      <c r="B98" s="3">
        <v>0.66621527777777778</v>
      </c>
      <c r="C98" s="1">
        <v>45176</v>
      </c>
      <c r="D98" t="s">
        <v>196</v>
      </c>
      <c r="E98" t="s">
        <v>197</v>
      </c>
      <c r="G98">
        <v>14</v>
      </c>
      <c r="J98">
        <v>4.0239999999999998E-3</v>
      </c>
      <c r="K98">
        <v>2.9204819999999998</v>
      </c>
      <c r="L98">
        <v>4.0179999999999999E-3</v>
      </c>
      <c r="M98">
        <v>0.236954</v>
      </c>
      <c r="N98">
        <v>1.9999070000000001</v>
      </c>
      <c r="O98">
        <v>1.9936720000000001</v>
      </c>
      <c r="P98">
        <v>7.3404170000000004</v>
      </c>
      <c r="Q98">
        <v>5.3405100000000001</v>
      </c>
      <c r="R98">
        <v>20.933855000000001</v>
      </c>
      <c r="S98">
        <v>20.999319</v>
      </c>
      <c r="T98">
        <v>77.075478000000004</v>
      </c>
      <c r="U98">
        <v>0.44178600000000001</v>
      </c>
      <c r="V98" t="s">
        <v>1459</v>
      </c>
      <c r="W98">
        <v>0</v>
      </c>
      <c r="X98">
        <v>0</v>
      </c>
      <c r="Y98">
        <v>0</v>
      </c>
      <c r="Z98">
        <v>61.680076999999997</v>
      </c>
      <c r="AA98">
        <v>69.595100000000002</v>
      </c>
      <c r="AB98">
        <v>0.11373</v>
      </c>
      <c r="AC98">
        <v>0.5</v>
      </c>
      <c r="AD98">
        <v>0.8</v>
      </c>
      <c r="AE98">
        <v>81.025169000000005</v>
      </c>
      <c r="AF98">
        <v>32.14</v>
      </c>
      <c r="AG98">
        <v>32.04</v>
      </c>
      <c r="AH98">
        <v>36.76</v>
      </c>
      <c r="AI98">
        <v>39.81</v>
      </c>
      <c r="AJ98">
        <v>95.24</v>
      </c>
      <c r="AK98">
        <v>156.6</v>
      </c>
      <c r="AL98">
        <v>157.19999999999999</v>
      </c>
      <c r="AM98">
        <v>-0.4</v>
      </c>
      <c r="AN98">
        <v>1781</v>
      </c>
      <c r="AO98">
        <v>3.8719999999999999</v>
      </c>
      <c r="AP98" s="3">
        <v>0.66560185185185183</v>
      </c>
      <c r="AQ98" s="1">
        <v>45176</v>
      </c>
      <c r="AR98">
        <v>-0.51</v>
      </c>
      <c r="AS98">
        <v>0</v>
      </c>
      <c r="AT98">
        <v>1E-3</v>
      </c>
      <c r="AU98">
        <v>-9999</v>
      </c>
      <c r="AV98">
        <v>4.8000000000000001E-2</v>
      </c>
      <c r="AW98">
        <v>2.5999999999999999E-2</v>
      </c>
      <c r="AX98">
        <v>-9999</v>
      </c>
      <c r="AY98">
        <v>1</v>
      </c>
      <c r="AZ98">
        <v>150</v>
      </c>
      <c r="BA98">
        <v>5.0000000000000001E-3</v>
      </c>
      <c r="BB98">
        <v>2</v>
      </c>
      <c r="BC98">
        <v>0</v>
      </c>
      <c r="BD98" t="s">
        <v>200</v>
      </c>
      <c r="BE98">
        <v>7000</v>
      </c>
      <c r="BF98">
        <v>500</v>
      </c>
      <c r="BG98">
        <v>5</v>
      </c>
      <c r="BH98">
        <v>2</v>
      </c>
      <c r="BI98">
        <v>300</v>
      </c>
      <c r="BJ98">
        <v>300</v>
      </c>
      <c r="BK98">
        <v>300</v>
      </c>
      <c r="BL98">
        <v>69.595100000000002</v>
      </c>
      <c r="BM98">
        <v>25</v>
      </c>
      <c r="BN98">
        <v>0.39869300000000002</v>
      </c>
      <c r="BO98">
        <v>70.482726999999997</v>
      </c>
      <c r="BP98">
        <v>70.166945999999996</v>
      </c>
      <c r="BQ98">
        <v>0.31578099999999998</v>
      </c>
      <c r="BR98">
        <v>2.3965869999999998</v>
      </c>
      <c r="BS98">
        <v>2.4632909999999999</v>
      </c>
      <c r="BT98">
        <v>1.5895550000000001</v>
      </c>
      <c r="BU98">
        <v>1.0012319999999999</v>
      </c>
      <c r="BV98">
        <v>0.17177300000000001</v>
      </c>
      <c r="BW98">
        <v>4.1169999999999998E-2</v>
      </c>
      <c r="BX98">
        <v>0.17036000000000001</v>
      </c>
      <c r="BY98">
        <v>1.6868799999999999</v>
      </c>
      <c r="BZ98">
        <v>61.680076999999997</v>
      </c>
      <c r="CA98">
        <v>3.5399999999999999E-4</v>
      </c>
      <c r="CB98">
        <v>2.3486280000000002</v>
      </c>
      <c r="CC98">
        <v>-5.1E-5</v>
      </c>
      <c r="CD98">
        <v>1</v>
      </c>
      <c r="CE98">
        <v>2.4109430000000001</v>
      </c>
      <c r="CF98">
        <v>-5.7000000000000003E-5</v>
      </c>
      <c r="CG98">
        <v>1</v>
      </c>
      <c r="CH98">
        <v>0.60051900000000002</v>
      </c>
      <c r="CI98">
        <v>0.60216099999999995</v>
      </c>
      <c r="CJ98">
        <v>0.107265</v>
      </c>
      <c r="CK98">
        <v>0</v>
      </c>
      <c r="CL98" t="s">
        <v>1459</v>
      </c>
      <c r="CM98" t="s">
        <v>201</v>
      </c>
      <c r="CN98" t="s">
        <v>202</v>
      </c>
      <c r="CO98" t="s">
        <v>203</v>
      </c>
      <c r="CP98" t="s">
        <v>204</v>
      </c>
      <c r="CQ98" t="s">
        <v>205</v>
      </c>
      <c r="CR98" t="s">
        <v>206</v>
      </c>
    </row>
    <row r="99" spans="1:96">
      <c r="A99">
        <v>15</v>
      </c>
      <c r="B99" s="3">
        <v>0.66826388888888888</v>
      </c>
      <c r="C99" s="1">
        <v>45176</v>
      </c>
      <c r="D99" t="s">
        <v>196</v>
      </c>
      <c r="E99" t="s">
        <v>197</v>
      </c>
      <c r="G99">
        <v>15</v>
      </c>
      <c r="J99">
        <v>1.3516E-2</v>
      </c>
      <c r="K99">
        <v>2.9196330000000001</v>
      </c>
      <c r="L99">
        <v>1.3453E-2</v>
      </c>
      <c r="M99">
        <v>0.80228900000000003</v>
      </c>
      <c r="N99">
        <v>2.0647579999999999</v>
      </c>
      <c r="O99">
        <v>2.0436459999999999</v>
      </c>
      <c r="P99">
        <v>7.4608840000000001</v>
      </c>
      <c r="Q99">
        <v>5.3961269999999999</v>
      </c>
      <c r="R99">
        <v>21.455939999999998</v>
      </c>
      <c r="S99">
        <v>21.677588</v>
      </c>
      <c r="T99">
        <v>78.330726999999996</v>
      </c>
      <c r="U99">
        <v>0.44178600000000001</v>
      </c>
      <c r="V99" t="s">
        <v>1460</v>
      </c>
      <c r="W99">
        <v>0</v>
      </c>
      <c r="X99">
        <v>0</v>
      </c>
      <c r="Y99">
        <v>0</v>
      </c>
      <c r="Z99">
        <v>83.240036000000003</v>
      </c>
      <c r="AA99">
        <v>113.435478</v>
      </c>
      <c r="AB99">
        <v>0.26618999999999998</v>
      </c>
      <c r="AC99">
        <v>0.5</v>
      </c>
      <c r="AD99">
        <v>0.8</v>
      </c>
      <c r="AE99">
        <v>202.715363</v>
      </c>
      <c r="AF99">
        <v>33.200000000000003</v>
      </c>
      <c r="AG99">
        <v>32.86</v>
      </c>
      <c r="AH99">
        <v>36.75</v>
      </c>
      <c r="AI99">
        <v>40.119999999999997</v>
      </c>
      <c r="AJ99">
        <v>95.25</v>
      </c>
      <c r="AK99">
        <v>156.4</v>
      </c>
      <c r="AL99">
        <v>157.19999999999999</v>
      </c>
      <c r="AM99">
        <v>-0.5</v>
      </c>
      <c r="AN99">
        <v>1904</v>
      </c>
      <c r="AO99">
        <v>3.871</v>
      </c>
      <c r="AP99" s="3">
        <v>0.66560185185185183</v>
      </c>
      <c r="AQ99" s="1">
        <v>45176</v>
      </c>
      <c r="AR99">
        <v>-0.51</v>
      </c>
      <c r="AS99">
        <v>1E-3</v>
      </c>
      <c r="AT99">
        <v>1E-3</v>
      </c>
      <c r="AU99">
        <v>-9999</v>
      </c>
      <c r="AV99">
        <v>-0.86399999999999999</v>
      </c>
      <c r="AW99">
        <v>-2.9239999999999999</v>
      </c>
      <c r="AX99">
        <v>-9999</v>
      </c>
      <c r="AY99">
        <v>1</v>
      </c>
      <c r="AZ99">
        <v>150</v>
      </c>
      <c r="BA99">
        <v>5.0000000000000001E-3</v>
      </c>
      <c r="BB99">
        <v>2</v>
      </c>
      <c r="BC99">
        <v>0</v>
      </c>
      <c r="BD99" t="s">
        <v>200</v>
      </c>
      <c r="BE99">
        <v>7000</v>
      </c>
      <c r="BF99">
        <v>500</v>
      </c>
      <c r="BG99">
        <v>5</v>
      </c>
      <c r="BH99">
        <v>2</v>
      </c>
      <c r="BI99">
        <v>300</v>
      </c>
      <c r="BJ99">
        <v>300</v>
      </c>
      <c r="BK99">
        <v>300</v>
      </c>
      <c r="BL99">
        <v>108.216408</v>
      </c>
      <c r="BM99">
        <v>25</v>
      </c>
      <c r="BN99">
        <v>-3.588692</v>
      </c>
      <c r="BO99">
        <v>107.98358899999999</v>
      </c>
      <c r="BP99">
        <v>108.28819300000001</v>
      </c>
      <c r="BQ99">
        <v>-0.30460399999999999</v>
      </c>
      <c r="BR99">
        <v>2.3976690000000001</v>
      </c>
      <c r="BS99">
        <v>2.464791</v>
      </c>
      <c r="BT99">
        <v>1.588733</v>
      </c>
      <c r="BU99">
        <v>1.0013890000000001</v>
      </c>
      <c r="BV99">
        <v>0.17183399999999999</v>
      </c>
      <c r="BW99">
        <v>4.5505999999999998E-2</v>
      </c>
      <c r="BX99">
        <v>0.18924299999999999</v>
      </c>
      <c r="BY99">
        <v>1.795757</v>
      </c>
      <c r="BZ99">
        <v>83.240036000000003</v>
      </c>
      <c r="CA99">
        <v>3.4400000000000001E-4</v>
      </c>
      <c r="CB99">
        <v>2.3486280000000002</v>
      </c>
      <c r="CC99">
        <v>-5.1E-5</v>
      </c>
      <c r="CD99">
        <v>1</v>
      </c>
      <c r="CE99">
        <v>2.4109430000000001</v>
      </c>
      <c r="CF99">
        <v>-5.7000000000000003E-5</v>
      </c>
      <c r="CG99">
        <v>1</v>
      </c>
      <c r="CH99">
        <v>0.60051900000000002</v>
      </c>
      <c r="CI99">
        <v>0.60216099999999995</v>
      </c>
      <c r="CJ99">
        <v>0.107265</v>
      </c>
      <c r="CK99">
        <v>0</v>
      </c>
      <c r="CL99" t="s">
        <v>1460</v>
      </c>
      <c r="CM99" t="s">
        <v>201</v>
      </c>
      <c r="CN99" t="s">
        <v>202</v>
      </c>
      <c r="CO99" t="s">
        <v>203</v>
      </c>
      <c r="CP99" t="s">
        <v>204</v>
      </c>
      <c r="CQ99" t="s">
        <v>205</v>
      </c>
      <c r="CR99" t="s">
        <v>206</v>
      </c>
    </row>
    <row r="100" spans="1:96">
      <c r="A100">
        <v>16</v>
      </c>
      <c r="B100" s="3">
        <v>0.66842592592592587</v>
      </c>
      <c r="C100" s="1">
        <v>45176</v>
      </c>
      <c r="D100" t="s">
        <v>196</v>
      </c>
      <c r="E100" t="s">
        <v>197</v>
      </c>
      <c r="G100">
        <v>16</v>
      </c>
      <c r="J100">
        <v>5.9329999999999999E-3</v>
      </c>
      <c r="K100">
        <v>2.9187219999999998</v>
      </c>
      <c r="L100">
        <v>5.921E-3</v>
      </c>
      <c r="M100">
        <v>0.31797399999999998</v>
      </c>
      <c r="N100">
        <v>2.0391870000000001</v>
      </c>
      <c r="O100">
        <v>2.0308109999999999</v>
      </c>
      <c r="P100">
        <v>6.9143889999999999</v>
      </c>
      <c r="Q100">
        <v>4.8752019999999998</v>
      </c>
      <c r="R100">
        <v>21.319336</v>
      </c>
      <c r="S100">
        <v>21.407268999999999</v>
      </c>
      <c r="T100">
        <v>72.586860999999999</v>
      </c>
      <c r="U100">
        <v>0.44178600000000001</v>
      </c>
      <c r="V100" t="s">
        <v>1461</v>
      </c>
      <c r="W100">
        <v>0</v>
      </c>
      <c r="X100">
        <v>0</v>
      </c>
      <c r="Y100">
        <v>0</v>
      </c>
      <c r="Z100">
        <v>122.346283</v>
      </c>
      <c r="AA100">
        <v>173.06733700000001</v>
      </c>
      <c r="AB100">
        <v>0.29307100000000003</v>
      </c>
      <c r="AC100">
        <v>0.5</v>
      </c>
      <c r="AD100">
        <v>0.8</v>
      </c>
      <c r="AE100">
        <v>182.99890099999999</v>
      </c>
      <c r="AF100">
        <v>32.76</v>
      </c>
      <c r="AG100">
        <v>32.630000000000003</v>
      </c>
      <c r="AH100">
        <v>36.76</v>
      </c>
      <c r="AI100">
        <v>38.700000000000003</v>
      </c>
      <c r="AJ100">
        <v>95.26</v>
      </c>
      <c r="AK100">
        <v>156.30000000000001</v>
      </c>
      <c r="AL100">
        <v>157.4</v>
      </c>
      <c r="AM100">
        <v>-0.7</v>
      </c>
      <c r="AN100">
        <v>1561</v>
      </c>
      <c r="AO100">
        <v>3.871</v>
      </c>
      <c r="AP100" s="3">
        <v>0.66560185185185183</v>
      </c>
      <c r="AQ100" s="1">
        <v>45176</v>
      </c>
      <c r="AR100">
        <v>-0.51</v>
      </c>
      <c r="AS100">
        <v>-1E-3</v>
      </c>
      <c r="AT100">
        <v>-2E-3</v>
      </c>
      <c r="AU100">
        <v>-1E-3</v>
      </c>
      <c r="AV100">
        <v>-1.9239999999999999</v>
      </c>
      <c r="AW100">
        <v>-3.669</v>
      </c>
      <c r="AX100">
        <v>-13.739000000000001</v>
      </c>
      <c r="AY100">
        <v>1</v>
      </c>
      <c r="AZ100">
        <v>150</v>
      </c>
      <c r="BA100">
        <v>5.0000000000000001E-3</v>
      </c>
      <c r="BB100">
        <v>2</v>
      </c>
      <c r="BC100">
        <v>0</v>
      </c>
      <c r="BD100" t="s">
        <v>200</v>
      </c>
      <c r="BE100">
        <v>7000</v>
      </c>
      <c r="BF100">
        <v>500</v>
      </c>
      <c r="BG100">
        <v>5</v>
      </c>
      <c r="BH100">
        <v>2</v>
      </c>
      <c r="BI100">
        <v>300</v>
      </c>
      <c r="BJ100">
        <v>300</v>
      </c>
      <c r="BK100">
        <v>300</v>
      </c>
      <c r="BL100">
        <v>169.61466999999999</v>
      </c>
      <c r="BM100">
        <v>25</v>
      </c>
      <c r="BN100">
        <v>-2.30165</v>
      </c>
      <c r="BO100">
        <v>171.17785599999999</v>
      </c>
      <c r="BP100">
        <v>169.76606799999999</v>
      </c>
      <c r="BQ100">
        <v>1.411789</v>
      </c>
      <c r="BR100">
        <v>2.3973620000000002</v>
      </c>
      <c r="BS100">
        <v>2.464172</v>
      </c>
      <c r="BT100">
        <v>1.5878509999999999</v>
      </c>
      <c r="BU100">
        <v>1.0018419999999999</v>
      </c>
      <c r="BV100">
        <v>0.171741</v>
      </c>
      <c r="BW100">
        <v>2.5825000000000001E-2</v>
      </c>
      <c r="BX100">
        <v>0.190585</v>
      </c>
      <c r="BY100">
        <v>1.491724</v>
      </c>
      <c r="BZ100">
        <v>122.346283</v>
      </c>
      <c r="CA100">
        <v>3.4900000000000003E-4</v>
      </c>
      <c r="CB100">
        <v>2.3486280000000002</v>
      </c>
      <c r="CC100">
        <v>-5.1E-5</v>
      </c>
      <c r="CD100">
        <v>1</v>
      </c>
      <c r="CE100">
        <v>2.4109430000000001</v>
      </c>
      <c r="CF100">
        <v>-5.7000000000000003E-5</v>
      </c>
      <c r="CG100">
        <v>1</v>
      </c>
      <c r="CH100">
        <v>0.60051900000000002</v>
      </c>
      <c r="CI100">
        <v>0.60216099999999995</v>
      </c>
      <c r="CJ100">
        <v>0.107265</v>
      </c>
      <c r="CK100">
        <v>0</v>
      </c>
      <c r="CL100" t="s">
        <v>1461</v>
      </c>
      <c r="CM100" t="s">
        <v>201</v>
      </c>
      <c r="CN100" t="s">
        <v>202</v>
      </c>
      <c r="CO100" t="s">
        <v>203</v>
      </c>
      <c r="CP100" t="s">
        <v>204</v>
      </c>
      <c r="CQ100" t="s">
        <v>205</v>
      </c>
      <c r="CR100" t="s">
        <v>206</v>
      </c>
    </row>
    <row r="101" spans="1:96">
      <c r="A101">
        <v>17</v>
      </c>
      <c r="B101" s="3">
        <v>0.66851851851851851</v>
      </c>
      <c r="C101" s="1">
        <v>45176</v>
      </c>
      <c r="D101" t="s">
        <v>196</v>
      </c>
      <c r="E101" t="s">
        <v>197</v>
      </c>
      <c r="G101">
        <v>17</v>
      </c>
      <c r="J101">
        <v>3.0289E-2</v>
      </c>
      <c r="K101">
        <v>2.918024</v>
      </c>
      <c r="L101">
        <v>2.9978000000000001E-2</v>
      </c>
      <c r="M101">
        <v>1.15463</v>
      </c>
      <c r="N101">
        <v>2.077366</v>
      </c>
      <c r="O101">
        <v>2.0469460000000002</v>
      </c>
      <c r="P101">
        <v>5.5983499999999999</v>
      </c>
      <c r="Q101">
        <v>3.5209839999999999</v>
      </c>
      <c r="R101">
        <v>21.489287999999998</v>
      </c>
      <c r="S101">
        <v>21.80864</v>
      </c>
      <c r="T101">
        <v>58.772700999999998</v>
      </c>
      <c r="U101">
        <v>0.44178600000000001</v>
      </c>
      <c r="V101" t="s">
        <v>1462</v>
      </c>
      <c r="W101">
        <v>0</v>
      </c>
      <c r="X101">
        <v>0</v>
      </c>
      <c r="Y101">
        <v>0</v>
      </c>
      <c r="Z101">
        <v>83.594086000000004</v>
      </c>
      <c r="AA101">
        <v>313.32351699999998</v>
      </c>
      <c r="AB101">
        <v>0.73320200000000002</v>
      </c>
      <c r="AC101">
        <v>0.5</v>
      </c>
      <c r="AD101">
        <v>0.8</v>
      </c>
      <c r="AE101">
        <v>64.966117999999994</v>
      </c>
      <c r="AF101">
        <v>33.369999999999997</v>
      </c>
      <c r="AG101">
        <v>32.880000000000003</v>
      </c>
      <c r="AH101">
        <v>36.770000000000003</v>
      </c>
      <c r="AI101">
        <v>34.840000000000003</v>
      </c>
      <c r="AJ101">
        <v>95.25</v>
      </c>
      <c r="AK101">
        <v>156.19999999999999</v>
      </c>
      <c r="AL101">
        <v>157.30000000000001</v>
      </c>
      <c r="AM101">
        <v>-0.7</v>
      </c>
      <c r="AN101">
        <v>222</v>
      </c>
      <c r="AO101">
        <v>3.871</v>
      </c>
      <c r="AP101" s="3">
        <v>0.66560185185185183</v>
      </c>
      <c r="AQ101" s="1">
        <v>45176</v>
      </c>
      <c r="AR101">
        <v>-0.51</v>
      </c>
      <c r="AS101">
        <v>5.0000000000000001E-3</v>
      </c>
      <c r="AT101">
        <v>2E-3</v>
      </c>
      <c r="AU101">
        <v>-9999</v>
      </c>
      <c r="AV101">
        <v>-0.182</v>
      </c>
      <c r="AW101">
        <v>-0.26400000000000001</v>
      </c>
      <c r="AX101">
        <v>-9999</v>
      </c>
      <c r="AY101">
        <v>1</v>
      </c>
      <c r="AZ101">
        <v>150</v>
      </c>
      <c r="BA101">
        <v>5.0000000000000001E-3</v>
      </c>
      <c r="BB101">
        <v>2</v>
      </c>
      <c r="BC101">
        <v>0</v>
      </c>
      <c r="BD101" t="s">
        <v>200</v>
      </c>
      <c r="BE101">
        <v>7000</v>
      </c>
      <c r="BF101">
        <v>500</v>
      </c>
      <c r="BG101">
        <v>5</v>
      </c>
      <c r="BH101">
        <v>2</v>
      </c>
      <c r="BI101">
        <v>300</v>
      </c>
      <c r="BJ101">
        <v>300</v>
      </c>
      <c r="BK101">
        <v>300</v>
      </c>
      <c r="BL101">
        <v>293.01416</v>
      </c>
      <c r="BM101">
        <v>25</v>
      </c>
      <c r="BN101">
        <v>-14.115824</v>
      </c>
      <c r="BO101">
        <v>297.61935399999999</v>
      </c>
      <c r="BP101">
        <v>293.07708700000001</v>
      </c>
      <c r="BQ101">
        <v>4.5422669999999998</v>
      </c>
      <c r="BR101">
        <v>2.397697</v>
      </c>
      <c r="BS101">
        <v>2.4650319999999999</v>
      </c>
      <c r="BT101">
        <v>1.587178</v>
      </c>
      <c r="BU101">
        <v>1.0015369999999999</v>
      </c>
      <c r="BV101">
        <v>0.17172499999999999</v>
      </c>
      <c r="BW101">
        <v>-2.5805000000000002E-2</v>
      </c>
      <c r="BX101">
        <v>0.19133700000000001</v>
      </c>
      <c r="BY101">
        <v>0.30372199999999999</v>
      </c>
      <c r="BZ101">
        <v>83.594086000000004</v>
      </c>
      <c r="CA101">
        <v>3.5599999999999998E-4</v>
      </c>
      <c r="CB101">
        <v>2.3486280000000002</v>
      </c>
      <c r="CC101">
        <v>-5.1E-5</v>
      </c>
      <c r="CD101">
        <v>1</v>
      </c>
      <c r="CE101">
        <v>2.4109430000000001</v>
      </c>
      <c r="CF101">
        <v>-5.7000000000000003E-5</v>
      </c>
      <c r="CG101">
        <v>1</v>
      </c>
      <c r="CH101">
        <v>0.60051900000000002</v>
      </c>
      <c r="CI101">
        <v>0.60216099999999995</v>
      </c>
      <c r="CJ101">
        <v>0.107265</v>
      </c>
      <c r="CK101">
        <v>0</v>
      </c>
      <c r="CL101" t="s">
        <v>1462</v>
      </c>
      <c r="CM101" t="s">
        <v>201</v>
      </c>
      <c r="CN101" t="s">
        <v>202</v>
      </c>
      <c r="CO101" t="s">
        <v>203</v>
      </c>
      <c r="CP101" t="s">
        <v>204</v>
      </c>
      <c r="CQ101" t="s">
        <v>205</v>
      </c>
      <c r="CR101" t="s">
        <v>206</v>
      </c>
    </row>
    <row r="102" spans="1:96">
      <c r="A102">
        <v>18</v>
      </c>
      <c r="B102" s="3">
        <v>0.66866898148148157</v>
      </c>
      <c r="C102" s="1">
        <v>45176</v>
      </c>
      <c r="D102" t="s">
        <v>196</v>
      </c>
      <c r="E102" t="s">
        <v>197</v>
      </c>
      <c r="G102">
        <v>18</v>
      </c>
      <c r="J102">
        <v>1.8541999999999999E-2</v>
      </c>
      <c r="K102">
        <v>2.9189240000000001</v>
      </c>
      <c r="L102">
        <v>1.8425E-2</v>
      </c>
      <c r="M102">
        <v>0.97791300000000003</v>
      </c>
      <c r="N102">
        <v>2.044848</v>
      </c>
      <c r="O102">
        <v>2.0190939999999999</v>
      </c>
      <c r="P102">
        <v>6.8640819999999998</v>
      </c>
      <c r="Q102">
        <v>4.8192339999999998</v>
      </c>
      <c r="R102">
        <v>21.196774999999999</v>
      </c>
      <c r="S102">
        <v>21.467151999999999</v>
      </c>
      <c r="T102">
        <v>72.060257000000007</v>
      </c>
      <c r="U102">
        <v>0.44178600000000001</v>
      </c>
      <c r="V102" t="s">
        <v>1463</v>
      </c>
      <c r="W102">
        <v>0</v>
      </c>
      <c r="X102">
        <v>0</v>
      </c>
      <c r="Y102">
        <v>0</v>
      </c>
      <c r="Z102">
        <v>116.06669599999999</v>
      </c>
      <c r="AA102">
        <v>159.248932</v>
      </c>
      <c r="AB102">
        <v>0.27116200000000001</v>
      </c>
      <c r="AC102">
        <v>0.5</v>
      </c>
      <c r="AD102">
        <v>0.8</v>
      </c>
      <c r="AE102">
        <v>191.79861500000001</v>
      </c>
      <c r="AF102">
        <v>32.86</v>
      </c>
      <c r="AG102">
        <v>32.44</v>
      </c>
      <c r="AH102">
        <v>36.76</v>
      </c>
      <c r="AI102">
        <v>38.57</v>
      </c>
      <c r="AJ102">
        <v>95.25</v>
      </c>
      <c r="AK102">
        <v>156.4</v>
      </c>
      <c r="AL102">
        <v>157.4</v>
      </c>
      <c r="AM102">
        <v>-0.7</v>
      </c>
      <c r="AN102">
        <v>1768</v>
      </c>
      <c r="AO102">
        <v>3.867</v>
      </c>
      <c r="AP102" s="3">
        <v>0.66560185185185183</v>
      </c>
      <c r="AQ102" s="1">
        <v>45176</v>
      </c>
      <c r="AR102">
        <v>-0.51</v>
      </c>
      <c r="AS102">
        <v>-1E-3</v>
      </c>
      <c r="AT102">
        <v>-1E-3</v>
      </c>
      <c r="AU102">
        <v>1E-3</v>
      </c>
      <c r="AV102">
        <v>-1.538</v>
      </c>
      <c r="AW102">
        <v>-3.282</v>
      </c>
      <c r="AX102">
        <v>-12.132999999999999</v>
      </c>
      <c r="AY102">
        <v>1</v>
      </c>
      <c r="AZ102">
        <v>150</v>
      </c>
      <c r="BA102">
        <v>5.0000000000000001E-3</v>
      </c>
      <c r="BB102">
        <v>2</v>
      </c>
      <c r="BC102">
        <v>0</v>
      </c>
      <c r="BD102" t="s">
        <v>200</v>
      </c>
      <c r="BE102">
        <v>7000</v>
      </c>
      <c r="BF102">
        <v>500</v>
      </c>
      <c r="BG102">
        <v>5</v>
      </c>
      <c r="BH102">
        <v>2</v>
      </c>
      <c r="BI102">
        <v>300</v>
      </c>
      <c r="BJ102">
        <v>300</v>
      </c>
      <c r="BK102">
        <v>300</v>
      </c>
      <c r="BL102">
        <v>155.35067699999999</v>
      </c>
      <c r="BM102">
        <v>25</v>
      </c>
      <c r="BN102">
        <v>-2.6455860000000002</v>
      </c>
      <c r="BO102">
        <v>156.937836</v>
      </c>
      <c r="BP102">
        <v>155.45434599999999</v>
      </c>
      <c r="BQ102">
        <v>1.48349</v>
      </c>
      <c r="BR102">
        <v>2.3971179999999999</v>
      </c>
      <c r="BS102">
        <v>2.464305</v>
      </c>
      <c r="BT102">
        <v>1.588047</v>
      </c>
      <c r="BU102">
        <v>1.0019420000000001</v>
      </c>
      <c r="BV102">
        <v>0.17175099999999999</v>
      </c>
      <c r="BW102">
        <v>2.4001999999999999E-2</v>
      </c>
      <c r="BX102">
        <v>0.192525</v>
      </c>
      <c r="BY102">
        <v>1.675538</v>
      </c>
      <c r="BZ102">
        <v>116.06669599999999</v>
      </c>
      <c r="CA102">
        <v>3.5E-4</v>
      </c>
      <c r="CB102">
        <v>2.3486280000000002</v>
      </c>
      <c r="CC102">
        <v>-5.1E-5</v>
      </c>
      <c r="CD102">
        <v>1</v>
      </c>
      <c r="CE102">
        <v>2.4109430000000001</v>
      </c>
      <c r="CF102">
        <v>-5.7000000000000003E-5</v>
      </c>
      <c r="CG102">
        <v>1</v>
      </c>
      <c r="CH102">
        <v>0.60051900000000002</v>
      </c>
      <c r="CI102">
        <v>0.60216099999999995</v>
      </c>
      <c r="CJ102">
        <v>0.107265</v>
      </c>
      <c r="CK102">
        <v>0</v>
      </c>
      <c r="CL102" t="s">
        <v>1463</v>
      </c>
      <c r="CM102" t="s">
        <v>201</v>
      </c>
      <c r="CN102" t="s">
        <v>202</v>
      </c>
      <c r="CO102" t="s">
        <v>203</v>
      </c>
      <c r="CP102" t="s">
        <v>204</v>
      </c>
      <c r="CQ102" t="s">
        <v>205</v>
      </c>
      <c r="CR102" t="s">
        <v>206</v>
      </c>
    </row>
    <row r="103" spans="1:96">
      <c r="A103">
        <v>19</v>
      </c>
      <c r="B103" s="3">
        <v>0.67128472222222213</v>
      </c>
      <c r="C103" s="1">
        <v>45176</v>
      </c>
      <c r="D103" t="s">
        <v>196</v>
      </c>
      <c r="E103" t="s">
        <v>197</v>
      </c>
      <c r="G103">
        <v>19</v>
      </c>
      <c r="J103">
        <v>1.9119000000000001E-2</v>
      </c>
      <c r="K103">
        <v>2.919019</v>
      </c>
      <c r="L103">
        <v>1.8994E-2</v>
      </c>
      <c r="M103">
        <v>0.765065</v>
      </c>
      <c r="N103">
        <v>1.9561569999999999</v>
      </c>
      <c r="O103">
        <v>1.935986</v>
      </c>
      <c r="P103">
        <v>5.6408630000000004</v>
      </c>
      <c r="Q103">
        <v>3.6847059999999998</v>
      </c>
      <c r="R103">
        <v>20.319120000000002</v>
      </c>
      <c r="S103">
        <v>20.530833999999999</v>
      </c>
      <c r="T103">
        <v>59.20364</v>
      </c>
      <c r="U103">
        <v>0.44178600000000001</v>
      </c>
      <c r="V103" t="s">
        <v>1464</v>
      </c>
      <c r="W103">
        <v>0</v>
      </c>
      <c r="X103">
        <v>0</v>
      </c>
      <c r="Y103">
        <v>0</v>
      </c>
      <c r="Z103">
        <v>72.485443000000004</v>
      </c>
      <c r="AA103">
        <v>179.00676000000001</v>
      </c>
      <c r="AB103">
        <v>0.59506899999999996</v>
      </c>
      <c r="AC103">
        <v>0.5</v>
      </c>
      <c r="AD103">
        <v>0.8</v>
      </c>
      <c r="AE103">
        <v>38.474952999999999</v>
      </c>
      <c r="AF103">
        <v>31.56</v>
      </c>
      <c r="AG103">
        <v>31.24</v>
      </c>
      <c r="AH103">
        <v>36.69</v>
      </c>
      <c r="AI103">
        <v>34.979999999999997</v>
      </c>
      <c r="AJ103">
        <v>95.28</v>
      </c>
      <c r="AK103">
        <v>156.4</v>
      </c>
      <c r="AL103">
        <v>157.19999999999999</v>
      </c>
      <c r="AM103">
        <v>-0.5</v>
      </c>
      <c r="AN103">
        <v>162</v>
      </c>
      <c r="AO103">
        <v>3.8660000000000001</v>
      </c>
      <c r="AP103" s="3">
        <v>0.66560185185185183</v>
      </c>
      <c r="AQ103" s="1">
        <v>45176</v>
      </c>
      <c r="AR103">
        <v>-0.51</v>
      </c>
      <c r="AS103">
        <v>1E-3</v>
      </c>
      <c r="AT103">
        <v>1E-3</v>
      </c>
      <c r="AU103">
        <v>-9999</v>
      </c>
      <c r="AV103">
        <v>0.68</v>
      </c>
      <c r="AW103">
        <v>0.156</v>
      </c>
      <c r="AX103">
        <v>-9999</v>
      </c>
      <c r="AY103">
        <v>1</v>
      </c>
      <c r="AZ103">
        <v>150</v>
      </c>
      <c r="BA103">
        <v>5.0000000000000001E-3</v>
      </c>
      <c r="BB103">
        <v>2</v>
      </c>
      <c r="BC103">
        <v>0</v>
      </c>
      <c r="BD103" t="s">
        <v>200</v>
      </c>
      <c r="BE103">
        <v>7000</v>
      </c>
      <c r="BF103">
        <v>500</v>
      </c>
      <c r="BG103">
        <v>5</v>
      </c>
      <c r="BH103">
        <v>2</v>
      </c>
      <c r="BI103">
        <v>300</v>
      </c>
      <c r="BJ103">
        <v>300</v>
      </c>
      <c r="BK103">
        <v>300</v>
      </c>
      <c r="BL103">
        <v>167.551514</v>
      </c>
      <c r="BM103">
        <v>25</v>
      </c>
      <c r="BN103">
        <v>-7.838101</v>
      </c>
      <c r="BO103">
        <v>169.75486799999999</v>
      </c>
      <c r="BP103">
        <v>167.764511</v>
      </c>
      <c r="BQ103">
        <v>1.990356</v>
      </c>
      <c r="BR103">
        <v>2.395537</v>
      </c>
      <c r="BS103">
        <v>2.4624839999999999</v>
      </c>
      <c r="BT103">
        <v>1.588138</v>
      </c>
      <c r="BU103">
        <v>1.0012239999999999</v>
      </c>
      <c r="BV103">
        <v>0.172261</v>
      </c>
      <c r="BW103">
        <v>-2.2938E-2</v>
      </c>
      <c r="BX103">
        <v>0.21496999999999999</v>
      </c>
      <c r="BY103">
        <v>0.25062099999999998</v>
      </c>
      <c r="BZ103">
        <v>72.485443000000004</v>
      </c>
      <c r="CA103">
        <v>3.6099999999999999E-4</v>
      </c>
      <c r="CB103">
        <v>2.3486280000000002</v>
      </c>
      <c r="CC103">
        <v>-5.1E-5</v>
      </c>
      <c r="CD103">
        <v>1</v>
      </c>
      <c r="CE103">
        <v>2.4109430000000001</v>
      </c>
      <c r="CF103">
        <v>-5.7000000000000003E-5</v>
      </c>
      <c r="CG103">
        <v>1</v>
      </c>
      <c r="CH103">
        <v>0.60051900000000002</v>
      </c>
      <c r="CI103">
        <v>0.60216099999999995</v>
      </c>
      <c r="CJ103">
        <v>0.107265</v>
      </c>
      <c r="CK103">
        <v>0</v>
      </c>
      <c r="CL103" t="s">
        <v>1464</v>
      </c>
      <c r="CM103" t="s">
        <v>201</v>
      </c>
      <c r="CN103" t="s">
        <v>202</v>
      </c>
      <c r="CO103" t="s">
        <v>203</v>
      </c>
      <c r="CP103" t="s">
        <v>204</v>
      </c>
      <c r="CQ103" t="s">
        <v>205</v>
      </c>
      <c r="CR103" t="s">
        <v>206</v>
      </c>
    </row>
    <row r="104" spans="1:96">
      <c r="A104">
        <v>20</v>
      </c>
      <c r="B104" s="3">
        <v>0.67143518518518519</v>
      </c>
      <c r="C104" s="1">
        <v>45176</v>
      </c>
      <c r="D104" t="s">
        <v>196</v>
      </c>
      <c r="E104" t="s">
        <v>197</v>
      </c>
      <c r="G104">
        <v>20</v>
      </c>
      <c r="J104">
        <v>2.9300000000000002E-4</v>
      </c>
      <c r="K104">
        <v>2.9194589999999998</v>
      </c>
      <c r="L104">
        <v>2.9300000000000002E-4</v>
      </c>
      <c r="M104">
        <v>1.4362E-2</v>
      </c>
      <c r="N104">
        <v>1.9549099999999999</v>
      </c>
      <c r="O104">
        <v>1.9545319999999999</v>
      </c>
      <c r="P104">
        <v>6.4188640000000001</v>
      </c>
      <c r="Q104">
        <v>4.4639540000000002</v>
      </c>
      <c r="R104">
        <v>20.513339999999999</v>
      </c>
      <c r="S104">
        <v>20.517313000000001</v>
      </c>
      <c r="T104">
        <v>67.367722000000001</v>
      </c>
      <c r="U104">
        <v>0.44178600000000001</v>
      </c>
      <c r="V104" t="s">
        <v>1465</v>
      </c>
      <c r="W104">
        <v>0</v>
      </c>
      <c r="X104">
        <v>0</v>
      </c>
      <c r="Y104">
        <v>0</v>
      </c>
      <c r="Z104">
        <v>78.477142000000001</v>
      </c>
      <c r="AA104">
        <v>98.204666000000003</v>
      </c>
      <c r="AB104">
        <v>0.20088200000000001</v>
      </c>
      <c r="AC104">
        <v>0.5</v>
      </c>
      <c r="AD104">
        <v>0.8</v>
      </c>
      <c r="AE104">
        <v>32.319575999999998</v>
      </c>
      <c r="AF104">
        <v>31.55</v>
      </c>
      <c r="AG104">
        <v>31.54</v>
      </c>
      <c r="AH104">
        <v>36.68</v>
      </c>
      <c r="AI104">
        <v>37.33</v>
      </c>
      <c r="AJ104">
        <v>95.28</v>
      </c>
      <c r="AK104">
        <v>156.4</v>
      </c>
      <c r="AL104">
        <v>156.6</v>
      </c>
      <c r="AM104">
        <v>-0.1</v>
      </c>
      <c r="AN104">
        <v>402</v>
      </c>
      <c r="AO104">
        <v>3.8660000000000001</v>
      </c>
      <c r="AP104" s="3">
        <v>0.66560185185185183</v>
      </c>
      <c r="AQ104" s="1">
        <v>45176</v>
      </c>
      <c r="AR104">
        <v>-0.51</v>
      </c>
      <c r="AS104">
        <v>-1E-3</v>
      </c>
      <c r="AT104">
        <v>-1E-3</v>
      </c>
      <c r="AU104">
        <v>3.0000000000000001E-3</v>
      </c>
      <c r="AV104">
        <v>-4.8070000000000004</v>
      </c>
      <c r="AW104">
        <v>-3.53</v>
      </c>
      <c r="AX104">
        <v>10.519</v>
      </c>
      <c r="AY104">
        <v>1</v>
      </c>
      <c r="AZ104">
        <v>150</v>
      </c>
      <c r="BA104">
        <v>5.0000000000000001E-3</v>
      </c>
      <c r="BB104">
        <v>2</v>
      </c>
      <c r="BC104">
        <v>0</v>
      </c>
      <c r="BD104" t="s">
        <v>200</v>
      </c>
      <c r="BE104">
        <v>7000</v>
      </c>
      <c r="BF104">
        <v>500</v>
      </c>
      <c r="BG104">
        <v>5</v>
      </c>
      <c r="BH104">
        <v>2</v>
      </c>
      <c r="BI104">
        <v>300</v>
      </c>
      <c r="BJ104">
        <v>300</v>
      </c>
      <c r="BK104">
        <v>300</v>
      </c>
      <c r="BL104">
        <v>94.066856000000001</v>
      </c>
      <c r="BM104">
        <v>25</v>
      </c>
      <c r="BN104">
        <v>-2.8401800000000001</v>
      </c>
      <c r="BO104">
        <v>93.382003999999995</v>
      </c>
      <c r="BP104">
        <v>94.130973999999995</v>
      </c>
      <c r="BQ104">
        <v>-0.74897000000000002</v>
      </c>
      <c r="BR104">
        <v>2.3959429999999999</v>
      </c>
      <c r="BS104">
        <v>2.462466</v>
      </c>
      <c r="BT104">
        <v>1.5885640000000001</v>
      </c>
      <c r="BU104">
        <v>0.99939900000000004</v>
      </c>
      <c r="BV104">
        <v>0.172287</v>
      </c>
      <c r="BW104">
        <v>8.3429999999999997E-3</v>
      </c>
      <c r="BX104">
        <v>0.21615100000000001</v>
      </c>
      <c r="BY104">
        <v>0.46398699999999998</v>
      </c>
      <c r="BZ104">
        <v>78.477142000000001</v>
      </c>
      <c r="CA104">
        <v>3.5799999999999997E-4</v>
      </c>
      <c r="CB104">
        <v>2.3486280000000002</v>
      </c>
      <c r="CC104">
        <v>-5.1E-5</v>
      </c>
      <c r="CD104">
        <v>1</v>
      </c>
      <c r="CE104">
        <v>2.4109430000000001</v>
      </c>
      <c r="CF104">
        <v>-5.7000000000000003E-5</v>
      </c>
      <c r="CG104">
        <v>1</v>
      </c>
      <c r="CH104">
        <v>0.60051900000000002</v>
      </c>
      <c r="CI104">
        <v>0.60216099999999995</v>
      </c>
      <c r="CJ104">
        <v>0.107265</v>
      </c>
      <c r="CK104">
        <v>0</v>
      </c>
      <c r="CL104" t="s">
        <v>1465</v>
      </c>
      <c r="CM104" t="s">
        <v>201</v>
      </c>
      <c r="CN104" t="s">
        <v>202</v>
      </c>
      <c r="CO104" t="s">
        <v>203</v>
      </c>
      <c r="CP104" t="s">
        <v>204</v>
      </c>
      <c r="CQ104" t="s">
        <v>205</v>
      </c>
      <c r="CR104" t="s">
        <v>206</v>
      </c>
    </row>
    <row r="105" spans="1:96">
      <c r="A105">
        <v>21</v>
      </c>
      <c r="B105" s="3">
        <v>0.67159722222222218</v>
      </c>
      <c r="C105" s="1">
        <v>45176</v>
      </c>
      <c r="D105" t="s">
        <v>196</v>
      </c>
      <c r="E105" t="s">
        <v>197</v>
      </c>
      <c r="G105">
        <v>21</v>
      </c>
      <c r="J105">
        <v>2.5774999999999999E-2</v>
      </c>
      <c r="K105">
        <v>2.9205139999999998</v>
      </c>
      <c r="L105">
        <v>2.555E-2</v>
      </c>
      <c r="M105">
        <v>1.1715100000000001</v>
      </c>
      <c r="N105">
        <v>1.99353</v>
      </c>
      <c r="O105">
        <v>1.962691</v>
      </c>
      <c r="P105">
        <v>6.1749660000000004</v>
      </c>
      <c r="Q105">
        <v>4.1814359999999997</v>
      </c>
      <c r="R105">
        <v>20.599625</v>
      </c>
      <c r="S105">
        <v>20.923300000000001</v>
      </c>
      <c r="T105">
        <v>64.809982000000005</v>
      </c>
      <c r="U105">
        <v>0.44178600000000001</v>
      </c>
      <c r="V105" t="s">
        <v>1466</v>
      </c>
      <c r="W105">
        <v>0</v>
      </c>
      <c r="X105">
        <v>0</v>
      </c>
      <c r="Y105">
        <v>0</v>
      </c>
      <c r="Z105">
        <v>84.810730000000007</v>
      </c>
      <c r="AA105">
        <v>182.89556899999999</v>
      </c>
      <c r="AB105">
        <v>0.53628900000000002</v>
      </c>
      <c r="AC105">
        <v>0.5</v>
      </c>
      <c r="AD105">
        <v>0.8</v>
      </c>
      <c r="AE105">
        <v>167.49850499999999</v>
      </c>
      <c r="AF105">
        <v>32.18</v>
      </c>
      <c r="AG105">
        <v>31.69</v>
      </c>
      <c r="AH105">
        <v>36.68</v>
      </c>
      <c r="AI105">
        <v>36.619999999999997</v>
      </c>
      <c r="AJ105">
        <v>95.28</v>
      </c>
      <c r="AK105">
        <v>156.6</v>
      </c>
      <c r="AL105">
        <v>157.30000000000001</v>
      </c>
      <c r="AM105">
        <v>-0.5</v>
      </c>
      <c r="AN105">
        <v>781</v>
      </c>
      <c r="AO105">
        <v>3.8650000000000002</v>
      </c>
      <c r="AP105" s="3">
        <v>0.66560185185185183</v>
      </c>
      <c r="AQ105" s="1">
        <v>45176</v>
      </c>
      <c r="AR105">
        <v>-0.51</v>
      </c>
      <c r="AS105">
        <v>0</v>
      </c>
      <c r="AT105">
        <v>1E-3</v>
      </c>
      <c r="AU105">
        <v>-9999</v>
      </c>
      <c r="AV105">
        <v>-0.69099999999999995</v>
      </c>
      <c r="AW105">
        <v>-0.14299999999999999</v>
      </c>
      <c r="AX105">
        <v>-9999</v>
      </c>
      <c r="AY105">
        <v>1</v>
      </c>
      <c r="AZ105">
        <v>150</v>
      </c>
      <c r="BA105">
        <v>5.0000000000000001E-3</v>
      </c>
      <c r="BB105">
        <v>2</v>
      </c>
      <c r="BC105">
        <v>0</v>
      </c>
      <c r="BD105" t="s">
        <v>200</v>
      </c>
      <c r="BE105">
        <v>7000</v>
      </c>
      <c r="BF105">
        <v>500</v>
      </c>
      <c r="BG105">
        <v>5</v>
      </c>
      <c r="BH105">
        <v>2</v>
      </c>
      <c r="BI105">
        <v>300</v>
      </c>
      <c r="BJ105">
        <v>300</v>
      </c>
      <c r="BK105">
        <v>300</v>
      </c>
      <c r="BL105">
        <v>154.22915599999999</v>
      </c>
      <c r="BM105">
        <v>25</v>
      </c>
      <c r="BN105">
        <v>-21.254287999999999</v>
      </c>
      <c r="BO105">
        <v>145.02560399999999</v>
      </c>
      <c r="BP105">
        <v>152.41038499999999</v>
      </c>
      <c r="BQ105">
        <v>-7.3847810000000003</v>
      </c>
      <c r="BR105">
        <v>2.3961320000000002</v>
      </c>
      <c r="BS105">
        <v>2.4633669999999999</v>
      </c>
      <c r="BT105">
        <v>1.5895870000000001</v>
      </c>
      <c r="BU105">
        <v>1.0015689999999999</v>
      </c>
      <c r="BV105">
        <v>0.17232500000000001</v>
      </c>
      <c r="BW105">
        <v>-1.0809999999999999E-3</v>
      </c>
      <c r="BX105">
        <v>0.217388</v>
      </c>
      <c r="BY105">
        <v>0.79976100000000006</v>
      </c>
      <c r="BZ105">
        <v>84.810730000000007</v>
      </c>
      <c r="CA105">
        <v>3.5300000000000002E-4</v>
      </c>
      <c r="CB105">
        <v>2.3486280000000002</v>
      </c>
      <c r="CC105">
        <v>-5.1E-5</v>
      </c>
      <c r="CD105">
        <v>1</v>
      </c>
      <c r="CE105">
        <v>2.4109430000000001</v>
      </c>
      <c r="CF105">
        <v>-5.7000000000000003E-5</v>
      </c>
      <c r="CG105">
        <v>1</v>
      </c>
      <c r="CH105">
        <v>0.60051900000000002</v>
      </c>
      <c r="CI105">
        <v>0.60216099999999995</v>
      </c>
      <c r="CJ105">
        <v>0.107265</v>
      </c>
      <c r="CK105">
        <v>0</v>
      </c>
      <c r="CL105" t="s">
        <v>1466</v>
      </c>
      <c r="CM105" t="s">
        <v>201</v>
      </c>
      <c r="CN105" t="s">
        <v>202</v>
      </c>
      <c r="CO105" t="s">
        <v>203</v>
      </c>
      <c r="CP105" t="s">
        <v>204</v>
      </c>
      <c r="CQ105" t="s">
        <v>205</v>
      </c>
      <c r="CR105" t="s">
        <v>206</v>
      </c>
    </row>
    <row r="106" spans="1:96">
      <c r="A106">
        <v>22</v>
      </c>
      <c r="B106" s="3">
        <v>0.67170138888888886</v>
      </c>
      <c r="C106" s="1">
        <v>45176</v>
      </c>
      <c r="D106" t="s">
        <v>196</v>
      </c>
      <c r="E106" t="s">
        <v>197</v>
      </c>
      <c r="G106">
        <v>22</v>
      </c>
      <c r="J106">
        <v>1.1674E-2</v>
      </c>
      <c r="K106">
        <v>2.9184890000000001</v>
      </c>
      <c r="L106">
        <v>1.1627E-2</v>
      </c>
      <c r="M106">
        <v>0.47452499999999997</v>
      </c>
      <c r="N106">
        <v>1.944105</v>
      </c>
      <c r="O106">
        <v>1.9315880000000001</v>
      </c>
      <c r="P106">
        <v>5.6769179999999997</v>
      </c>
      <c r="Q106">
        <v>3.732812</v>
      </c>
      <c r="R106">
        <v>20.274135999999999</v>
      </c>
      <c r="S106">
        <v>20.405521</v>
      </c>
      <c r="T106">
        <v>59.585487000000001</v>
      </c>
      <c r="U106">
        <v>0.44178600000000001</v>
      </c>
      <c r="V106" t="s">
        <v>1467</v>
      </c>
      <c r="W106">
        <v>0</v>
      </c>
      <c r="X106">
        <v>0</v>
      </c>
      <c r="Y106">
        <v>0</v>
      </c>
      <c r="Z106">
        <v>89.971305999999998</v>
      </c>
      <c r="AA106">
        <v>216.939682</v>
      </c>
      <c r="AB106">
        <v>0.58526999999999996</v>
      </c>
      <c r="AC106">
        <v>0.5</v>
      </c>
      <c r="AD106">
        <v>0.8</v>
      </c>
      <c r="AE106">
        <v>129.36325099999999</v>
      </c>
      <c r="AF106">
        <v>31.41</v>
      </c>
      <c r="AG106">
        <v>31.21</v>
      </c>
      <c r="AH106">
        <v>36.659999999999997</v>
      </c>
      <c r="AI106">
        <v>35.090000000000003</v>
      </c>
      <c r="AJ106">
        <v>95.27</v>
      </c>
      <c r="AK106">
        <v>156.30000000000001</v>
      </c>
      <c r="AL106">
        <v>157.4</v>
      </c>
      <c r="AM106">
        <v>-0.7</v>
      </c>
      <c r="AN106">
        <v>553</v>
      </c>
      <c r="AO106">
        <v>3.8330000000000002</v>
      </c>
      <c r="AP106" s="3">
        <v>0.66560185185185183</v>
      </c>
      <c r="AQ106" s="1">
        <v>45176</v>
      </c>
      <c r="AR106">
        <v>-0.51</v>
      </c>
      <c r="AS106">
        <v>0</v>
      </c>
      <c r="AT106">
        <v>0</v>
      </c>
      <c r="AU106">
        <v>-9999</v>
      </c>
      <c r="AV106">
        <v>4.1890000000000001</v>
      </c>
      <c r="AW106">
        <v>1.3720000000000001</v>
      </c>
      <c r="AX106">
        <v>-9999</v>
      </c>
      <c r="AY106">
        <v>1</v>
      </c>
      <c r="AZ106">
        <v>150</v>
      </c>
      <c r="BA106">
        <v>5.0000000000000001E-3</v>
      </c>
      <c r="BB106">
        <v>2</v>
      </c>
      <c r="BC106">
        <v>0</v>
      </c>
      <c r="BD106" t="s">
        <v>200</v>
      </c>
      <c r="BE106">
        <v>7000</v>
      </c>
      <c r="BF106">
        <v>500</v>
      </c>
      <c r="BG106">
        <v>5</v>
      </c>
      <c r="BH106">
        <v>2</v>
      </c>
      <c r="BI106">
        <v>300</v>
      </c>
      <c r="BJ106">
        <v>300</v>
      </c>
      <c r="BK106">
        <v>300</v>
      </c>
      <c r="BL106">
        <v>182.63661200000001</v>
      </c>
      <c r="BM106">
        <v>25</v>
      </c>
      <c r="BN106">
        <v>-24.337938000000001</v>
      </c>
      <c r="BO106">
        <v>173.26892100000001</v>
      </c>
      <c r="BP106">
        <v>182.031586</v>
      </c>
      <c r="BQ106">
        <v>-8.7626650000000001</v>
      </c>
      <c r="BR106">
        <v>2.3955009999999999</v>
      </c>
      <c r="BS106">
        <v>2.4622700000000002</v>
      </c>
      <c r="BT106">
        <v>1.587626</v>
      </c>
      <c r="BU106">
        <v>1.0020929999999999</v>
      </c>
      <c r="BV106">
        <v>0.17242099999999999</v>
      </c>
      <c r="BW106">
        <v>-2.1107999999999998E-2</v>
      </c>
      <c r="BX106">
        <v>0.218026</v>
      </c>
      <c r="BY106">
        <v>0.59733599999999998</v>
      </c>
      <c r="BZ106">
        <v>89.971305999999998</v>
      </c>
      <c r="CA106">
        <v>3.5100000000000002E-4</v>
      </c>
      <c r="CB106">
        <v>2.3486280000000002</v>
      </c>
      <c r="CC106">
        <v>-5.1E-5</v>
      </c>
      <c r="CD106">
        <v>1</v>
      </c>
      <c r="CE106">
        <v>2.4109430000000001</v>
      </c>
      <c r="CF106">
        <v>-5.7000000000000003E-5</v>
      </c>
      <c r="CG106">
        <v>1</v>
      </c>
      <c r="CH106">
        <v>0.60051900000000002</v>
      </c>
      <c r="CI106">
        <v>0.60216099999999995</v>
      </c>
      <c r="CJ106">
        <v>0.107265</v>
      </c>
      <c r="CK106">
        <v>0</v>
      </c>
      <c r="CL106" t="s">
        <v>1467</v>
      </c>
      <c r="CM106" t="s">
        <v>201</v>
      </c>
      <c r="CN106" t="s">
        <v>202</v>
      </c>
      <c r="CO106" t="s">
        <v>203</v>
      </c>
      <c r="CP106" t="s">
        <v>204</v>
      </c>
      <c r="CQ106" t="s">
        <v>205</v>
      </c>
      <c r="CR106" t="s">
        <v>206</v>
      </c>
    </row>
    <row r="107" spans="1:96">
      <c r="A107">
        <v>23</v>
      </c>
      <c r="B107" s="3">
        <v>0.67180555555555566</v>
      </c>
      <c r="C107" s="1">
        <v>45176</v>
      </c>
      <c r="D107" t="s">
        <v>196</v>
      </c>
      <c r="E107" t="s">
        <v>197</v>
      </c>
      <c r="G107">
        <v>23</v>
      </c>
      <c r="J107">
        <v>3.1994000000000002E-2</v>
      </c>
      <c r="K107">
        <v>2.9186299999999998</v>
      </c>
      <c r="L107">
        <v>3.1647000000000002E-2</v>
      </c>
      <c r="M107">
        <v>1.1496</v>
      </c>
      <c r="N107">
        <v>1.989036</v>
      </c>
      <c r="O107">
        <v>1.958728</v>
      </c>
      <c r="P107">
        <v>5.3172030000000001</v>
      </c>
      <c r="Q107">
        <v>3.3281670000000001</v>
      </c>
      <c r="R107">
        <v>20.559113</v>
      </c>
      <c r="S107">
        <v>20.877223999999998</v>
      </c>
      <c r="T107">
        <v>55.810177000000003</v>
      </c>
      <c r="U107">
        <v>0.44178600000000001</v>
      </c>
      <c r="V107" t="s">
        <v>1468</v>
      </c>
      <c r="W107">
        <v>0</v>
      </c>
      <c r="X107">
        <v>0</v>
      </c>
      <c r="Y107">
        <v>0</v>
      </c>
      <c r="Z107">
        <v>99.313263000000006</v>
      </c>
      <c r="AA107">
        <v>331.55847199999999</v>
      </c>
      <c r="AB107">
        <v>0.700465</v>
      </c>
      <c r="AC107">
        <v>0.5</v>
      </c>
      <c r="AD107">
        <v>0.8</v>
      </c>
      <c r="AE107">
        <v>90.054282999999998</v>
      </c>
      <c r="AF107">
        <v>32.17</v>
      </c>
      <c r="AG107">
        <v>31.68</v>
      </c>
      <c r="AH107">
        <v>36.64</v>
      </c>
      <c r="AI107">
        <v>33.909999999999997</v>
      </c>
      <c r="AJ107">
        <v>95.27</v>
      </c>
      <c r="AK107">
        <v>156.30000000000001</v>
      </c>
      <c r="AL107">
        <v>157.30000000000001</v>
      </c>
      <c r="AM107">
        <v>-0.6</v>
      </c>
      <c r="AN107">
        <v>321</v>
      </c>
      <c r="AO107">
        <v>3.8620000000000001</v>
      </c>
      <c r="AP107" s="3">
        <v>0.66560185185185183</v>
      </c>
      <c r="AQ107" s="1">
        <v>45176</v>
      </c>
      <c r="AR107">
        <v>-0.51</v>
      </c>
      <c r="AS107">
        <v>0</v>
      </c>
      <c r="AT107">
        <v>1E-3</v>
      </c>
      <c r="AU107">
        <v>-9999</v>
      </c>
      <c r="AV107">
        <v>0.59</v>
      </c>
      <c r="AW107">
        <v>0.77600000000000002</v>
      </c>
      <c r="AX107">
        <v>-9999</v>
      </c>
      <c r="AY107">
        <v>1</v>
      </c>
      <c r="AZ107">
        <v>150</v>
      </c>
      <c r="BA107">
        <v>5.0000000000000001E-3</v>
      </c>
      <c r="BB107">
        <v>2</v>
      </c>
      <c r="BC107">
        <v>0</v>
      </c>
      <c r="BD107" t="s">
        <v>200</v>
      </c>
      <c r="BE107">
        <v>7000</v>
      </c>
      <c r="BF107">
        <v>500</v>
      </c>
      <c r="BG107">
        <v>5</v>
      </c>
      <c r="BH107">
        <v>2</v>
      </c>
      <c r="BI107">
        <v>300</v>
      </c>
      <c r="BJ107">
        <v>300</v>
      </c>
      <c r="BK107">
        <v>300</v>
      </c>
      <c r="BL107">
        <v>304.16644300000002</v>
      </c>
      <c r="BM107">
        <v>25</v>
      </c>
      <c r="BN107">
        <v>-18.836786</v>
      </c>
      <c r="BO107">
        <v>304.249054</v>
      </c>
      <c r="BP107">
        <v>304.54070999999999</v>
      </c>
      <c r="BQ107">
        <v>-0.29165600000000003</v>
      </c>
      <c r="BR107">
        <v>2.3961320000000002</v>
      </c>
      <c r="BS107">
        <v>2.4633569999999998</v>
      </c>
      <c r="BT107">
        <v>1.587763</v>
      </c>
      <c r="BU107">
        <v>1.0016039999999999</v>
      </c>
      <c r="BV107">
        <v>0.17255699999999999</v>
      </c>
      <c r="BW107">
        <v>-3.6207999999999997E-2</v>
      </c>
      <c r="BX107">
        <v>0.21864700000000001</v>
      </c>
      <c r="BY107">
        <v>0.392316</v>
      </c>
      <c r="BZ107">
        <v>99.313263000000006</v>
      </c>
      <c r="CA107">
        <v>3.59E-4</v>
      </c>
      <c r="CB107">
        <v>2.3486280000000002</v>
      </c>
      <c r="CC107">
        <v>-5.1E-5</v>
      </c>
      <c r="CD107">
        <v>1</v>
      </c>
      <c r="CE107">
        <v>2.4109430000000001</v>
      </c>
      <c r="CF107">
        <v>-5.7000000000000003E-5</v>
      </c>
      <c r="CG107">
        <v>1</v>
      </c>
      <c r="CH107">
        <v>0.60051900000000002</v>
      </c>
      <c r="CI107">
        <v>0.60216099999999995</v>
      </c>
      <c r="CJ107">
        <v>0.107265</v>
      </c>
      <c r="CK107">
        <v>0</v>
      </c>
      <c r="CL107" t="s">
        <v>1468</v>
      </c>
      <c r="CM107" t="s">
        <v>201</v>
      </c>
      <c r="CN107" t="s">
        <v>202</v>
      </c>
      <c r="CO107" t="s">
        <v>203</v>
      </c>
      <c r="CP107" t="s">
        <v>204</v>
      </c>
      <c r="CQ107" t="s">
        <v>205</v>
      </c>
      <c r="CR107" t="s">
        <v>206</v>
      </c>
    </row>
    <row r="108" spans="1:96">
      <c r="A108">
        <v>24</v>
      </c>
      <c r="B108" s="3">
        <v>0.67454861111111108</v>
      </c>
      <c r="C108" s="1">
        <v>45176</v>
      </c>
      <c r="D108" t="s">
        <v>196</v>
      </c>
      <c r="E108" t="s">
        <v>197</v>
      </c>
      <c r="G108">
        <v>24</v>
      </c>
      <c r="J108">
        <v>3.8816000000000003E-2</v>
      </c>
      <c r="K108">
        <v>2.9194260000000001</v>
      </c>
      <c r="L108">
        <v>3.8307000000000001E-2</v>
      </c>
      <c r="M108">
        <v>1.7484420000000001</v>
      </c>
      <c r="N108">
        <v>1.9563889999999999</v>
      </c>
      <c r="O108">
        <v>1.9103019999999999</v>
      </c>
      <c r="P108">
        <v>6.1210959999999996</v>
      </c>
      <c r="Q108">
        <v>4.1647069999999999</v>
      </c>
      <c r="R108">
        <v>20.048613</v>
      </c>
      <c r="S108">
        <v>20.532297</v>
      </c>
      <c r="T108">
        <v>64.240882999999997</v>
      </c>
      <c r="U108">
        <v>0.44178600000000001</v>
      </c>
      <c r="V108" t="s">
        <v>1469</v>
      </c>
      <c r="W108">
        <v>0</v>
      </c>
      <c r="X108">
        <v>0</v>
      </c>
      <c r="Y108">
        <v>0</v>
      </c>
      <c r="Z108">
        <v>91.127869000000004</v>
      </c>
      <c r="AA108">
        <v>148.36953700000001</v>
      </c>
      <c r="AB108">
        <v>0.38580500000000001</v>
      </c>
      <c r="AC108">
        <v>0.5</v>
      </c>
      <c r="AD108">
        <v>0.8</v>
      </c>
      <c r="AE108">
        <v>230.29484600000001</v>
      </c>
      <c r="AF108">
        <v>31.97</v>
      </c>
      <c r="AG108">
        <v>31.21</v>
      </c>
      <c r="AH108">
        <v>36.46</v>
      </c>
      <c r="AI108">
        <v>36.46</v>
      </c>
      <c r="AJ108">
        <v>95.28</v>
      </c>
      <c r="AK108">
        <v>156.4</v>
      </c>
      <c r="AL108">
        <v>156.9</v>
      </c>
      <c r="AM108">
        <v>-0.3</v>
      </c>
      <c r="AN108">
        <v>1492</v>
      </c>
      <c r="AO108">
        <v>3.8610000000000002</v>
      </c>
      <c r="AP108" s="3">
        <v>0.67445601851851855</v>
      </c>
      <c r="AQ108" s="1">
        <v>45176</v>
      </c>
      <c r="AR108">
        <v>-0.48</v>
      </c>
      <c r="AS108">
        <v>1E-3</v>
      </c>
      <c r="AT108">
        <v>2E-3</v>
      </c>
      <c r="AU108">
        <v>-9999</v>
      </c>
      <c r="AV108">
        <v>0.129</v>
      </c>
      <c r="AW108">
        <v>1.766</v>
      </c>
      <c r="AX108">
        <v>-9999</v>
      </c>
      <c r="AY108">
        <v>1</v>
      </c>
      <c r="AZ108">
        <v>150</v>
      </c>
      <c r="BA108">
        <v>5.0000000000000001E-3</v>
      </c>
      <c r="BB108">
        <v>2</v>
      </c>
      <c r="BC108">
        <v>0</v>
      </c>
      <c r="BD108" t="s">
        <v>200</v>
      </c>
      <c r="BE108">
        <v>7000</v>
      </c>
      <c r="BF108">
        <v>500</v>
      </c>
      <c r="BG108">
        <v>5</v>
      </c>
      <c r="BH108">
        <v>2</v>
      </c>
      <c r="BI108">
        <v>300</v>
      </c>
      <c r="BJ108">
        <v>300</v>
      </c>
      <c r="BK108">
        <v>300</v>
      </c>
      <c r="BL108">
        <v>136.735443</v>
      </c>
      <c r="BM108">
        <v>25</v>
      </c>
      <c r="BN108">
        <v>-8.5485989999999994</v>
      </c>
      <c r="BO108">
        <v>134.26887500000001</v>
      </c>
      <c r="BP108">
        <v>136.108215</v>
      </c>
      <c r="BQ108">
        <v>-1.83934</v>
      </c>
      <c r="BR108">
        <v>2.3955410000000001</v>
      </c>
      <c r="BS108">
        <v>2.4630529999999999</v>
      </c>
      <c r="BT108">
        <v>1.5885320000000001</v>
      </c>
      <c r="BU108">
        <v>1.0004459999999999</v>
      </c>
      <c r="BV108">
        <v>0.17379500000000001</v>
      </c>
      <c r="BW108">
        <v>-2.8400000000000002E-4</v>
      </c>
      <c r="BX108">
        <v>0.24018300000000001</v>
      </c>
      <c r="BY108">
        <v>1.430758</v>
      </c>
      <c r="BZ108">
        <v>91.127869000000004</v>
      </c>
      <c r="CA108">
        <v>3.57E-4</v>
      </c>
      <c r="CB108">
        <v>2.3486280000000002</v>
      </c>
      <c r="CC108">
        <v>-5.1E-5</v>
      </c>
      <c r="CD108">
        <v>1</v>
      </c>
      <c r="CE108">
        <v>2.4109430000000001</v>
      </c>
      <c r="CF108">
        <v>-5.7000000000000003E-5</v>
      </c>
      <c r="CG108">
        <v>1</v>
      </c>
      <c r="CH108">
        <v>0.60051900000000002</v>
      </c>
      <c r="CI108">
        <v>0.60216099999999995</v>
      </c>
      <c r="CJ108">
        <v>0.107265</v>
      </c>
      <c r="CK108">
        <v>0</v>
      </c>
      <c r="CL108" t="s">
        <v>1469</v>
      </c>
      <c r="CM108" t="s">
        <v>201</v>
      </c>
      <c r="CN108" t="s">
        <v>202</v>
      </c>
      <c r="CO108" t="s">
        <v>203</v>
      </c>
      <c r="CP108" t="s">
        <v>204</v>
      </c>
      <c r="CQ108" t="s">
        <v>205</v>
      </c>
      <c r="CR108" t="s">
        <v>206</v>
      </c>
    </row>
    <row r="109" spans="1:96">
      <c r="A109">
        <v>25</v>
      </c>
      <c r="B109" s="3">
        <v>0.67465277777777777</v>
      </c>
      <c r="C109" s="1">
        <v>45176</v>
      </c>
      <c r="D109" t="s">
        <v>196</v>
      </c>
      <c r="E109" t="s">
        <v>197</v>
      </c>
      <c r="G109">
        <v>25</v>
      </c>
      <c r="J109">
        <v>3.0391000000000001E-2</v>
      </c>
      <c r="K109">
        <v>2.9200620000000002</v>
      </c>
      <c r="L109">
        <v>3.0078000000000001E-2</v>
      </c>
      <c r="M109">
        <v>1.379508</v>
      </c>
      <c r="N109">
        <v>1.943025</v>
      </c>
      <c r="O109">
        <v>1.9066749999999999</v>
      </c>
      <c r="P109">
        <v>6.1281040000000004</v>
      </c>
      <c r="Q109">
        <v>4.185079</v>
      </c>
      <c r="R109">
        <v>20.010235000000002</v>
      </c>
      <c r="S109">
        <v>20.391722000000001</v>
      </c>
      <c r="T109">
        <v>64.313416000000004</v>
      </c>
      <c r="U109">
        <v>0.44178600000000001</v>
      </c>
      <c r="V109" t="s">
        <v>1470</v>
      </c>
      <c r="W109">
        <v>0</v>
      </c>
      <c r="X109">
        <v>0</v>
      </c>
      <c r="Y109">
        <v>0</v>
      </c>
      <c r="Z109">
        <v>94.839691000000002</v>
      </c>
      <c r="AA109">
        <v>167.85423299999999</v>
      </c>
      <c r="AB109">
        <v>0.43498799999999999</v>
      </c>
      <c r="AC109">
        <v>0.5</v>
      </c>
      <c r="AD109">
        <v>0.8</v>
      </c>
      <c r="AE109">
        <v>209.25842299999999</v>
      </c>
      <c r="AF109">
        <v>31.75</v>
      </c>
      <c r="AG109">
        <v>31.16</v>
      </c>
      <c r="AH109">
        <v>36.450000000000003</v>
      </c>
      <c r="AI109">
        <v>36.479999999999997</v>
      </c>
      <c r="AJ109">
        <v>95.29</v>
      </c>
      <c r="AK109">
        <v>156.5</v>
      </c>
      <c r="AL109">
        <v>157.5</v>
      </c>
      <c r="AM109">
        <v>-0.7</v>
      </c>
      <c r="AN109">
        <v>1203</v>
      </c>
      <c r="AO109">
        <v>3.86</v>
      </c>
      <c r="AP109" s="3">
        <v>0.67445601851851855</v>
      </c>
      <c r="AQ109" s="1">
        <v>45176</v>
      </c>
      <c r="AR109">
        <v>-0.48</v>
      </c>
      <c r="AS109">
        <v>-1E-3</v>
      </c>
      <c r="AT109">
        <v>-1E-3</v>
      </c>
      <c r="AU109">
        <v>-9999</v>
      </c>
      <c r="AV109">
        <v>-2.46</v>
      </c>
      <c r="AW109">
        <v>-0.96099999999999997</v>
      </c>
      <c r="AX109">
        <v>-9999</v>
      </c>
      <c r="AY109">
        <v>1</v>
      </c>
      <c r="AZ109">
        <v>150</v>
      </c>
      <c r="BA109">
        <v>5.0000000000000001E-3</v>
      </c>
      <c r="BB109">
        <v>2</v>
      </c>
      <c r="BC109">
        <v>0</v>
      </c>
      <c r="BD109" t="s">
        <v>200</v>
      </c>
      <c r="BE109">
        <v>7000</v>
      </c>
      <c r="BF109">
        <v>500</v>
      </c>
      <c r="BG109">
        <v>5</v>
      </c>
      <c r="BH109">
        <v>2</v>
      </c>
      <c r="BI109">
        <v>300</v>
      </c>
      <c r="BJ109">
        <v>300</v>
      </c>
      <c r="BK109">
        <v>300</v>
      </c>
      <c r="BL109">
        <v>152.34053</v>
      </c>
      <c r="BM109">
        <v>25</v>
      </c>
      <c r="BN109">
        <v>-11.365247999999999</v>
      </c>
      <c r="BO109">
        <v>148.827911</v>
      </c>
      <c r="BP109">
        <v>151.55297899999999</v>
      </c>
      <c r="BQ109">
        <v>-2.7250670000000001</v>
      </c>
      <c r="BR109">
        <v>2.3954689999999998</v>
      </c>
      <c r="BS109">
        <v>2.4627500000000002</v>
      </c>
      <c r="BT109">
        <v>1.589148</v>
      </c>
      <c r="BU109">
        <v>1.0023610000000001</v>
      </c>
      <c r="BV109">
        <v>0.173816</v>
      </c>
      <c r="BW109">
        <v>3.6000000000000001E-5</v>
      </c>
      <c r="BX109">
        <v>0.240924</v>
      </c>
      <c r="BY109">
        <v>1.1738869999999999</v>
      </c>
      <c r="BZ109">
        <v>94.839691000000002</v>
      </c>
      <c r="CA109">
        <v>3.5100000000000002E-4</v>
      </c>
      <c r="CB109">
        <v>2.3486280000000002</v>
      </c>
      <c r="CC109">
        <v>-5.1E-5</v>
      </c>
      <c r="CD109">
        <v>1</v>
      </c>
      <c r="CE109">
        <v>2.4109430000000001</v>
      </c>
      <c r="CF109">
        <v>-5.7000000000000003E-5</v>
      </c>
      <c r="CG109">
        <v>1</v>
      </c>
      <c r="CH109">
        <v>0.60051900000000002</v>
      </c>
      <c r="CI109">
        <v>0.60216099999999995</v>
      </c>
      <c r="CJ109">
        <v>0.107265</v>
      </c>
      <c r="CK109">
        <v>0</v>
      </c>
      <c r="CL109" t="s">
        <v>1470</v>
      </c>
      <c r="CM109" t="s">
        <v>201</v>
      </c>
      <c r="CN109" t="s">
        <v>202</v>
      </c>
      <c r="CO109" t="s">
        <v>203</v>
      </c>
      <c r="CP109" t="s">
        <v>204</v>
      </c>
      <c r="CQ109" t="s">
        <v>205</v>
      </c>
      <c r="CR109" t="s">
        <v>206</v>
      </c>
    </row>
    <row r="110" spans="1:96">
      <c r="A110">
        <v>26</v>
      </c>
      <c r="B110" s="3">
        <v>0.67475694444444445</v>
      </c>
      <c r="C110" s="1">
        <v>45176</v>
      </c>
      <c r="D110" t="s">
        <v>196</v>
      </c>
      <c r="E110" t="s">
        <v>197</v>
      </c>
      <c r="G110">
        <v>26</v>
      </c>
      <c r="J110">
        <v>3.9322000000000003E-2</v>
      </c>
      <c r="K110">
        <v>2.9181940000000002</v>
      </c>
      <c r="L110">
        <v>3.8800000000000001E-2</v>
      </c>
      <c r="M110">
        <v>1.528996</v>
      </c>
      <c r="N110">
        <v>2.0032169999999998</v>
      </c>
      <c r="O110">
        <v>1.9628950000000001</v>
      </c>
      <c r="P110">
        <v>5.6081640000000004</v>
      </c>
      <c r="Q110">
        <v>3.6049470000000001</v>
      </c>
      <c r="R110">
        <v>20.600359000000001</v>
      </c>
      <c r="S110">
        <v>21.023534999999999</v>
      </c>
      <c r="T110">
        <v>58.857044000000002</v>
      </c>
      <c r="U110">
        <v>0.44178600000000001</v>
      </c>
      <c r="V110" t="s">
        <v>1471</v>
      </c>
      <c r="W110">
        <v>0</v>
      </c>
      <c r="X110">
        <v>0</v>
      </c>
      <c r="Y110">
        <v>0</v>
      </c>
      <c r="Z110">
        <v>82.369568000000001</v>
      </c>
      <c r="AA110">
        <v>236.92654400000001</v>
      </c>
      <c r="AB110">
        <v>0.65234099999999995</v>
      </c>
      <c r="AC110">
        <v>0.5</v>
      </c>
      <c r="AD110">
        <v>0.8</v>
      </c>
      <c r="AE110">
        <v>336.05023199999999</v>
      </c>
      <c r="AF110">
        <v>32.76</v>
      </c>
      <c r="AG110">
        <v>32.1</v>
      </c>
      <c r="AH110">
        <v>36.44</v>
      </c>
      <c r="AI110">
        <v>34.869999999999997</v>
      </c>
      <c r="AJ110">
        <v>95.28</v>
      </c>
      <c r="AK110">
        <v>156.30000000000001</v>
      </c>
      <c r="AL110">
        <v>157.4</v>
      </c>
      <c r="AM110">
        <v>-0.7</v>
      </c>
      <c r="AN110">
        <v>1288</v>
      </c>
      <c r="AO110">
        <v>3.86</v>
      </c>
      <c r="AP110" s="3">
        <v>0.67445601851851855</v>
      </c>
      <c r="AQ110" s="1">
        <v>45176</v>
      </c>
      <c r="AR110">
        <v>-0.48</v>
      </c>
      <c r="AS110">
        <v>1E-3</v>
      </c>
      <c r="AT110">
        <v>3.0000000000000001E-3</v>
      </c>
      <c r="AU110">
        <v>-9999</v>
      </c>
      <c r="AV110">
        <v>0.73</v>
      </c>
      <c r="AW110">
        <v>1.0249999999999999</v>
      </c>
      <c r="AX110">
        <v>-9999</v>
      </c>
      <c r="AY110">
        <v>1</v>
      </c>
      <c r="AZ110">
        <v>150</v>
      </c>
      <c r="BA110">
        <v>5.0000000000000001E-3</v>
      </c>
      <c r="BB110">
        <v>2</v>
      </c>
      <c r="BC110">
        <v>0</v>
      </c>
      <c r="BD110" t="s">
        <v>200</v>
      </c>
      <c r="BE110">
        <v>7000</v>
      </c>
      <c r="BF110">
        <v>500</v>
      </c>
      <c r="BG110">
        <v>5</v>
      </c>
      <c r="BH110">
        <v>2</v>
      </c>
      <c r="BI110">
        <v>300</v>
      </c>
      <c r="BJ110">
        <v>300</v>
      </c>
      <c r="BK110">
        <v>300</v>
      </c>
      <c r="BL110">
        <v>223.74487300000001</v>
      </c>
      <c r="BM110">
        <v>25</v>
      </c>
      <c r="BN110">
        <v>-8.891629</v>
      </c>
      <c r="BO110">
        <v>226.24612400000001</v>
      </c>
      <c r="BP110">
        <v>224.17321799999999</v>
      </c>
      <c r="BQ110">
        <v>2.0729060000000001</v>
      </c>
      <c r="BR110">
        <v>2.3967139999999998</v>
      </c>
      <c r="BS110">
        <v>2.464175</v>
      </c>
      <c r="BT110">
        <v>1.5873409999999999</v>
      </c>
      <c r="BU110">
        <v>1.002011</v>
      </c>
      <c r="BV110">
        <v>0.17388600000000001</v>
      </c>
      <c r="BW110">
        <v>-2.1079000000000001E-2</v>
      </c>
      <c r="BX110">
        <v>0.241648</v>
      </c>
      <c r="BY110">
        <v>1.249444</v>
      </c>
      <c r="BZ110">
        <v>82.369568000000001</v>
      </c>
      <c r="CA110">
        <v>3.5399999999999999E-4</v>
      </c>
      <c r="CB110">
        <v>2.3486280000000002</v>
      </c>
      <c r="CC110">
        <v>-5.1E-5</v>
      </c>
      <c r="CD110">
        <v>1</v>
      </c>
      <c r="CE110">
        <v>2.4109430000000001</v>
      </c>
      <c r="CF110">
        <v>-5.7000000000000003E-5</v>
      </c>
      <c r="CG110">
        <v>1</v>
      </c>
      <c r="CH110">
        <v>0.60051900000000002</v>
      </c>
      <c r="CI110">
        <v>0.60216099999999995</v>
      </c>
      <c r="CJ110">
        <v>0.107265</v>
      </c>
      <c r="CK110">
        <v>0</v>
      </c>
      <c r="CL110" t="s">
        <v>1471</v>
      </c>
      <c r="CM110" t="s">
        <v>201</v>
      </c>
      <c r="CN110" t="s">
        <v>202</v>
      </c>
      <c r="CO110" t="s">
        <v>203</v>
      </c>
      <c r="CP110" t="s">
        <v>204</v>
      </c>
      <c r="CQ110" t="s">
        <v>205</v>
      </c>
      <c r="CR110" t="s">
        <v>206</v>
      </c>
    </row>
    <row r="111" spans="1:96">
      <c r="A111">
        <v>27</v>
      </c>
      <c r="B111" s="3">
        <v>0.67489583333333336</v>
      </c>
      <c r="C111" s="1">
        <v>45176</v>
      </c>
      <c r="D111" t="s">
        <v>196</v>
      </c>
      <c r="E111" t="s">
        <v>197</v>
      </c>
      <c r="G111">
        <v>27</v>
      </c>
      <c r="J111">
        <v>3.9058000000000002E-2</v>
      </c>
      <c r="K111">
        <v>2.9182079999999999</v>
      </c>
      <c r="L111">
        <v>3.8542E-2</v>
      </c>
      <c r="M111">
        <v>1.594876</v>
      </c>
      <c r="N111">
        <v>2.0087299999999999</v>
      </c>
      <c r="O111">
        <v>1.9666760000000001</v>
      </c>
      <c r="P111">
        <v>5.7899839999999996</v>
      </c>
      <c r="Q111">
        <v>3.7812540000000001</v>
      </c>
      <c r="R111">
        <v>20.641289</v>
      </c>
      <c r="S111">
        <v>21.082668000000002</v>
      </c>
      <c r="T111">
        <v>60.768894000000003</v>
      </c>
      <c r="U111">
        <v>0.44178600000000001</v>
      </c>
      <c r="V111" t="s">
        <v>1472</v>
      </c>
      <c r="W111">
        <v>0</v>
      </c>
      <c r="X111">
        <v>0</v>
      </c>
      <c r="Y111">
        <v>0</v>
      </c>
      <c r="Z111">
        <v>92.053055000000001</v>
      </c>
      <c r="AA111">
        <v>292.10833700000001</v>
      </c>
      <c r="AB111">
        <v>0.684867</v>
      </c>
      <c r="AC111">
        <v>0.5</v>
      </c>
      <c r="AD111">
        <v>0.8</v>
      </c>
      <c r="AE111">
        <v>362.029358</v>
      </c>
      <c r="AF111">
        <v>32.89</v>
      </c>
      <c r="AG111">
        <v>32.200000000000003</v>
      </c>
      <c r="AH111">
        <v>36.42</v>
      </c>
      <c r="AI111">
        <v>35.450000000000003</v>
      </c>
      <c r="AJ111">
        <v>95.28</v>
      </c>
      <c r="AK111">
        <v>156.30000000000001</v>
      </c>
      <c r="AL111">
        <v>157.5</v>
      </c>
      <c r="AM111">
        <v>-0.8</v>
      </c>
      <c r="AN111">
        <v>1322</v>
      </c>
      <c r="AO111">
        <v>3.8540000000000001</v>
      </c>
      <c r="AP111" s="3">
        <v>0.67445601851851855</v>
      </c>
      <c r="AQ111" s="1">
        <v>45176</v>
      </c>
      <c r="AR111">
        <v>-0.48</v>
      </c>
      <c r="AS111">
        <v>0</v>
      </c>
      <c r="AT111">
        <v>-1E-3</v>
      </c>
      <c r="AU111">
        <v>2E-3</v>
      </c>
      <c r="AV111">
        <v>4.5999999999999999E-2</v>
      </c>
      <c r="AW111">
        <v>-0.495</v>
      </c>
      <c r="AX111">
        <v>-5.13</v>
      </c>
      <c r="AY111">
        <v>1</v>
      </c>
      <c r="AZ111">
        <v>150</v>
      </c>
      <c r="BA111">
        <v>5.0000000000000001E-3</v>
      </c>
      <c r="BB111">
        <v>2</v>
      </c>
      <c r="BC111">
        <v>0</v>
      </c>
      <c r="BD111" t="s">
        <v>200</v>
      </c>
      <c r="BE111">
        <v>7000</v>
      </c>
      <c r="BF111">
        <v>500</v>
      </c>
      <c r="BG111">
        <v>5</v>
      </c>
      <c r="BH111">
        <v>2</v>
      </c>
      <c r="BI111">
        <v>300</v>
      </c>
      <c r="BJ111">
        <v>300</v>
      </c>
      <c r="BK111">
        <v>300</v>
      </c>
      <c r="BL111">
        <v>271.63552900000002</v>
      </c>
      <c r="BM111">
        <v>25</v>
      </c>
      <c r="BN111">
        <v>-14.001780999999999</v>
      </c>
      <c r="BO111">
        <v>274.39248700000002</v>
      </c>
      <c r="BP111">
        <v>272.02548200000001</v>
      </c>
      <c r="BQ111">
        <v>2.3670040000000001</v>
      </c>
      <c r="BR111">
        <v>2.396855</v>
      </c>
      <c r="BS111">
        <v>2.4643679999999999</v>
      </c>
      <c r="BT111">
        <v>1.5873550000000001</v>
      </c>
      <c r="BU111">
        <v>1.002208</v>
      </c>
      <c r="BV111">
        <v>0.17404600000000001</v>
      </c>
      <c r="BW111">
        <v>-1.3181999999999999E-2</v>
      </c>
      <c r="BX111">
        <v>0.24265800000000001</v>
      </c>
      <c r="BY111">
        <v>1.2793049999999999</v>
      </c>
      <c r="BZ111">
        <v>92.053055000000001</v>
      </c>
      <c r="CA111">
        <v>3.5500000000000001E-4</v>
      </c>
      <c r="CB111">
        <v>2.3486280000000002</v>
      </c>
      <c r="CC111">
        <v>-5.1E-5</v>
      </c>
      <c r="CD111">
        <v>1</v>
      </c>
      <c r="CE111">
        <v>2.4109430000000001</v>
      </c>
      <c r="CF111">
        <v>-5.7000000000000003E-5</v>
      </c>
      <c r="CG111">
        <v>1</v>
      </c>
      <c r="CH111">
        <v>0.60051900000000002</v>
      </c>
      <c r="CI111">
        <v>0.60216099999999995</v>
      </c>
      <c r="CJ111">
        <v>0.107265</v>
      </c>
      <c r="CK111">
        <v>0</v>
      </c>
      <c r="CL111" t="s">
        <v>1472</v>
      </c>
      <c r="CM111" t="s">
        <v>201</v>
      </c>
      <c r="CN111" t="s">
        <v>202</v>
      </c>
      <c r="CO111" t="s">
        <v>203</v>
      </c>
      <c r="CP111" t="s">
        <v>204</v>
      </c>
      <c r="CQ111" t="s">
        <v>205</v>
      </c>
      <c r="CR111" t="s">
        <v>206</v>
      </c>
    </row>
    <row r="112" spans="1:96">
      <c r="A112">
        <v>28</v>
      </c>
      <c r="B112" s="3">
        <v>0.68002314814814813</v>
      </c>
      <c r="C112" s="1">
        <v>45176</v>
      </c>
      <c r="D112" t="s">
        <v>196</v>
      </c>
      <c r="E112" t="s">
        <v>197</v>
      </c>
      <c r="G112">
        <v>28</v>
      </c>
      <c r="J112">
        <v>1.5613E-2</v>
      </c>
      <c r="K112">
        <v>2.9194279999999999</v>
      </c>
      <c r="L112">
        <v>1.553E-2</v>
      </c>
      <c r="M112">
        <v>0.90541799999999995</v>
      </c>
      <c r="N112">
        <v>1.977109</v>
      </c>
      <c r="O112">
        <v>1.95326</v>
      </c>
      <c r="P112">
        <v>7.2604600000000001</v>
      </c>
      <c r="Q112">
        <v>5.2833509999999997</v>
      </c>
      <c r="R112">
        <v>20.509088999999999</v>
      </c>
      <c r="S112">
        <v>20.759502000000001</v>
      </c>
      <c r="T112">
        <v>76.234313999999998</v>
      </c>
      <c r="U112">
        <v>0.44178600000000001</v>
      </c>
      <c r="V112" t="s">
        <v>1473</v>
      </c>
      <c r="W112">
        <v>0</v>
      </c>
      <c r="X112">
        <v>0</v>
      </c>
      <c r="Y112">
        <v>0</v>
      </c>
      <c r="Z112">
        <v>237.10978700000001</v>
      </c>
      <c r="AA112">
        <v>293.65182499999997</v>
      </c>
      <c r="AB112">
        <v>0.192548</v>
      </c>
      <c r="AC112">
        <v>0.5</v>
      </c>
      <c r="AD112">
        <v>0.8</v>
      </c>
      <c r="AE112">
        <v>125.65340399999999</v>
      </c>
      <c r="AF112">
        <v>32.5</v>
      </c>
      <c r="AG112">
        <v>32.1</v>
      </c>
      <c r="AH112">
        <v>36.35</v>
      </c>
      <c r="AI112">
        <v>39.61</v>
      </c>
      <c r="AJ112">
        <v>95.24</v>
      </c>
      <c r="AK112">
        <v>156.4</v>
      </c>
      <c r="AL112">
        <v>155.80000000000001</v>
      </c>
      <c r="AM112">
        <v>0.4</v>
      </c>
      <c r="AN112">
        <v>1631</v>
      </c>
      <c r="AO112">
        <v>3.8519999999999999</v>
      </c>
      <c r="AP112" s="3">
        <v>0.67445601851851855</v>
      </c>
      <c r="AQ112" s="1">
        <v>45176</v>
      </c>
      <c r="AR112">
        <v>-0.48</v>
      </c>
      <c r="AS112">
        <v>1E-3</v>
      </c>
      <c r="AT112">
        <v>-1E-3</v>
      </c>
      <c r="AU112">
        <v>-2E-3</v>
      </c>
      <c r="AV112">
        <v>-3.6520000000000001</v>
      </c>
      <c r="AW112">
        <v>1.6259999999999999</v>
      </c>
      <c r="AX112">
        <v>-16.114000000000001</v>
      </c>
      <c r="AY112">
        <v>1</v>
      </c>
      <c r="AZ112">
        <v>150</v>
      </c>
      <c r="BA112">
        <v>5.0000000000000001E-3</v>
      </c>
      <c r="BB112">
        <v>2</v>
      </c>
      <c r="BC112">
        <v>0</v>
      </c>
      <c r="BD112" t="s">
        <v>200</v>
      </c>
      <c r="BE112">
        <v>7000</v>
      </c>
      <c r="BF112">
        <v>500</v>
      </c>
      <c r="BG112">
        <v>5</v>
      </c>
      <c r="BH112">
        <v>2</v>
      </c>
      <c r="BI112">
        <v>300</v>
      </c>
      <c r="BJ112">
        <v>300</v>
      </c>
      <c r="BK112">
        <v>300</v>
      </c>
      <c r="BL112">
        <v>293.65182499999997</v>
      </c>
      <c r="BM112">
        <v>25</v>
      </c>
      <c r="BN112">
        <v>2.8275090000000001</v>
      </c>
      <c r="BO112">
        <v>301.05578600000001</v>
      </c>
      <c r="BP112">
        <v>297.707336</v>
      </c>
      <c r="BQ112">
        <v>3.3484500000000001</v>
      </c>
      <c r="BR112">
        <v>2.396741</v>
      </c>
      <c r="BS112">
        <v>2.4638260000000001</v>
      </c>
      <c r="BT112">
        <v>1.5885339999999999</v>
      </c>
      <c r="BU112">
        <v>0.99696200000000001</v>
      </c>
      <c r="BV112">
        <v>0.17452300000000001</v>
      </c>
      <c r="BW112">
        <v>4.3846999999999997E-2</v>
      </c>
      <c r="BX112">
        <v>0.280804</v>
      </c>
      <c r="BY112">
        <v>1.554171</v>
      </c>
      <c r="BZ112">
        <v>237.10978700000001</v>
      </c>
      <c r="CA112">
        <v>3.5E-4</v>
      </c>
      <c r="CB112">
        <v>2.3486280000000002</v>
      </c>
      <c r="CC112">
        <v>-5.1E-5</v>
      </c>
      <c r="CD112">
        <v>1</v>
      </c>
      <c r="CE112">
        <v>2.4109430000000001</v>
      </c>
      <c r="CF112">
        <v>-5.7000000000000003E-5</v>
      </c>
      <c r="CG112">
        <v>1</v>
      </c>
      <c r="CH112">
        <v>0.60051900000000002</v>
      </c>
      <c r="CI112">
        <v>0.60216099999999995</v>
      </c>
      <c r="CJ112">
        <v>0.107265</v>
      </c>
      <c r="CK112">
        <v>0</v>
      </c>
      <c r="CL112" t="s">
        <v>1473</v>
      </c>
      <c r="CM112" t="s">
        <v>201</v>
      </c>
      <c r="CN112" t="s">
        <v>202</v>
      </c>
      <c r="CO112" t="s">
        <v>203</v>
      </c>
      <c r="CP112" t="s">
        <v>204</v>
      </c>
      <c r="CQ112" t="s">
        <v>205</v>
      </c>
      <c r="CR112" t="s">
        <v>206</v>
      </c>
    </row>
    <row r="113" spans="1:96">
      <c r="A113">
        <v>29</v>
      </c>
      <c r="B113" s="3">
        <v>0.68011574074074066</v>
      </c>
      <c r="C113" s="1">
        <v>45176</v>
      </c>
      <c r="D113" t="s">
        <v>196</v>
      </c>
      <c r="E113" t="s">
        <v>197</v>
      </c>
      <c r="G113">
        <v>29</v>
      </c>
      <c r="J113">
        <v>2.3859999999999999E-2</v>
      </c>
      <c r="K113">
        <v>2.9194309999999999</v>
      </c>
      <c r="L113">
        <v>2.3667000000000001E-2</v>
      </c>
      <c r="M113">
        <v>1.3390470000000001</v>
      </c>
      <c r="N113">
        <v>1.974572</v>
      </c>
      <c r="O113">
        <v>1.939298</v>
      </c>
      <c r="P113">
        <v>7.1064759999999998</v>
      </c>
      <c r="Q113">
        <v>5.1319039999999996</v>
      </c>
      <c r="R113">
        <v>20.361532</v>
      </c>
      <c r="S113">
        <v>20.731885999999999</v>
      </c>
      <c r="T113">
        <v>74.613960000000006</v>
      </c>
      <c r="U113">
        <v>0.44178600000000001</v>
      </c>
      <c r="V113" t="s">
        <v>1474</v>
      </c>
      <c r="W113">
        <v>0</v>
      </c>
      <c r="X113">
        <v>0</v>
      </c>
      <c r="Y113">
        <v>0</v>
      </c>
      <c r="Z113">
        <v>78.080177000000006</v>
      </c>
      <c r="AA113">
        <v>106.550034</v>
      </c>
      <c r="AB113">
        <v>0.26719700000000002</v>
      </c>
      <c r="AC113">
        <v>0.5</v>
      </c>
      <c r="AD113">
        <v>0.8</v>
      </c>
      <c r="AE113">
        <v>196.513046</v>
      </c>
      <c r="AF113">
        <v>32.450000000000003</v>
      </c>
      <c r="AG113">
        <v>31.87</v>
      </c>
      <c r="AH113">
        <v>36.35</v>
      </c>
      <c r="AI113">
        <v>39.21</v>
      </c>
      <c r="AJ113">
        <v>95.24</v>
      </c>
      <c r="AK113">
        <v>156.4</v>
      </c>
      <c r="AL113">
        <v>157.4</v>
      </c>
      <c r="AM113">
        <v>-0.6</v>
      </c>
      <c r="AN113">
        <v>1839</v>
      </c>
      <c r="AO113">
        <v>3.8519999999999999</v>
      </c>
      <c r="AP113" s="3">
        <v>0.67445601851851855</v>
      </c>
      <c r="AQ113" s="1">
        <v>45176</v>
      </c>
      <c r="AR113">
        <v>-0.48</v>
      </c>
      <c r="AS113">
        <v>1E-3</v>
      </c>
      <c r="AT113">
        <v>3.0000000000000001E-3</v>
      </c>
      <c r="AU113">
        <v>-9999</v>
      </c>
      <c r="AV113">
        <v>-0.92600000000000005</v>
      </c>
      <c r="AW113">
        <v>-1.3120000000000001</v>
      </c>
      <c r="AX113">
        <v>-9999</v>
      </c>
      <c r="AY113">
        <v>1</v>
      </c>
      <c r="AZ113">
        <v>150</v>
      </c>
      <c r="BA113">
        <v>5.0000000000000001E-3</v>
      </c>
      <c r="BB113">
        <v>2</v>
      </c>
      <c r="BC113">
        <v>0</v>
      </c>
      <c r="BD113" t="s">
        <v>200</v>
      </c>
      <c r="BE113">
        <v>7000</v>
      </c>
      <c r="BF113">
        <v>500</v>
      </c>
      <c r="BG113">
        <v>5</v>
      </c>
      <c r="BH113">
        <v>2</v>
      </c>
      <c r="BI113">
        <v>300</v>
      </c>
      <c r="BJ113">
        <v>300</v>
      </c>
      <c r="BK113">
        <v>300</v>
      </c>
      <c r="BL113">
        <v>101.604225</v>
      </c>
      <c r="BM113">
        <v>25</v>
      </c>
      <c r="BN113">
        <v>-3.3959069999999998</v>
      </c>
      <c r="BO113">
        <v>101.43935399999999</v>
      </c>
      <c r="BP113">
        <v>101.67926</v>
      </c>
      <c r="BQ113">
        <v>-0.23990600000000001</v>
      </c>
      <c r="BR113">
        <v>2.3964340000000002</v>
      </c>
      <c r="BS113">
        <v>2.4637630000000001</v>
      </c>
      <c r="BT113">
        <v>1.5885370000000001</v>
      </c>
      <c r="BU113">
        <v>1.0018149999999999</v>
      </c>
      <c r="BV113">
        <v>0.174515</v>
      </c>
      <c r="BW113">
        <v>3.8334E-2</v>
      </c>
      <c r="BX113">
        <v>0.28140500000000002</v>
      </c>
      <c r="BY113">
        <v>1.7379290000000001</v>
      </c>
      <c r="BZ113">
        <v>78.080177000000006</v>
      </c>
      <c r="CA113">
        <v>3.5E-4</v>
      </c>
      <c r="CB113">
        <v>2.3486280000000002</v>
      </c>
      <c r="CC113">
        <v>-5.1E-5</v>
      </c>
      <c r="CD113">
        <v>1</v>
      </c>
      <c r="CE113">
        <v>2.4109430000000001</v>
      </c>
      <c r="CF113">
        <v>-5.7000000000000003E-5</v>
      </c>
      <c r="CG113">
        <v>1</v>
      </c>
      <c r="CH113">
        <v>0.60051900000000002</v>
      </c>
      <c r="CI113">
        <v>0.60216099999999995</v>
      </c>
      <c r="CJ113">
        <v>0.107265</v>
      </c>
      <c r="CK113">
        <v>0</v>
      </c>
      <c r="CL113" t="s">
        <v>1474</v>
      </c>
      <c r="CM113" t="s">
        <v>201</v>
      </c>
      <c r="CN113" t="s">
        <v>202</v>
      </c>
      <c r="CO113" t="s">
        <v>203</v>
      </c>
      <c r="CP113" t="s">
        <v>204</v>
      </c>
      <c r="CQ113" t="s">
        <v>205</v>
      </c>
      <c r="CR113" t="s">
        <v>206</v>
      </c>
    </row>
    <row r="114" spans="1:96">
      <c r="A114">
        <v>30</v>
      </c>
      <c r="B114" s="3">
        <v>0.68032407407407414</v>
      </c>
      <c r="C114" s="1">
        <v>45176</v>
      </c>
      <c r="D114" t="s">
        <v>196</v>
      </c>
      <c r="E114" t="s">
        <v>197</v>
      </c>
      <c r="G114">
        <v>30</v>
      </c>
      <c r="J114">
        <v>2.5652000000000001E-2</v>
      </c>
      <c r="K114">
        <v>2.919362</v>
      </c>
      <c r="L114">
        <v>2.5427999999999999E-2</v>
      </c>
      <c r="M114">
        <v>1.1349629999999999</v>
      </c>
      <c r="N114">
        <v>1.9702299999999999</v>
      </c>
      <c r="O114">
        <v>1.940329</v>
      </c>
      <c r="P114">
        <v>6.042478</v>
      </c>
      <c r="Q114">
        <v>4.0722480000000001</v>
      </c>
      <c r="R114">
        <v>20.372297</v>
      </c>
      <c r="S114">
        <v>20.686236999999998</v>
      </c>
      <c r="T114">
        <v>63.442416999999999</v>
      </c>
      <c r="U114">
        <v>0.44178600000000001</v>
      </c>
      <c r="V114" t="s">
        <v>1475</v>
      </c>
      <c r="W114">
        <v>0</v>
      </c>
      <c r="X114">
        <v>0</v>
      </c>
      <c r="Y114">
        <v>0</v>
      </c>
      <c r="Z114">
        <v>54.237842999999998</v>
      </c>
      <c r="AA114">
        <v>201.07894899999999</v>
      </c>
      <c r="AB114">
        <v>0.73026599999999997</v>
      </c>
      <c r="AC114">
        <v>0.5</v>
      </c>
      <c r="AD114">
        <v>0.8</v>
      </c>
      <c r="AE114">
        <v>549.54095500000005</v>
      </c>
      <c r="AF114">
        <v>32.4</v>
      </c>
      <c r="AG114">
        <v>31.91</v>
      </c>
      <c r="AH114">
        <v>36.340000000000003</v>
      </c>
      <c r="AI114">
        <v>36.22</v>
      </c>
      <c r="AJ114">
        <v>95.24</v>
      </c>
      <c r="AK114">
        <v>156.4</v>
      </c>
      <c r="AL114">
        <v>157.19999999999999</v>
      </c>
      <c r="AM114">
        <v>-0.5</v>
      </c>
      <c r="AN114">
        <v>1881</v>
      </c>
      <c r="AO114">
        <v>3.851</v>
      </c>
      <c r="AP114" s="3">
        <v>0.67445601851851855</v>
      </c>
      <c r="AQ114" s="1">
        <v>45176</v>
      </c>
      <c r="AR114">
        <v>-0.48</v>
      </c>
      <c r="AS114">
        <v>1E-3</v>
      </c>
      <c r="AT114">
        <v>2E-3</v>
      </c>
      <c r="AU114">
        <v>0</v>
      </c>
      <c r="AV114">
        <v>-0.40400000000000003</v>
      </c>
      <c r="AW114">
        <v>-1.6379999999999999</v>
      </c>
      <c r="AX114">
        <v>-17.478000000000002</v>
      </c>
      <c r="AY114">
        <v>1</v>
      </c>
      <c r="AZ114">
        <v>150</v>
      </c>
      <c r="BA114">
        <v>5.0000000000000001E-3</v>
      </c>
      <c r="BB114">
        <v>2</v>
      </c>
      <c r="BC114">
        <v>0</v>
      </c>
      <c r="BD114" t="s">
        <v>200</v>
      </c>
      <c r="BE114">
        <v>7000</v>
      </c>
      <c r="BF114">
        <v>500</v>
      </c>
      <c r="BG114">
        <v>5</v>
      </c>
      <c r="BH114">
        <v>2</v>
      </c>
      <c r="BI114">
        <v>300</v>
      </c>
      <c r="BJ114">
        <v>300</v>
      </c>
      <c r="BK114">
        <v>300</v>
      </c>
      <c r="BL114">
        <v>179.949051</v>
      </c>
      <c r="BM114">
        <v>25</v>
      </c>
      <c r="BN114">
        <v>-14.854379</v>
      </c>
      <c r="BO114">
        <v>180.53161600000001</v>
      </c>
      <c r="BP114">
        <v>179.77319299999999</v>
      </c>
      <c r="BQ114">
        <v>0.75842299999999996</v>
      </c>
      <c r="BR114">
        <v>2.3964789999999998</v>
      </c>
      <c r="BS114">
        <v>2.463686</v>
      </c>
      <c r="BT114">
        <v>1.58847</v>
      </c>
      <c r="BU114">
        <v>1.0013000000000001</v>
      </c>
      <c r="BV114">
        <v>0.17457500000000001</v>
      </c>
      <c r="BW114">
        <v>-1.877E-3</v>
      </c>
      <c r="BX114">
        <v>0.28289300000000001</v>
      </c>
      <c r="BY114">
        <v>1.7757559999999999</v>
      </c>
      <c r="BZ114">
        <v>54.237842999999998</v>
      </c>
      <c r="CA114">
        <v>3.6000000000000002E-4</v>
      </c>
      <c r="CB114">
        <v>2.3486280000000002</v>
      </c>
      <c r="CC114">
        <v>-5.1E-5</v>
      </c>
      <c r="CD114">
        <v>1</v>
      </c>
      <c r="CE114">
        <v>2.4109430000000001</v>
      </c>
      <c r="CF114">
        <v>-5.7000000000000003E-5</v>
      </c>
      <c r="CG114">
        <v>1</v>
      </c>
      <c r="CH114">
        <v>0.60051900000000002</v>
      </c>
      <c r="CI114">
        <v>0.60216099999999995</v>
      </c>
      <c r="CJ114">
        <v>0.107265</v>
      </c>
      <c r="CK114">
        <v>0</v>
      </c>
      <c r="CL114" t="s">
        <v>1475</v>
      </c>
      <c r="CM114" t="s">
        <v>201</v>
      </c>
      <c r="CN114" t="s">
        <v>202</v>
      </c>
      <c r="CO114" t="s">
        <v>203</v>
      </c>
      <c r="CP114" t="s">
        <v>204</v>
      </c>
      <c r="CQ114" t="s">
        <v>205</v>
      </c>
      <c r="CR114" t="s">
        <v>206</v>
      </c>
    </row>
    <row r="115" spans="1:96">
      <c r="A115">
        <v>31</v>
      </c>
      <c r="B115" s="3">
        <v>0.68046296296296294</v>
      </c>
      <c r="C115" s="1">
        <v>45176</v>
      </c>
      <c r="D115" t="s">
        <v>196</v>
      </c>
      <c r="E115" t="s">
        <v>197</v>
      </c>
      <c r="G115">
        <v>31</v>
      </c>
      <c r="J115">
        <v>1.3879000000000001E-2</v>
      </c>
      <c r="K115">
        <v>2.9187409999999998</v>
      </c>
      <c r="L115">
        <v>1.3813000000000001E-2</v>
      </c>
      <c r="M115">
        <v>0.73104000000000002</v>
      </c>
      <c r="N115">
        <v>1.976054</v>
      </c>
      <c r="O115">
        <v>1.9567859999999999</v>
      </c>
      <c r="P115">
        <v>6.7850380000000001</v>
      </c>
      <c r="Q115">
        <v>4.8089839999999997</v>
      </c>
      <c r="R115">
        <v>20.544222000000001</v>
      </c>
      <c r="S115">
        <v>20.746518999999999</v>
      </c>
      <c r="T115">
        <v>71.235862999999995</v>
      </c>
      <c r="U115">
        <v>0.44178600000000001</v>
      </c>
      <c r="V115" t="s">
        <v>1476</v>
      </c>
      <c r="W115">
        <v>0</v>
      </c>
      <c r="X115">
        <v>0</v>
      </c>
      <c r="Y115">
        <v>0</v>
      </c>
      <c r="Z115">
        <v>140.44511399999999</v>
      </c>
      <c r="AA115">
        <v>194.36142000000001</v>
      </c>
      <c r="AB115">
        <v>0.27740199999999998</v>
      </c>
      <c r="AC115">
        <v>0.5</v>
      </c>
      <c r="AD115">
        <v>0.8</v>
      </c>
      <c r="AE115">
        <v>186.70336900000001</v>
      </c>
      <c r="AF115">
        <v>32.51</v>
      </c>
      <c r="AG115">
        <v>32.19</v>
      </c>
      <c r="AH115">
        <v>36.33</v>
      </c>
      <c r="AI115">
        <v>38.35</v>
      </c>
      <c r="AJ115">
        <v>95.25</v>
      </c>
      <c r="AK115">
        <v>156.30000000000001</v>
      </c>
      <c r="AL115">
        <v>157.30000000000001</v>
      </c>
      <c r="AM115">
        <v>-0.6</v>
      </c>
      <c r="AN115">
        <v>1683</v>
      </c>
      <c r="AO115">
        <v>3.8490000000000002</v>
      </c>
      <c r="AP115" s="3">
        <v>0.67445601851851855</v>
      </c>
      <c r="AQ115" s="1">
        <v>45176</v>
      </c>
      <c r="AR115">
        <v>-0.48</v>
      </c>
      <c r="AS115">
        <v>0</v>
      </c>
      <c r="AT115">
        <v>0</v>
      </c>
      <c r="AU115">
        <v>-9999</v>
      </c>
      <c r="AV115">
        <v>-2.331</v>
      </c>
      <c r="AW115">
        <v>-2.3420000000000001</v>
      </c>
      <c r="AX115">
        <v>-9999</v>
      </c>
      <c r="AY115">
        <v>1</v>
      </c>
      <c r="AZ115">
        <v>150</v>
      </c>
      <c r="BA115">
        <v>5.0000000000000001E-3</v>
      </c>
      <c r="BB115">
        <v>2</v>
      </c>
      <c r="BC115">
        <v>0</v>
      </c>
      <c r="BD115" t="s">
        <v>200</v>
      </c>
      <c r="BE115">
        <v>7000</v>
      </c>
      <c r="BF115">
        <v>500</v>
      </c>
      <c r="BG115">
        <v>5</v>
      </c>
      <c r="BH115">
        <v>2</v>
      </c>
      <c r="BI115">
        <v>300</v>
      </c>
      <c r="BJ115">
        <v>300</v>
      </c>
      <c r="BK115">
        <v>300</v>
      </c>
      <c r="BL115">
        <v>191.24078399999999</v>
      </c>
      <c r="BM115">
        <v>25</v>
      </c>
      <c r="BN115">
        <v>-2.0726619999999998</v>
      </c>
      <c r="BO115">
        <v>193.64297500000001</v>
      </c>
      <c r="BP115">
        <v>191.38857999999999</v>
      </c>
      <c r="BQ115">
        <v>2.2543950000000001</v>
      </c>
      <c r="BR115">
        <v>2.3968579999999999</v>
      </c>
      <c r="BS115">
        <v>2.4638450000000001</v>
      </c>
      <c r="BT115">
        <v>1.5878699999999999</v>
      </c>
      <c r="BU115">
        <v>1.0015529999999999</v>
      </c>
      <c r="BV115">
        <v>0.17463300000000001</v>
      </c>
      <c r="BW115">
        <v>2.6832999999999999E-2</v>
      </c>
      <c r="BX115">
        <v>0.28390399999999999</v>
      </c>
      <c r="BY115">
        <v>1.5995330000000001</v>
      </c>
      <c r="BZ115">
        <v>140.44511399999999</v>
      </c>
      <c r="CA115">
        <v>3.4900000000000003E-4</v>
      </c>
      <c r="CB115">
        <v>2.3486280000000002</v>
      </c>
      <c r="CC115">
        <v>-5.1E-5</v>
      </c>
      <c r="CD115">
        <v>1</v>
      </c>
      <c r="CE115">
        <v>2.4109430000000001</v>
      </c>
      <c r="CF115">
        <v>-5.7000000000000003E-5</v>
      </c>
      <c r="CG115">
        <v>1</v>
      </c>
      <c r="CH115">
        <v>0.60051900000000002</v>
      </c>
      <c r="CI115">
        <v>0.60216099999999995</v>
      </c>
      <c r="CJ115">
        <v>0.107265</v>
      </c>
      <c r="CK115">
        <v>0</v>
      </c>
      <c r="CL115" t="s">
        <v>1476</v>
      </c>
      <c r="CM115" t="s">
        <v>201</v>
      </c>
      <c r="CN115" t="s">
        <v>202</v>
      </c>
      <c r="CO115" t="s">
        <v>203</v>
      </c>
      <c r="CP115" t="s">
        <v>204</v>
      </c>
      <c r="CQ115" t="s">
        <v>205</v>
      </c>
      <c r="CR115" t="s">
        <v>206</v>
      </c>
    </row>
    <row r="116" spans="1:96">
      <c r="A116">
        <v>32</v>
      </c>
      <c r="B116" s="3">
        <v>0.68251157407407403</v>
      </c>
      <c r="C116" s="1">
        <v>45176</v>
      </c>
      <c r="D116" t="s">
        <v>196</v>
      </c>
      <c r="E116" t="s">
        <v>197</v>
      </c>
      <c r="G116">
        <v>32</v>
      </c>
      <c r="J116">
        <v>5.4567999999999998E-2</v>
      </c>
      <c r="K116">
        <v>2.919038</v>
      </c>
      <c r="L116">
        <v>5.3566999999999997E-2</v>
      </c>
      <c r="M116">
        <v>2.1277189999999999</v>
      </c>
      <c r="N116">
        <v>2.0177299999999998</v>
      </c>
      <c r="O116">
        <v>1.9616800000000001</v>
      </c>
      <c r="P116">
        <v>5.649184</v>
      </c>
      <c r="Q116">
        <v>3.6314540000000002</v>
      </c>
      <c r="R116">
        <v>20.593392999999999</v>
      </c>
      <c r="S116">
        <v>21.181788999999998</v>
      </c>
      <c r="T116">
        <v>59.304188000000003</v>
      </c>
      <c r="U116">
        <v>0.44178600000000001</v>
      </c>
      <c r="V116" t="s">
        <v>1477</v>
      </c>
      <c r="W116">
        <v>0</v>
      </c>
      <c r="X116">
        <v>0</v>
      </c>
      <c r="Y116">
        <v>0</v>
      </c>
      <c r="Z116">
        <v>135.60282900000001</v>
      </c>
      <c r="AA116">
        <v>357.71447799999999</v>
      </c>
      <c r="AB116">
        <v>0.620919</v>
      </c>
      <c r="AC116">
        <v>0.5</v>
      </c>
      <c r="AD116">
        <v>0.8</v>
      </c>
      <c r="AE116">
        <v>115.622086</v>
      </c>
      <c r="AF116">
        <v>33.51</v>
      </c>
      <c r="AG116">
        <v>32.58</v>
      </c>
      <c r="AH116">
        <v>36.159999999999997</v>
      </c>
      <c r="AI116">
        <v>35</v>
      </c>
      <c r="AJ116">
        <v>95.26</v>
      </c>
      <c r="AK116">
        <v>156.4</v>
      </c>
      <c r="AL116">
        <v>157.30000000000001</v>
      </c>
      <c r="AM116">
        <v>-0.6</v>
      </c>
      <c r="AN116">
        <v>466</v>
      </c>
      <c r="AO116">
        <v>3.847</v>
      </c>
      <c r="AP116" s="3">
        <v>0.68238425925925927</v>
      </c>
      <c r="AQ116" s="1">
        <v>45176</v>
      </c>
      <c r="AR116">
        <v>-0.41</v>
      </c>
      <c r="AS116">
        <v>0</v>
      </c>
      <c r="AT116">
        <v>-1E-3</v>
      </c>
      <c r="AU116">
        <v>1E-3</v>
      </c>
      <c r="AV116">
        <v>4.2370000000000001</v>
      </c>
      <c r="AW116">
        <v>-3.6789999999999998</v>
      </c>
      <c r="AX116">
        <v>-7.75</v>
      </c>
      <c r="AY116">
        <v>1</v>
      </c>
      <c r="AZ116">
        <v>150</v>
      </c>
      <c r="BA116">
        <v>5.0000000000000001E-3</v>
      </c>
      <c r="BB116">
        <v>2</v>
      </c>
      <c r="BC116">
        <v>0</v>
      </c>
      <c r="BD116" t="s">
        <v>200</v>
      </c>
      <c r="BE116">
        <v>7000</v>
      </c>
      <c r="BF116">
        <v>500</v>
      </c>
      <c r="BG116">
        <v>5</v>
      </c>
      <c r="BH116">
        <v>2</v>
      </c>
      <c r="BI116">
        <v>300</v>
      </c>
      <c r="BJ116">
        <v>300</v>
      </c>
      <c r="BK116">
        <v>300</v>
      </c>
      <c r="BL116">
        <v>337.39291400000002</v>
      </c>
      <c r="BM116">
        <v>25</v>
      </c>
      <c r="BN116">
        <v>-13.723013</v>
      </c>
      <c r="BO116">
        <v>337.43298299999998</v>
      </c>
      <c r="BP116">
        <v>338.03146400000003</v>
      </c>
      <c r="BQ116">
        <v>-0.59848000000000001</v>
      </c>
      <c r="BR116">
        <v>2.3974069999999998</v>
      </c>
      <c r="BS116">
        <v>2.4652069999999999</v>
      </c>
      <c r="BT116">
        <v>1.5881559999999999</v>
      </c>
      <c r="BU116">
        <v>1.0016989999999999</v>
      </c>
      <c r="BV116">
        <v>0.17582200000000001</v>
      </c>
      <c r="BW116">
        <v>-1.555E-2</v>
      </c>
      <c r="BX116">
        <v>0.29770600000000003</v>
      </c>
      <c r="BY116">
        <v>0.52013299999999996</v>
      </c>
      <c r="BZ116">
        <v>135.60282900000001</v>
      </c>
      <c r="CA116">
        <v>3.6000000000000002E-4</v>
      </c>
      <c r="CB116">
        <v>2.3486280000000002</v>
      </c>
      <c r="CC116">
        <v>-5.1E-5</v>
      </c>
      <c r="CD116">
        <v>1</v>
      </c>
      <c r="CE116">
        <v>2.4109430000000001</v>
      </c>
      <c r="CF116">
        <v>-5.7000000000000003E-5</v>
      </c>
      <c r="CG116">
        <v>1</v>
      </c>
      <c r="CH116">
        <v>0.60051900000000002</v>
      </c>
      <c r="CI116">
        <v>0.60216099999999995</v>
      </c>
      <c r="CJ116">
        <v>0.107265</v>
      </c>
      <c r="CK116">
        <v>0</v>
      </c>
      <c r="CL116" t="s">
        <v>1477</v>
      </c>
      <c r="CM116" t="s">
        <v>201</v>
      </c>
      <c r="CN116" t="s">
        <v>202</v>
      </c>
      <c r="CO116" t="s">
        <v>203</v>
      </c>
      <c r="CP116" t="s">
        <v>204</v>
      </c>
      <c r="CQ116" t="s">
        <v>205</v>
      </c>
      <c r="CR116" t="s">
        <v>206</v>
      </c>
    </row>
    <row r="117" spans="1:96">
      <c r="A117">
        <v>33</v>
      </c>
      <c r="B117" s="3">
        <v>0.68262731481481476</v>
      </c>
      <c r="C117" s="1">
        <v>45176</v>
      </c>
      <c r="D117" t="s">
        <v>196</v>
      </c>
      <c r="E117" t="s">
        <v>197</v>
      </c>
      <c r="G117">
        <v>33</v>
      </c>
      <c r="J117">
        <v>2.3421000000000001E-2</v>
      </c>
      <c r="K117">
        <v>2.9194460000000002</v>
      </c>
      <c r="L117">
        <v>2.3234000000000001E-2</v>
      </c>
      <c r="M117">
        <v>0.90277700000000005</v>
      </c>
      <c r="N117">
        <v>2.017998</v>
      </c>
      <c r="O117">
        <v>1.9942219999999999</v>
      </c>
      <c r="P117">
        <v>5.5722659999999999</v>
      </c>
      <c r="Q117">
        <v>3.554268</v>
      </c>
      <c r="R117">
        <v>20.932589</v>
      </c>
      <c r="S117">
        <v>21.182161000000001</v>
      </c>
      <c r="T117">
        <v>58.489960000000004</v>
      </c>
      <c r="U117">
        <v>0.44178600000000001</v>
      </c>
      <c r="V117" t="s">
        <v>1478</v>
      </c>
      <c r="W117">
        <v>0</v>
      </c>
      <c r="X117">
        <v>0</v>
      </c>
      <c r="Y117">
        <v>0</v>
      </c>
      <c r="Z117">
        <v>80.787064000000001</v>
      </c>
      <c r="AA117">
        <v>238.05630500000001</v>
      </c>
      <c r="AB117">
        <v>0.66063899999999998</v>
      </c>
      <c r="AC117">
        <v>0.5</v>
      </c>
      <c r="AD117">
        <v>0.8</v>
      </c>
      <c r="AE117">
        <v>39.458565</v>
      </c>
      <c r="AF117">
        <v>33.549999999999997</v>
      </c>
      <c r="AG117">
        <v>33.15</v>
      </c>
      <c r="AH117">
        <v>36.14</v>
      </c>
      <c r="AI117">
        <v>34.76</v>
      </c>
      <c r="AJ117">
        <v>95.27</v>
      </c>
      <c r="AK117">
        <v>156.4</v>
      </c>
      <c r="AL117">
        <v>157.30000000000001</v>
      </c>
      <c r="AM117">
        <v>-0.6</v>
      </c>
      <c r="AN117">
        <v>149</v>
      </c>
      <c r="AO117">
        <v>3.847</v>
      </c>
      <c r="AP117" s="3">
        <v>0.68238425925925927</v>
      </c>
      <c r="AQ117" s="1">
        <v>45176</v>
      </c>
      <c r="AR117">
        <v>-0.41</v>
      </c>
      <c r="AS117">
        <v>1E-3</v>
      </c>
      <c r="AT117">
        <v>0</v>
      </c>
      <c r="AU117">
        <v>-9999</v>
      </c>
      <c r="AV117">
        <v>-0.71599999999999997</v>
      </c>
      <c r="AW117">
        <v>-2.17</v>
      </c>
      <c r="AX117">
        <v>-9999</v>
      </c>
      <c r="AY117">
        <v>1</v>
      </c>
      <c r="AZ117">
        <v>150</v>
      </c>
      <c r="BA117">
        <v>5.0000000000000001E-3</v>
      </c>
      <c r="BB117">
        <v>2</v>
      </c>
      <c r="BC117">
        <v>0</v>
      </c>
      <c r="BD117" t="s">
        <v>200</v>
      </c>
      <c r="BE117">
        <v>7000</v>
      </c>
      <c r="BF117">
        <v>500</v>
      </c>
      <c r="BG117">
        <v>5</v>
      </c>
      <c r="BH117">
        <v>2</v>
      </c>
      <c r="BI117">
        <v>300</v>
      </c>
      <c r="BJ117">
        <v>300</v>
      </c>
      <c r="BK117">
        <v>300</v>
      </c>
      <c r="BL117">
        <v>213.12510700000001</v>
      </c>
      <c r="BM117">
        <v>25</v>
      </c>
      <c r="BN117">
        <v>-16.746023000000001</v>
      </c>
      <c r="BO117">
        <v>211.473938</v>
      </c>
      <c r="BP117">
        <v>214.03735399999999</v>
      </c>
      <c r="BQ117">
        <v>-2.5634160000000001</v>
      </c>
      <c r="BR117">
        <v>2.3981590000000002</v>
      </c>
      <c r="BS117">
        <v>2.4652560000000001</v>
      </c>
      <c r="BT117">
        <v>1.588552</v>
      </c>
      <c r="BU117">
        <v>1.001776</v>
      </c>
      <c r="BV117">
        <v>0.175927</v>
      </c>
      <c r="BW117">
        <v>-1.8586999999999999E-2</v>
      </c>
      <c r="BX117">
        <v>0.29835200000000001</v>
      </c>
      <c r="BY117">
        <v>0.23969399999999999</v>
      </c>
      <c r="BZ117">
        <v>80.787064000000001</v>
      </c>
      <c r="CA117">
        <v>3.59E-4</v>
      </c>
      <c r="CB117">
        <v>2.3486280000000002</v>
      </c>
      <c r="CC117">
        <v>-5.1E-5</v>
      </c>
      <c r="CD117">
        <v>1</v>
      </c>
      <c r="CE117">
        <v>2.4109430000000001</v>
      </c>
      <c r="CF117">
        <v>-5.7000000000000003E-5</v>
      </c>
      <c r="CG117">
        <v>1</v>
      </c>
      <c r="CH117">
        <v>0.60051900000000002</v>
      </c>
      <c r="CI117">
        <v>0.60216099999999995</v>
      </c>
      <c r="CJ117">
        <v>0.107265</v>
      </c>
      <c r="CK117">
        <v>0</v>
      </c>
      <c r="CL117" t="s">
        <v>1478</v>
      </c>
      <c r="CM117" t="s">
        <v>201</v>
      </c>
      <c r="CN117" t="s">
        <v>202</v>
      </c>
      <c r="CO117" t="s">
        <v>203</v>
      </c>
      <c r="CP117" t="s">
        <v>204</v>
      </c>
      <c r="CQ117" t="s">
        <v>205</v>
      </c>
      <c r="CR117" t="s">
        <v>206</v>
      </c>
    </row>
    <row r="118" spans="1:96">
      <c r="A118">
        <v>34</v>
      </c>
      <c r="B118" s="3">
        <v>0.6827199074074074</v>
      </c>
      <c r="C118" s="1">
        <v>45176</v>
      </c>
      <c r="D118" t="s">
        <v>196</v>
      </c>
      <c r="E118" t="s">
        <v>197</v>
      </c>
      <c r="G118">
        <v>34</v>
      </c>
      <c r="J118">
        <v>5.2178000000000002E-2</v>
      </c>
      <c r="K118">
        <v>2.9195820000000001</v>
      </c>
      <c r="L118">
        <v>5.1262000000000002E-2</v>
      </c>
      <c r="M118">
        <v>1.8161579999999999</v>
      </c>
      <c r="N118">
        <v>2.0113569999999998</v>
      </c>
      <c r="O118">
        <v>1.963527</v>
      </c>
      <c r="P118">
        <v>5.2578209999999999</v>
      </c>
      <c r="Q118">
        <v>3.246464</v>
      </c>
      <c r="R118">
        <v>20.610780999999999</v>
      </c>
      <c r="S118">
        <v>21.112839000000001</v>
      </c>
      <c r="T118">
        <v>55.190372000000004</v>
      </c>
      <c r="U118">
        <v>0.44178600000000001</v>
      </c>
      <c r="V118" t="s">
        <v>1479</v>
      </c>
      <c r="W118">
        <v>0</v>
      </c>
      <c r="X118">
        <v>0</v>
      </c>
      <c r="Y118">
        <v>0</v>
      </c>
      <c r="Z118">
        <v>88.728904999999997</v>
      </c>
      <c r="AA118">
        <v>355.16485599999999</v>
      </c>
      <c r="AB118">
        <v>0.75017500000000004</v>
      </c>
      <c r="AC118">
        <v>0.5</v>
      </c>
      <c r="AD118">
        <v>0.8</v>
      </c>
      <c r="AE118">
        <v>293.77947999999998</v>
      </c>
      <c r="AF118">
        <v>33.47</v>
      </c>
      <c r="AG118">
        <v>32.67</v>
      </c>
      <c r="AH118">
        <v>36.119999999999997</v>
      </c>
      <c r="AI118">
        <v>33.71</v>
      </c>
      <c r="AJ118">
        <v>95.27</v>
      </c>
      <c r="AK118">
        <v>156.4</v>
      </c>
      <c r="AL118">
        <v>157.4</v>
      </c>
      <c r="AM118">
        <v>-0.6</v>
      </c>
      <c r="AN118">
        <v>979</v>
      </c>
      <c r="AO118">
        <v>3.847</v>
      </c>
      <c r="AP118" s="3">
        <v>0.68238425925925927</v>
      </c>
      <c r="AQ118" s="1">
        <v>45176</v>
      </c>
      <c r="AR118">
        <v>-0.41</v>
      </c>
      <c r="AS118">
        <v>0</v>
      </c>
      <c r="AT118">
        <v>1E-3</v>
      </c>
      <c r="AU118">
        <v>-9999</v>
      </c>
      <c r="AV118">
        <v>0.19800000000000001</v>
      </c>
      <c r="AW118">
        <v>0.7</v>
      </c>
      <c r="AX118">
        <v>-9999</v>
      </c>
      <c r="AY118">
        <v>1</v>
      </c>
      <c r="AZ118">
        <v>150</v>
      </c>
      <c r="BA118">
        <v>5.0000000000000001E-3</v>
      </c>
      <c r="BB118">
        <v>2</v>
      </c>
      <c r="BC118">
        <v>0</v>
      </c>
      <c r="BD118" t="s">
        <v>200</v>
      </c>
      <c r="BE118">
        <v>7000</v>
      </c>
      <c r="BF118">
        <v>500</v>
      </c>
      <c r="BG118">
        <v>5</v>
      </c>
      <c r="BH118">
        <v>2</v>
      </c>
      <c r="BI118">
        <v>300</v>
      </c>
      <c r="BJ118">
        <v>300</v>
      </c>
      <c r="BK118">
        <v>300</v>
      </c>
      <c r="BL118">
        <v>341.47955300000001</v>
      </c>
      <c r="BM118">
        <v>25</v>
      </c>
      <c r="BN118">
        <v>-9.3170230000000007</v>
      </c>
      <c r="BO118">
        <v>342.96762100000001</v>
      </c>
      <c r="BP118">
        <v>341.80139200000002</v>
      </c>
      <c r="BQ118">
        <v>1.166229</v>
      </c>
      <c r="BR118">
        <v>2.397529</v>
      </c>
      <c r="BS118">
        <v>2.465147</v>
      </c>
      <c r="BT118">
        <v>1.5886830000000001</v>
      </c>
      <c r="BU118">
        <v>1.0019990000000001</v>
      </c>
      <c r="BV118">
        <v>0.17604300000000001</v>
      </c>
      <c r="BW118">
        <v>-3.1938000000000001E-2</v>
      </c>
      <c r="BX118">
        <v>0.298877</v>
      </c>
      <c r="BY118">
        <v>0.97555199999999997</v>
      </c>
      <c r="BZ118">
        <v>88.728904999999997</v>
      </c>
      <c r="CA118">
        <v>3.6499999999999998E-4</v>
      </c>
      <c r="CB118">
        <v>2.3486280000000002</v>
      </c>
      <c r="CC118">
        <v>-5.1E-5</v>
      </c>
      <c r="CD118">
        <v>1</v>
      </c>
      <c r="CE118">
        <v>2.4109430000000001</v>
      </c>
      <c r="CF118">
        <v>-5.7000000000000003E-5</v>
      </c>
      <c r="CG118">
        <v>1</v>
      </c>
      <c r="CH118">
        <v>0.60051900000000002</v>
      </c>
      <c r="CI118">
        <v>0.60216099999999995</v>
      </c>
      <c r="CJ118">
        <v>0.107265</v>
      </c>
      <c r="CK118">
        <v>0</v>
      </c>
      <c r="CL118" t="s">
        <v>1479</v>
      </c>
      <c r="CM118" t="s">
        <v>201</v>
      </c>
      <c r="CN118" t="s">
        <v>202</v>
      </c>
      <c r="CO118" t="s">
        <v>203</v>
      </c>
      <c r="CP118" t="s">
        <v>204</v>
      </c>
      <c r="CQ118" t="s">
        <v>205</v>
      </c>
      <c r="CR118" t="s">
        <v>206</v>
      </c>
    </row>
    <row r="119" spans="1:96">
      <c r="A119">
        <v>35</v>
      </c>
      <c r="B119" s="3">
        <v>0.68283564814814823</v>
      </c>
      <c r="C119" s="1">
        <v>45176</v>
      </c>
      <c r="D119" t="s">
        <v>196</v>
      </c>
      <c r="E119" t="s">
        <v>197</v>
      </c>
      <c r="G119">
        <v>35</v>
      </c>
      <c r="J119">
        <v>6.4420000000000005E-2</v>
      </c>
      <c r="K119">
        <v>2.9196209999999998</v>
      </c>
      <c r="L119">
        <v>6.3029000000000002E-2</v>
      </c>
      <c r="M119">
        <v>2.4897320000000001</v>
      </c>
      <c r="N119">
        <v>2.0377190000000001</v>
      </c>
      <c r="O119">
        <v>1.97217</v>
      </c>
      <c r="P119">
        <v>5.649165</v>
      </c>
      <c r="Q119">
        <v>3.6114449999999998</v>
      </c>
      <c r="R119">
        <v>20.700897000000001</v>
      </c>
      <c r="S119">
        <v>21.388943000000001</v>
      </c>
      <c r="T119">
        <v>59.296520000000001</v>
      </c>
      <c r="U119">
        <v>0.44178600000000001</v>
      </c>
      <c r="V119" t="s">
        <v>1480</v>
      </c>
      <c r="W119">
        <v>0</v>
      </c>
      <c r="X119">
        <v>0</v>
      </c>
      <c r="Y119">
        <v>0</v>
      </c>
      <c r="Z119">
        <v>76.790931999999998</v>
      </c>
      <c r="AA119">
        <v>222.352585</v>
      </c>
      <c r="AB119">
        <v>0.65464299999999997</v>
      </c>
      <c r="AC119">
        <v>0.5</v>
      </c>
      <c r="AD119">
        <v>0.8</v>
      </c>
      <c r="AE119">
        <v>43.429634</v>
      </c>
      <c r="AF119">
        <v>33.950000000000003</v>
      </c>
      <c r="AG119">
        <v>32.86</v>
      </c>
      <c r="AH119">
        <v>36.1</v>
      </c>
      <c r="AI119">
        <v>35</v>
      </c>
      <c r="AJ119">
        <v>95.27</v>
      </c>
      <c r="AK119">
        <v>156.4</v>
      </c>
      <c r="AL119">
        <v>157.6</v>
      </c>
      <c r="AM119">
        <v>-0.7</v>
      </c>
      <c r="AN119">
        <v>166</v>
      </c>
      <c r="AO119">
        <v>3.8330000000000002</v>
      </c>
      <c r="AP119" s="3">
        <v>0.68238425925925927</v>
      </c>
      <c r="AQ119" s="1">
        <v>45176</v>
      </c>
      <c r="AR119">
        <v>-0.41</v>
      </c>
      <c r="AS119">
        <v>1E-3</v>
      </c>
      <c r="AT119">
        <v>2E-3</v>
      </c>
      <c r="AU119">
        <v>-9999</v>
      </c>
      <c r="AV119">
        <v>0.82699999999999996</v>
      </c>
      <c r="AW119">
        <v>1.508</v>
      </c>
      <c r="AX119">
        <v>-9999</v>
      </c>
      <c r="AY119">
        <v>1</v>
      </c>
      <c r="AZ119">
        <v>150</v>
      </c>
      <c r="BA119">
        <v>5.0000000000000001E-3</v>
      </c>
      <c r="BB119">
        <v>2</v>
      </c>
      <c r="BC119">
        <v>0</v>
      </c>
      <c r="BD119" t="s">
        <v>200</v>
      </c>
      <c r="BE119">
        <v>7000</v>
      </c>
      <c r="BF119">
        <v>500</v>
      </c>
      <c r="BG119">
        <v>5</v>
      </c>
      <c r="BH119">
        <v>2</v>
      </c>
      <c r="BI119">
        <v>300</v>
      </c>
      <c r="BJ119">
        <v>300</v>
      </c>
      <c r="BK119">
        <v>300</v>
      </c>
      <c r="BL119">
        <v>205.961105</v>
      </c>
      <c r="BM119">
        <v>25</v>
      </c>
      <c r="BN119">
        <v>-11.275643000000001</v>
      </c>
      <c r="BO119">
        <v>207.29612700000001</v>
      </c>
      <c r="BP119">
        <v>206.17984000000001</v>
      </c>
      <c r="BQ119">
        <v>1.116287</v>
      </c>
      <c r="BR119">
        <v>2.3977759999999999</v>
      </c>
      <c r="BS119">
        <v>2.4658289999999998</v>
      </c>
      <c r="BT119">
        <v>1.588721</v>
      </c>
      <c r="BU119">
        <v>1.0025679999999999</v>
      </c>
      <c r="BV119">
        <v>0.17619599999999999</v>
      </c>
      <c r="BW119">
        <v>-1.4822E-2</v>
      </c>
      <c r="BX119">
        <v>0.29947499999999999</v>
      </c>
      <c r="BY119">
        <v>0.25435600000000003</v>
      </c>
      <c r="BZ119">
        <v>76.790931999999998</v>
      </c>
      <c r="CA119">
        <v>3.59E-4</v>
      </c>
      <c r="CB119">
        <v>2.3486280000000002</v>
      </c>
      <c r="CC119">
        <v>-5.1E-5</v>
      </c>
      <c r="CD119">
        <v>1</v>
      </c>
      <c r="CE119">
        <v>2.4109430000000001</v>
      </c>
      <c r="CF119">
        <v>-5.7000000000000003E-5</v>
      </c>
      <c r="CG119">
        <v>1</v>
      </c>
      <c r="CH119">
        <v>0.60051900000000002</v>
      </c>
      <c r="CI119">
        <v>0.60216099999999995</v>
      </c>
      <c r="CJ119">
        <v>0.107265</v>
      </c>
      <c r="CK119">
        <v>0</v>
      </c>
      <c r="CL119" t="s">
        <v>1480</v>
      </c>
      <c r="CM119" t="s">
        <v>201</v>
      </c>
      <c r="CN119" t="s">
        <v>202</v>
      </c>
      <c r="CO119" t="s">
        <v>203</v>
      </c>
      <c r="CP119" t="s">
        <v>204</v>
      </c>
      <c r="CQ119" t="s">
        <v>205</v>
      </c>
      <c r="CR119" t="s">
        <v>206</v>
      </c>
    </row>
    <row r="120" spans="1:96">
      <c r="A120">
        <v>36</v>
      </c>
      <c r="B120" s="3">
        <v>0.69234953703703705</v>
      </c>
      <c r="C120" s="1">
        <v>45176</v>
      </c>
      <c r="D120" t="s">
        <v>196</v>
      </c>
      <c r="E120" t="s">
        <v>197</v>
      </c>
      <c r="G120">
        <v>36</v>
      </c>
      <c r="J120">
        <v>8.9730000000000004E-2</v>
      </c>
      <c r="K120">
        <v>2.9196029999999999</v>
      </c>
      <c r="L120">
        <v>8.7054000000000006E-2</v>
      </c>
      <c r="M120">
        <v>3.3150870000000001</v>
      </c>
      <c r="N120">
        <v>2.0118149999999999</v>
      </c>
      <c r="O120">
        <v>1.924644</v>
      </c>
      <c r="P120">
        <v>5.4914069999999997</v>
      </c>
      <c r="Q120">
        <v>3.4795919999999998</v>
      </c>
      <c r="R120">
        <v>20.232578</v>
      </c>
      <c r="S120">
        <v>21.148951</v>
      </c>
      <c r="T120">
        <v>57.727718000000003</v>
      </c>
      <c r="U120">
        <v>0.44178600000000001</v>
      </c>
      <c r="V120" t="s">
        <v>1481</v>
      </c>
      <c r="W120">
        <v>0</v>
      </c>
      <c r="X120">
        <v>0</v>
      </c>
      <c r="Y120">
        <v>0</v>
      </c>
      <c r="Z120">
        <v>83.684921000000003</v>
      </c>
      <c r="AA120">
        <v>203.00917100000001</v>
      </c>
      <c r="AB120">
        <v>0.58777800000000002</v>
      </c>
      <c r="AC120">
        <v>0.5</v>
      </c>
      <c r="AD120">
        <v>0.8</v>
      </c>
      <c r="AE120">
        <v>297.65469400000001</v>
      </c>
      <c r="AF120">
        <v>34.979999999999997</v>
      </c>
      <c r="AG120">
        <v>33.46</v>
      </c>
      <c r="AH120">
        <v>35.33</v>
      </c>
      <c r="AI120">
        <v>34.49</v>
      </c>
      <c r="AJ120">
        <v>95.13</v>
      </c>
      <c r="AK120">
        <v>156.4</v>
      </c>
      <c r="AL120">
        <v>157.6</v>
      </c>
      <c r="AM120">
        <v>-0.8</v>
      </c>
      <c r="AN120">
        <v>1266</v>
      </c>
      <c r="AO120">
        <v>3.831</v>
      </c>
      <c r="AP120" s="3">
        <v>0.69217592592592592</v>
      </c>
      <c r="AQ120" s="1">
        <v>45176</v>
      </c>
      <c r="AR120">
        <v>-0.5</v>
      </c>
      <c r="AS120">
        <v>1E-3</v>
      </c>
      <c r="AT120">
        <v>1E-3</v>
      </c>
      <c r="AU120">
        <v>-9999</v>
      </c>
      <c r="AV120">
        <v>2.7029999999999998</v>
      </c>
      <c r="AW120">
        <v>4.0640000000000001</v>
      </c>
      <c r="AX120">
        <v>-9999</v>
      </c>
      <c r="AY120">
        <v>1</v>
      </c>
      <c r="AZ120">
        <v>150</v>
      </c>
      <c r="BA120">
        <v>5.0000000000000001E-3</v>
      </c>
      <c r="BB120">
        <v>2</v>
      </c>
      <c r="BC120">
        <v>0</v>
      </c>
      <c r="BD120" t="s">
        <v>200</v>
      </c>
      <c r="BE120">
        <v>7000</v>
      </c>
      <c r="BF120">
        <v>500</v>
      </c>
      <c r="BG120">
        <v>5</v>
      </c>
      <c r="BH120">
        <v>2</v>
      </c>
      <c r="BI120">
        <v>300</v>
      </c>
      <c r="BJ120">
        <v>300</v>
      </c>
      <c r="BK120">
        <v>300</v>
      </c>
      <c r="BL120">
        <v>192.23391699999999</v>
      </c>
      <c r="BM120">
        <v>25</v>
      </c>
      <c r="BN120">
        <v>-7.2407399999999997</v>
      </c>
      <c r="BO120">
        <v>194.32283000000001</v>
      </c>
      <c r="BP120">
        <v>192.623718</v>
      </c>
      <c r="BQ120">
        <v>1.699112</v>
      </c>
      <c r="BR120">
        <v>2.3987099999999999</v>
      </c>
      <c r="BS120">
        <v>2.4675500000000001</v>
      </c>
      <c r="BT120">
        <v>1.5887039999999999</v>
      </c>
      <c r="BU120">
        <v>1.0027470000000001</v>
      </c>
      <c r="BV120">
        <v>0.18157300000000001</v>
      </c>
      <c r="BW120">
        <v>-1.1254999999999999E-2</v>
      </c>
      <c r="BX120">
        <v>0.35506199999999999</v>
      </c>
      <c r="BY120">
        <v>1.23007</v>
      </c>
      <c r="BZ120">
        <v>83.684921000000003</v>
      </c>
      <c r="CA120">
        <v>3.5399999999999999E-4</v>
      </c>
      <c r="CB120">
        <v>2.3486280000000002</v>
      </c>
      <c r="CC120">
        <v>-5.1E-5</v>
      </c>
      <c r="CD120">
        <v>1</v>
      </c>
      <c r="CE120">
        <v>2.4109430000000001</v>
      </c>
      <c r="CF120">
        <v>-5.7000000000000003E-5</v>
      </c>
      <c r="CG120">
        <v>1</v>
      </c>
      <c r="CH120">
        <v>0.60051900000000002</v>
      </c>
      <c r="CI120">
        <v>0.60216099999999995</v>
      </c>
      <c r="CJ120">
        <v>0.107265</v>
      </c>
      <c r="CK120">
        <v>0</v>
      </c>
      <c r="CL120" t="s">
        <v>1481</v>
      </c>
      <c r="CM120" t="s">
        <v>201</v>
      </c>
      <c r="CN120" t="s">
        <v>202</v>
      </c>
      <c r="CO120" t="s">
        <v>203</v>
      </c>
      <c r="CP120" t="s">
        <v>204</v>
      </c>
      <c r="CQ120" t="s">
        <v>205</v>
      </c>
      <c r="CR120" t="s">
        <v>206</v>
      </c>
    </row>
    <row r="121" spans="1:96">
      <c r="A121">
        <v>37</v>
      </c>
      <c r="B121" s="3">
        <v>0.69247685185185182</v>
      </c>
      <c r="C121" s="1">
        <v>45176</v>
      </c>
      <c r="D121" t="s">
        <v>196</v>
      </c>
      <c r="E121" t="s">
        <v>197</v>
      </c>
      <c r="G121">
        <v>37</v>
      </c>
      <c r="J121">
        <v>9.0973999999999999E-2</v>
      </c>
      <c r="K121">
        <v>2.919092</v>
      </c>
      <c r="L121">
        <v>8.8223999999999997E-2</v>
      </c>
      <c r="M121">
        <v>3.6970459999999998</v>
      </c>
      <c r="N121">
        <v>1.99136</v>
      </c>
      <c r="O121">
        <v>1.894088</v>
      </c>
      <c r="P121">
        <v>5.8139570000000003</v>
      </c>
      <c r="Q121">
        <v>3.822597</v>
      </c>
      <c r="R121">
        <v>19.912040999999999</v>
      </c>
      <c r="S121">
        <v>20.934629000000001</v>
      </c>
      <c r="T121">
        <v>61.120570999999998</v>
      </c>
      <c r="U121">
        <v>0.44178600000000001</v>
      </c>
      <c r="V121" t="s">
        <v>1482</v>
      </c>
      <c r="W121">
        <v>0</v>
      </c>
      <c r="X121">
        <v>0</v>
      </c>
      <c r="Y121">
        <v>0</v>
      </c>
      <c r="Z121">
        <v>92.567322000000004</v>
      </c>
      <c r="AA121">
        <v>150.84410099999999</v>
      </c>
      <c r="AB121">
        <v>0.38633800000000001</v>
      </c>
      <c r="AC121">
        <v>0.5</v>
      </c>
      <c r="AD121">
        <v>0.8</v>
      </c>
      <c r="AE121">
        <v>226.275879</v>
      </c>
      <c r="AF121">
        <v>34.619999999999997</v>
      </c>
      <c r="AG121">
        <v>32.93</v>
      </c>
      <c r="AH121">
        <v>35.33</v>
      </c>
      <c r="AI121">
        <v>35.520000000000003</v>
      </c>
      <c r="AJ121">
        <v>95.12</v>
      </c>
      <c r="AK121">
        <v>156.4</v>
      </c>
      <c r="AL121">
        <v>157.69999999999999</v>
      </c>
      <c r="AM121">
        <v>-0.9</v>
      </c>
      <c r="AN121">
        <v>1464</v>
      </c>
      <c r="AO121">
        <v>3.831</v>
      </c>
      <c r="AP121" s="3">
        <v>0.69217592592592592</v>
      </c>
      <c r="AQ121" s="1">
        <v>45176</v>
      </c>
      <c r="AR121">
        <v>-0.5</v>
      </c>
      <c r="AS121">
        <v>1E-3</v>
      </c>
      <c r="AT121">
        <v>5.0000000000000001E-3</v>
      </c>
      <c r="AU121">
        <v>-9999</v>
      </c>
      <c r="AV121">
        <v>13.231</v>
      </c>
      <c r="AW121">
        <v>-1.3540000000000001</v>
      </c>
      <c r="AX121">
        <v>-9999</v>
      </c>
      <c r="AY121">
        <v>1</v>
      </c>
      <c r="AZ121">
        <v>150</v>
      </c>
      <c r="BA121">
        <v>5.0000000000000001E-3</v>
      </c>
      <c r="BB121">
        <v>2</v>
      </c>
      <c r="BC121">
        <v>0</v>
      </c>
      <c r="BD121" t="s">
        <v>200</v>
      </c>
      <c r="BE121">
        <v>7000</v>
      </c>
      <c r="BF121">
        <v>500</v>
      </c>
      <c r="BG121">
        <v>5</v>
      </c>
      <c r="BH121">
        <v>2</v>
      </c>
      <c r="BI121">
        <v>300</v>
      </c>
      <c r="BJ121">
        <v>300</v>
      </c>
      <c r="BK121">
        <v>300</v>
      </c>
      <c r="BL121">
        <v>140.03062399999999</v>
      </c>
      <c r="BM121">
        <v>25</v>
      </c>
      <c r="BN121">
        <v>-7.5882959999999997</v>
      </c>
      <c r="BO121">
        <v>138.28324900000001</v>
      </c>
      <c r="BP121">
        <v>139.96014400000001</v>
      </c>
      <c r="BQ121">
        <v>-1.676895</v>
      </c>
      <c r="BR121">
        <v>2.3980039999999998</v>
      </c>
      <c r="BS121">
        <v>2.4670450000000002</v>
      </c>
      <c r="BT121">
        <v>1.588209</v>
      </c>
      <c r="BU121">
        <v>1.0029939999999999</v>
      </c>
      <c r="BV121">
        <v>0.181559</v>
      </c>
      <c r="BW121">
        <v>2.2490000000000001E-3</v>
      </c>
      <c r="BX121">
        <v>0.35573199999999999</v>
      </c>
      <c r="BY121">
        <v>1.4058660000000001</v>
      </c>
      <c r="BZ121">
        <v>92.567322000000004</v>
      </c>
      <c r="CA121">
        <v>3.5199999999999999E-4</v>
      </c>
      <c r="CB121">
        <v>2.3486280000000002</v>
      </c>
      <c r="CC121">
        <v>-5.1E-5</v>
      </c>
      <c r="CD121">
        <v>1</v>
      </c>
      <c r="CE121">
        <v>2.4109430000000001</v>
      </c>
      <c r="CF121">
        <v>-5.7000000000000003E-5</v>
      </c>
      <c r="CG121">
        <v>1</v>
      </c>
      <c r="CH121">
        <v>0.60051900000000002</v>
      </c>
      <c r="CI121">
        <v>0.60216099999999995</v>
      </c>
      <c r="CJ121">
        <v>0.107265</v>
      </c>
      <c r="CK121">
        <v>0</v>
      </c>
      <c r="CL121" t="s">
        <v>1482</v>
      </c>
      <c r="CM121" t="s">
        <v>201</v>
      </c>
      <c r="CN121" t="s">
        <v>202</v>
      </c>
      <c r="CO121" t="s">
        <v>203</v>
      </c>
      <c r="CP121" t="s">
        <v>204</v>
      </c>
      <c r="CQ121" t="s">
        <v>205</v>
      </c>
      <c r="CR121" t="s">
        <v>206</v>
      </c>
    </row>
    <row r="122" spans="1:96">
      <c r="A122">
        <v>38</v>
      </c>
      <c r="B122" s="3">
        <v>0.69260416666666658</v>
      </c>
      <c r="C122" s="1">
        <v>45176</v>
      </c>
      <c r="D122" t="s">
        <v>196</v>
      </c>
      <c r="E122" t="s">
        <v>197</v>
      </c>
      <c r="G122">
        <v>38</v>
      </c>
      <c r="J122">
        <v>7.8450000000000006E-2</v>
      </c>
      <c r="K122">
        <v>2.919006</v>
      </c>
      <c r="L122">
        <v>7.6397000000000007E-2</v>
      </c>
      <c r="M122">
        <v>3.90036</v>
      </c>
      <c r="N122">
        <v>2.0734020000000002</v>
      </c>
      <c r="O122">
        <v>1.9708669999999999</v>
      </c>
      <c r="P122">
        <v>6.7055670000000003</v>
      </c>
      <c r="Q122">
        <v>4.6321649999999996</v>
      </c>
      <c r="R122">
        <v>20.719633000000002</v>
      </c>
      <c r="S122">
        <v>21.797581000000001</v>
      </c>
      <c r="T122">
        <v>70.495316000000003</v>
      </c>
      <c r="U122">
        <v>0.44178600000000001</v>
      </c>
      <c r="V122" t="s">
        <v>1483</v>
      </c>
      <c r="W122">
        <v>0</v>
      </c>
      <c r="X122">
        <v>0</v>
      </c>
      <c r="Y122">
        <v>0</v>
      </c>
      <c r="Z122">
        <v>77.233315000000005</v>
      </c>
      <c r="AA122">
        <v>104.01313</v>
      </c>
      <c r="AB122">
        <v>0.25746599999999997</v>
      </c>
      <c r="AC122">
        <v>0.5</v>
      </c>
      <c r="AD122">
        <v>0.8</v>
      </c>
      <c r="AE122">
        <v>184.39016699999999</v>
      </c>
      <c r="AF122">
        <v>36.049999999999997</v>
      </c>
      <c r="AG122">
        <v>34.270000000000003</v>
      </c>
      <c r="AH122">
        <v>35.33</v>
      </c>
      <c r="AI122">
        <v>38.130000000000003</v>
      </c>
      <c r="AJ122">
        <v>95.12</v>
      </c>
      <c r="AK122">
        <v>156.4</v>
      </c>
      <c r="AL122">
        <v>157.80000000000001</v>
      </c>
      <c r="AM122">
        <v>-0.9</v>
      </c>
      <c r="AN122">
        <v>1790</v>
      </c>
      <c r="AO122">
        <v>3.831</v>
      </c>
      <c r="AP122" s="3">
        <v>0.69217592592592592</v>
      </c>
      <c r="AQ122" s="1">
        <v>45176</v>
      </c>
      <c r="AR122">
        <v>-0.5</v>
      </c>
      <c r="AS122">
        <v>1E-3</v>
      </c>
      <c r="AT122">
        <v>2E-3</v>
      </c>
      <c r="AU122">
        <v>-9999</v>
      </c>
      <c r="AV122">
        <v>0.86</v>
      </c>
      <c r="AW122">
        <v>2.048</v>
      </c>
      <c r="AX122">
        <v>-9999</v>
      </c>
      <c r="AY122">
        <v>1</v>
      </c>
      <c r="AZ122">
        <v>150</v>
      </c>
      <c r="BA122">
        <v>5.0000000000000001E-3</v>
      </c>
      <c r="BB122">
        <v>2</v>
      </c>
      <c r="BC122">
        <v>0</v>
      </c>
      <c r="BD122" t="s">
        <v>200</v>
      </c>
      <c r="BE122">
        <v>7000</v>
      </c>
      <c r="BF122">
        <v>500</v>
      </c>
      <c r="BG122">
        <v>5</v>
      </c>
      <c r="BH122">
        <v>2</v>
      </c>
      <c r="BI122">
        <v>300</v>
      </c>
      <c r="BJ122">
        <v>300</v>
      </c>
      <c r="BK122">
        <v>300</v>
      </c>
      <c r="BL122">
        <v>99.086166000000006</v>
      </c>
      <c r="BM122">
        <v>25</v>
      </c>
      <c r="BN122">
        <v>-3.4493079999999998</v>
      </c>
      <c r="BO122">
        <v>98.407387</v>
      </c>
      <c r="BP122">
        <v>99.065764999999999</v>
      </c>
      <c r="BQ122">
        <v>-0.65837900000000005</v>
      </c>
      <c r="BR122">
        <v>2.3997649999999999</v>
      </c>
      <c r="BS122">
        <v>2.469049</v>
      </c>
      <c r="BT122">
        <v>1.5881259999999999</v>
      </c>
      <c r="BU122">
        <v>1.0031909999999999</v>
      </c>
      <c r="BV122">
        <v>0.18157000000000001</v>
      </c>
      <c r="BW122">
        <v>3.7227000000000003E-2</v>
      </c>
      <c r="BX122">
        <v>0.35655199999999998</v>
      </c>
      <c r="BY122">
        <v>1.695165</v>
      </c>
      <c r="BZ122">
        <v>77.233315000000005</v>
      </c>
      <c r="CA122">
        <v>3.5300000000000002E-4</v>
      </c>
      <c r="CB122">
        <v>2.3486280000000002</v>
      </c>
      <c r="CC122">
        <v>-5.1E-5</v>
      </c>
      <c r="CD122">
        <v>1</v>
      </c>
      <c r="CE122">
        <v>2.4109430000000001</v>
      </c>
      <c r="CF122">
        <v>-5.7000000000000003E-5</v>
      </c>
      <c r="CG122">
        <v>1</v>
      </c>
      <c r="CH122">
        <v>0.60051900000000002</v>
      </c>
      <c r="CI122">
        <v>0.60216099999999995</v>
      </c>
      <c r="CJ122">
        <v>0.107265</v>
      </c>
      <c r="CK122">
        <v>0</v>
      </c>
      <c r="CL122" t="s">
        <v>1483</v>
      </c>
      <c r="CM122" t="s">
        <v>201</v>
      </c>
      <c r="CN122" t="s">
        <v>202</v>
      </c>
      <c r="CO122" t="s">
        <v>203</v>
      </c>
      <c r="CP122" t="s">
        <v>204</v>
      </c>
      <c r="CQ122" t="s">
        <v>205</v>
      </c>
      <c r="CR122" t="s">
        <v>206</v>
      </c>
    </row>
    <row r="123" spans="1:96">
      <c r="A123">
        <v>39</v>
      </c>
      <c r="B123" s="3">
        <v>0.69273148148148145</v>
      </c>
      <c r="C123" s="1">
        <v>45176</v>
      </c>
      <c r="D123" t="s">
        <v>196</v>
      </c>
      <c r="E123" t="s">
        <v>197</v>
      </c>
      <c r="G123">
        <v>39</v>
      </c>
      <c r="J123">
        <v>3.6616999999999997E-2</v>
      </c>
      <c r="K123">
        <v>2.919521</v>
      </c>
      <c r="L123">
        <v>3.6164000000000002E-2</v>
      </c>
      <c r="M123">
        <v>1.803539</v>
      </c>
      <c r="N123">
        <v>2.0617200000000002</v>
      </c>
      <c r="O123">
        <v>2.0143239999999998</v>
      </c>
      <c r="P123">
        <v>6.5894399999999997</v>
      </c>
      <c r="Q123">
        <v>4.5277190000000003</v>
      </c>
      <c r="R123">
        <v>21.178056999999999</v>
      </c>
      <c r="S123">
        <v>21.676362999999998</v>
      </c>
      <c r="T123">
        <v>69.279572000000002</v>
      </c>
      <c r="U123">
        <v>0.44178600000000001</v>
      </c>
      <c r="V123" t="s">
        <v>1484</v>
      </c>
      <c r="W123">
        <v>0</v>
      </c>
      <c r="X123">
        <v>0</v>
      </c>
      <c r="Y123">
        <v>0</v>
      </c>
      <c r="Z123">
        <v>79.282882999999998</v>
      </c>
      <c r="AA123">
        <v>118.89399</v>
      </c>
      <c r="AB123">
        <v>0.33316299999999999</v>
      </c>
      <c r="AC123">
        <v>0.5</v>
      </c>
      <c r="AD123">
        <v>0.8</v>
      </c>
      <c r="AE123">
        <v>202.60466</v>
      </c>
      <c r="AF123">
        <v>35.840000000000003</v>
      </c>
      <c r="AG123">
        <v>35.020000000000003</v>
      </c>
      <c r="AH123">
        <v>35.33</v>
      </c>
      <c r="AI123">
        <v>37.81</v>
      </c>
      <c r="AJ123">
        <v>95.11</v>
      </c>
      <c r="AK123">
        <v>156.4</v>
      </c>
      <c r="AL123">
        <v>157.6</v>
      </c>
      <c r="AM123">
        <v>-0.7</v>
      </c>
      <c r="AN123">
        <v>1520</v>
      </c>
      <c r="AO123">
        <v>3.831</v>
      </c>
      <c r="AP123" s="3">
        <v>0.69217592592592592</v>
      </c>
      <c r="AQ123" s="1">
        <v>45176</v>
      </c>
      <c r="AR123">
        <v>-0.5</v>
      </c>
      <c r="AS123">
        <v>-1E-3</v>
      </c>
      <c r="AT123">
        <v>0</v>
      </c>
      <c r="AU123">
        <v>-9999</v>
      </c>
      <c r="AV123">
        <v>-1.3540000000000001</v>
      </c>
      <c r="AW123">
        <v>-0.63300000000000001</v>
      </c>
      <c r="AX123">
        <v>-9999</v>
      </c>
      <c r="AY123">
        <v>1</v>
      </c>
      <c r="AZ123">
        <v>150</v>
      </c>
      <c r="BA123">
        <v>5.0000000000000001E-3</v>
      </c>
      <c r="BB123">
        <v>2</v>
      </c>
      <c r="BC123">
        <v>0</v>
      </c>
      <c r="BD123" t="s">
        <v>200</v>
      </c>
      <c r="BE123">
        <v>7000</v>
      </c>
      <c r="BF123">
        <v>500</v>
      </c>
      <c r="BG123">
        <v>5</v>
      </c>
      <c r="BH123">
        <v>2</v>
      </c>
      <c r="BI123">
        <v>300</v>
      </c>
      <c r="BJ123">
        <v>300</v>
      </c>
      <c r="BK123">
        <v>300</v>
      </c>
      <c r="BL123">
        <v>107.416389</v>
      </c>
      <c r="BM123">
        <v>25</v>
      </c>
      <c r="BN123">
        <v>-8.4472280000000008</v>
      </c>
      <c r="BO123">
        <v>104.20489499999999</v>
      </c>
      <c r="BP123">
        <v>106.778069</v>
      </c>
      <c r="BQ123">
        <v>-2.5731739999999999</v>
      </c>
      <c r="BR123">
        <v>2.4007459999999998</v>
      </c>
      <c r="BS123">
        <v>2.468756</v>
      </c>
      <c r="BT123">
        <v>1.588624</v>
      </c>
      <c r="BU123">
        <v>1.002502</v>
      </c>
      <c r="BV123">
        <v>0.18154799999999999</v>
      </c>
      <c r="BW123">
        <v>3.2813000000000002E-2</v>
      </c>
      <c r="BX123">
        <v>0.35733700000000002</v>
      </c>
      <c r="BY123">
        <v>1.4555979999999999</v>
      </c>
      <c r="BZ123">
        <v>79.282882999999998</v>
      </c>
      <c r="CA123">
        <v>3.4900000000000003E-4</v>
      </c>
      <c r="CB123">
        <v>2.3486280000000002</v>
      </c>
      <c r="CC123">
        <v>-5.1E-5</v>
      </c>
      <c r="CD123">
        <v>1</v>
      </c>
      <c r="CE123">
        <v>2.4109430000000001</v>
      </c>
      <c r="CF123">
        <v>-5.7000000000000003E-5</v>
      </c>
      <c r="CG123">
        <v>1</v>
      </c>
      <c r="CH123">
        <v>0.60051900000000002</v>
      </c>
      <c r="CI123">
        <v>0.60216099999999995</v>
      </c>
      <c r="CJ123">
        <v>0.107265</v>
      </c>
      <c r="CK123">
        <v>0</v>
      </c>
      <c r="CL123" t="s">
        <v>1484</v>
      </c>
      <c r="CM123" t="s">
        <v>201</v>
      </c>
      <c r="CN123" t="s">
        <v>202</v>
      </c>
      <c r="CO123" t="s">
        <v>203</v>
      </c>
      <c r="CP123" t="s">
        <v>204</v>
      </c>
      <c r="CQ123" t="s">
        <v>205</v>
      </c>
      <c r="CR123" t="s">
        <v>206</v>
      </c>
    </row>
    <row r="124" spans="1:96">
      <c r="A124">
        <v>40</v>
      </c>
      <c r="B124" s="3">
        <v>0.6928819444444444</v>
      </c>
      <c r="C124" s="1">
        <v>45176</v>
      </c>
      <c r="D124" t="s">
        <v>196</v>
      </c>
      <c r="E124" t="s">
        <v>197</v>
      </c>
      <c r="G124">
        <v>40</v>
      </c>
      <c r="J124">
        <v>8.4541000000000005E-2</v>
      </c>
      <c r="K124">
        <v>2.9206460000000001</v>
      </c>
      <c r="L124">
        <v>8.2163E-2</v>
      </c>
      <c r="M124">
        <v>3.1251950000000002</v>
      </c>
      <c r="N124">
        <v>2.068438</v>
      </c>
      <c r="O124">
        <v>1.986388</v>
      </c>
      <c r="P124">
        <v>5.5415429999999999</v>
      </c>
      <c r="Q124">
        <v>3.473106</v>
      </c>
      <c r="R124">
        <v>20.884117</v>
      </c>
      <c r="S124">
        <v>21.746758</v>
      </c>
      <c r="T124">
        <v>58.261657999999997</v>
      </c>
      <c r="U124">
        <v>0.44178600000000001</v>
      </c>
      <c r="V124" t="s">
        <v>1485</v>
      </c>
      <c r="W124">
        <v>0</v>
      </c>
      <c r="X124">
        <v>0</v>
      </c>
      <c r="Y124">
        <v>0</v>
      </c>
      <c r="Z124">
        <v>79.104423999999995</v>
      </c>
      <c r="AA124">
        <v>220.426804</v>
      </c>
      <c r="AB124">
        <v>0.64113100000000001</v>
      </c>
      <c r="AC124">
        <v>0.5</v>
      </c>
      <c r="AD124">
        <v>0.8</v>
      </c>
      <c r="AE124">
        <v>151.042587</v>
      </c>
      <c r="AF124">
        <v>35.97</v>
      </c>
      <c r="AG124">
        <v>34.54</v>
      </c>
      <c r="AH124">
        <v>35.32</v>
      </c>
      <c r="AI124">
        <v>34.659999999999997</v>
      </c>
      <c r="AJ124">
        <v>95.11</v>
      </c>
      <c r="AK124">
        <v>156.6</v>
      </c>
      <c r="AL124">
        <v>157.5</v>
      </c>
      <c r="AM124">
        <v>-0.6</v>
      </c>
      <c r="AN124">
        <v>589</v>
      </c>
      <c r="AO124">
        <v>3.798</v>
      </c>
      <c r="AP124" s="3">
        <v>0.69217592592592592</v>
      </c>
      <c r="AQ124" s="1">
        <v>45176</v>
      </c>
      <c r="AR124">
        <v>-0.5</v>
      </c>
      <c r="AS124">
        <v>0</v>
      </c>
      <c r="AT124">
        <v>0</v>
      </c>
      <c r="AU124">
        <v>-9999</v>
      </c>
      <c r="AV124">
        <v>1.1060000000000001</v>
      </c>
      <c r="AW124">
        <v>2.3319999999999999</v>
      </c>
      <c r="AX124">
        <v>-9999</v>
      </c>
      <c r="AY124">
        <v>1</v>
      </c>
      <c r="AZ124">
        <v>150</v>
      </c>
      <c r="BA124">
        <v>5.0000000000000001E-3</v>
      </c>
      <c r="BB124">
        <v>2</v>
      </c>
      <c r="BC124">
        <v>0</v>
      </c>
      <c r="BD124" t="s">
        <v>200</v>
      </c>
      <c r="BE124">
        <v>7000</v>
      </c>
      <c r="BF124">
        <v>500</v>
      </c>
      <c r="BG124">
        <v>5</v>
      </c>
      <c r="BH124">
        <v>2</v>
      </c>
      <c r="BI124">
        <v>300</v>
      </c>
      <c r="BJ124">
        <v>300</v>
      </c>
      <c r="BK124">
        <v>300</v>
      </c>
      <c r="BL124">
        <v>207.56686400000001</v>
      </c>
      <c r="BM124">
        <v>25</v>
      </c>
      <c r="BN124">
        <v>-8.6038099999999993</v>
      </c>
      <c r="BO124">
        <v>209.19227599999999</v>
      </c>
      <c r="BP124">
        <v>208.086288</v>
      </c>
      <c r="BQ124">
        <v>1.105988</v>
      </c>
      <c r="BR124">
        <v>2.400128</v>
      </c>
      <c r="BS124">
        <v>2.4689390000000002</v>
      </c>
      <c r="BT124">
        <v>1.589715</v>
      </c>
      <c r="BU124">
        <v>1.0024219999999999</v>
      </c>
      <c r="BV124">
        <v>0.18159400000000001</v>
      </c>
      <c r="BW124">
        <v>-9.0779999999999993E-3</v>
      </c>
      <c r="BX124">
        <v>0.35824400000000001</v>
      </c>
      <c r="BY124">
        <v>0.62961</v>
      </c>
      <c r="BZ124">
        <v>79.104423999999995</v>
      </c>
      <c r="CA124">
        <v>3.5300000000000002E-4</v>
      </c>
      <c r="CB124">
        <v>2.3486280000000002</v>
      </c>
      <c r="CC124">
        <v>-5.1E-5</v>
      </c>
      <c r="CD124">
        <v>1</v>
      </c>
      <c r="CE124">
        <v>2.4109430000000001</v>
      </c>
      <c r="CF124">
        <v>-5.7000000000000003E-5</v>
      </c>
      <c r="CG124">
        <v>1</v>
      </c>
      <c r="CH124">
        <v>0.60051900000000002</v>
      </c>
      <c r="CI124">
        <v>0.60216099999999995</v>
      </c>
      <c r="CJ124">
        <v>0.107265</v>
      </c>
      <c r="CK124">
        <v>0</v>
      </c>
      <c r="CL124" t="s">
        <v>1485</v>
      </c>
      <c r="CM124" t="s">
        <v>201</v>
      </c>
      <c r="CN124" t="s">
        <v>202</v>
      </c>
      <c r="CO124" t="s">
        <v>203</v>
      </c>
      <c r="CP124" t="s">
        <v>204</v>
      </c>
      <c r="CQ124" t="s">
        <v>205</v>
      </c>
      <c r="CR124" t="s">
        <v>206</v>
      </c>
    </row>
    <row r="125" spans="1:96">
      <c r="A125">
        <v>1</v>
      </c>
      <c r="B125" s="3">
        <v>0.75800925925925933</v>
      </c>
      <c r="C125" s="1">
        <v>45176</v>
      </c>
      <c r="D125" t="s">
        <v>196</v>
      </c>
      <c r="E125" t="s">
        <v>197</v>
      </c>
      <c r="G125">
        <v>1</v>
      </c>
      <c r="J125">
        <v>3.1182999999999999E-2</v>
      </c>
      <c r="K125">
        <v>2.920223</v>
      </c>
      <c r="L125">
        <v>3.0852999999999998E-2</v>
      </c>
      <c r="M125">
        <v>1.042254</v>
      </c>
      <c r="N125">
        <v>1.849205</v>
      </c>
      <c r="O125">
        <v>1.8217749999999999</v>
      </c>
      <c r="P125">
        <v>4.9465919999999999</v>
      </c>
      <c r="Q125">
        <v>3.0973869999999999</v>
      </c>
      <c r="R125">
        <v>19.158936000000001</v>
      </c>
      <c r="S125">
        <v>19.447399000000001</v>
      </c>
      <c r="T125">
        <v>52.021473</v>
      </c>
      <c r="U125">
        <v>0.44178600000000001</v>
      </c>
      <c r="V125" t="s">
        <v>1486</v>
      </c>
      <c r="W125">
        <v>0</v>
      </c>
      <c r="X125">
        <v>0</v>
      </c>
      <c r="Y125">
        <v>0</v>
      </c>
      <c r="Z125">
        <v>89.749931000000004</v>
      </c>
      <c r="AA125">
        <v>354.37609900000001</v>
      </c>
      <c r="AB125">
        <v>0.74673800000000001</v>
      </c>
      <c r="AC125">
        <v>0.5</v>
      </c>
      <c r="AD125">
        <v>0.8</v>
      </c>
      <c r="AE125">
        <v>48.264598999999997</v>
      </c>
      <c r="AF125">
        <v>31.88</v>
      </c>
      <c r="AG125">
        <v>31.41</v>
      </c>
      <c r="AH125">
        <v>35.479999999999997</v>
      </c>
      <c r="AI125">
        <v>32.619999999999997</v>
      </c>
      <c r="AJ125">
        <v>95.09</v>
      </c>
      <c r="AK125">
        <v>156.5</v>
      </c>
      <c r="AL125">
        <v>155.80000000000001</v>
      </c>
      <c r="AM125">
        <v>0.4</v>
      </c>
      <c r="AN125">
        <v>162</v>
      </c>
      <c r="AO125">
        <v>3.8370000000000002</v>
      </c>
      <c r="AP125" s="3">
        <v>0.75788194444444434</v>
      </c>
      <c r="AQ125" s="1">
        <v>45176</v>
      </c>
      <c r="AR125">
        <v>-0.61</v>
      </c>
      <c r="AS125">
        <v>1E-3</v>
      </c>
      <c r="AT125">
        <v>1E-3</v>
      </c>
      <c r="AU125">
        <v>-9999</v>
      </c>
      <c r="AV125">
        <v>9.4E-2</v>
      </c>
      <c r="AW125">
        <v>0.27700000000000002</v>
      </c>
      <c r="AX125">
        <v>-9999</v>
      </c>
      <c r="AY125">
        <v>1</v>
      </c>
      <c r="AZ125">
        <v>150</v>
      </c>
      <c r="BA125">
        <v>5.0000000000000001E-3</v>
      </c>
      <c r="BB125">
        <v>2</v>
      </c>
      <c r="BC125">
        <v>0</v>
      </c>
      <c r="BD125" t="s">
        <v>200</v>
      </c>
      <c r="BE125">
        <v>7000</v>
      </c>
      <c r="BF125">
        <v>500</v>
      </c>
      <c r="BG125">
        <v>5</v>
      </c>
      <c r="BH125">
        <v>2</v>
      </c>
      <c r="BI125">
        <v>300</v>
      </c>
      <c r="BJ125">
        <v>300</v>
      </c>
      <c r="BK125">
        <v>300</v>
      </c>
      <c r="BL125">
        <v>336.60720800000001</v>
      </c>
      <c r="BM125">
        <v>25</v>
      </c>
      <c r="BN125">
        <v>-12.22237</v>
      </c>
      <c r="BO125">
        <v>337.94045999999997</v>
      </c>
      <c r="BP125">
        <v>336.84545900000001</v>
      </c>
      <c r="BQ125">
        <v>1.0950009999999999</v>
      </c>
      <c r="BR125">
        <v>2.395966</v>
      </c>
      <c r="BS125">
        <v>2.4633050000000001</v>
      </c>
      <c r="BT125">
        <v>1.5893040000000001</v>
      </c>
      <c r="BU125">
        <v>0.99698900000000001</v>
      </c>
      <c r="BV125">
        <v>0.180507</v>
      </c>
      <c r="BW125">
        <v>-3.7393000000000003E-2</v>
      </c>
      <c r="BX125">
        <v>8.7350999999999998E-2</v>
      </c>
      <c r="BY125">
        <v>0.25057099999999999</v>
      </c>
      <c r="BZ125">
        <v>89.749931000000004</v>
      </c>
      <c r="CA125">
        <v>3.5E-4</v>
      </c>
      <c r="CB125">
        <v>2.3486280000000002</v>
      </c>
      <c r="CC125">
        <v>-5.1E-5</v>
      </c>
      <c r="CD125">
        <v>1</v>
      </c>
      <c r="CE125">
        <v>2.4109430000000001</v>
      </c>
      <c r="CF125">
        <v>-5.7000000000000003E-5</v>
      </c>
      <c r="CG125">
        <v>1</v>
      </c>
      <c r="CH125">
        <v>0.60051900000000002</v>
      </c>
      <c r="CI125">
        <v>0.60216099999999995</v>
      </c>
      <c r="CJ125">
        <v>0.107265</v>
      </c>
      <c r="CK125">
        <v>0</v>
      </c>
      <c r="CL125" t="s">
        <v>1486</v>
      </c>
      <c r="CM125" t="s">
        <v>201</v>
      </c>
      <c r="CN125" t="s">
        <v>202</v>
      </c>
      <c r="CO125" t="s">
        <v>203</v>
      </c>
      <c r="CP125" t="s">
        <v>204</v>
      </c>
      <c r="CQ125" t="s">
        <v>205</v>
      </c>
      <c r="CR125" t="s">
        <v>206</v>
      </c>
    </row>
    <row r="126" spans="1:96">
      <c r="A126">
        <v>2</v>
      </c>
      <c r="B126" s="3">
        <v>0.75815972222222217</v>
      </c>
      <c r="C126" s="1">
        <v>45176</v>
      </c>
      <c r="D126" t="s">
        <v>196</v>
      </c>
      <c r="E126" t="s">
        <v>197</v>
      </c>
      <c r="G126">
        <v>2</v>
      </c>
      <c r="J126">
        <v>4.8022000000000002E-2</v>
      </c>
      <c r="K126">
        <v>2.9191310000000001</v>
      </c>
      <c r="L126">
        <v>4.7245000000000002E-2</v>
      </c>
      <c r="M126">
        <v>1.7110050000000001</v>
      </c>
      <c r="N126">
        <v>1.864795</v>
      </c>
      <c r="O126">
        <v>1.8197369999999999</v>
      </c>
      <c r="P126">
        <v>5.1807499999999997</v>
      </c>
      <c r="Q126">
        <v>3.3159550000000002</v>
      </c>
      <c r="R126">
        <v>19.138304000000002</v>
      </c>
      <c r="S126">
        <v>19.612188</v>
      </c>
      <c r="T126">
        <v>54.486324000000003</v>
      </c>
      <c r="U126">
        <v>0.44178600000000001</v>
      </c>
      <c r="V126" t="s">
        <v>1487</v>
      </c>
      <c r="W126">
        <v>0</v>
      </c>
      <c r="X126">
        <v>0</v>
      </c>
      <c r="Y126">
        <v>0</v>
      </c>
      <c r="Z126">
        <v>87.149260999999996</v>
      </c>
      <c r="AA126">
        <v>327.35128800000001</v>
      </c>
      <c r="AB126">
        <v>0.73377400000000004</v>
      </c>
      <c r="AC126">
        <v>0.5</v>
      </c>
      <c r="AD126">
        <v>0.8</v>
      </c>
      <c r="AE126">
        <v>72.931053000000006</v>
      </c>
      <c r="AF126">
        <v>32.31</v>
      </c>
      <c r="AG126">
        <v>31.53</v>
      </c>
      <c r="AH126">
        <v>35.39</v>
      </c>
      <c r="AI126">
        <v>33.450000000000003</v>
      </c>
      <c r="AJ126">
        <v>95.08</v>
      </c>
      <c r="AK126">
        <v>156.4</v>
      </c>
      <c r="AL126">
        <v>157.6</v>
      </c>
      <c r="AM126">
        <v>-0.8</v>
      </c>
      <c r="AN126">
        <v>248</v>
      </c>
      <c r="AO126">
        <v>3.8370000000000002</v>
      </c>
      <c r="AP126" s="3">
        <v>0.75788194444444434</v>
      </c>
      <c r="AQ126" s="1">
        <v>45176</v>
      </c>
      <c r="AR126">
        <v>-0.61</v>
      </c>
      <c r="AS126">
        <v>0</v>
      </c>
      <c r="AT126">
        <v>0</v>
      </c>
      <c r="AU126">
        <v>-9999</v>
      </c>
      <c r="AV126">
        <v>0.39500000000000002</v>
      </c>
      <c r="AW126">
        <v>0.40100000000000002</v>
      </c>
      <c r="AX126">
        <v>-9999</v>
      </c>
      <c r="AY126">
        <v>1</v>
      </c>
      <c r="AZ126">
        <v>150</v>
      </c>
      <c r="BA126">
        <v>5.0000000000000001E-3</v>
      </c>
      <c r="BB126">
        <v>2</v>
      </c>
      <c r="BC126">
        <v>0</v>
      </c>
      <c r="BD126" t="s">
        <v>200</v>
      </c>
      <c r="BE126">
        <v>7000</v>
      </c>
      <c r="BF126">
        <v>500</v>
      </c>
      <c r="BG126">
        <v>5</v>
      </c>
      <c r="BH126">
        <v>2</v>
      </c>
      <c r="BI126">
        <v>300</v>
      </c>
      <c r="BJ126">
        <v>300</v>
      </c>
      <c r="BK126">
        <v>300</v>
      </c>
      <c r="BL126">
        <v>309.17321800000002</v>
      </c>
      <c r="BM126">
        <v>25</v>
      </c>
      <c r="BN126">
        <v>-12.383476</v>
      </c>
      <c r="BO126">
        <v>309.26370200000002</v>
      </c>
      <c r="BP126">
        <v>309.58956899999998</v>
      </c>
      <c r="BQ126">
        <v>-0.32586700000000002</v>
      </c>
      <c r="BR126">
        <v>2.3961320000000002</v>
      </c>
      <c r="BS126">
        <v>2.4639220000000002</v>
      </c>
      <c r="BT126">
        <v>1.588246</v>
      </c>
      <c r="BU126">
        <v>1.0025360000000001</v>
      </c>
      <c r="BV126">
        <v>0.18110999999999999</v>
      </c>
      <c r="BW126">
        <v>-2.5673999999999999E-2</v>
      </c>
      <c r="BX126">
        <v>8.9457999999999996E-2</v>
      </c>
      <c r="BY126">
        <v>0.32763599999999998</v>
      </c>
      <c r="BZ126">
        <v>87.149260999999996</v>
      </c>
      <c r="CA126">
        <v>3.5300000000000002E-4</v>
      </c>
      <c r="CB126">
        <v>2.3486280000000002</v>
      </c>
      <c r="CC126">
        <v>-5.1E-5</v>
      </c>
      <c r="CD126">
        <v>1</v>
      </c>
      <c r="CE126">
        <v>2.4109430000000001</v>
      </c>
      <c r="CF126">
        <v>-5.7000000000000003E-5</v>
      </c>
      <c r="CG126">
        <v>1</v>
      </c>
      <c r="CH126">
        <v>0.60051900000000002</v>
      </c>
      <c r="CI126">
        <v>0.60216099999999995</v>
      </c>
      <c r="CJ126">
        <v>0.107265</v>
      </c>
      <c r="CK126">
        <v>0</v>
      </c>
      <c r="CL126" t="s">
        <v>1487</v>
      </c>
      <c r="CM126" t="s">
        <v>201</v>
      </c>
      <c r="CN126" t="s">
        <v>202</v>
      </c>
      <c r="CO126" t="s">
        <v>203</v>
      </c>
      <c r="CP126" t="s">
        <v>204</v>
      </c>
      <c r="CQ126" t="s">
        <v>205</v>
      </c>
      <c r="CR126" t="s">
        <v>206</v>
      </c>
    </row>
    <row r="127" spans="1:96">
      <c r="A127">
        <v>3</v>
      </c>
      <c r="B127" s="3">
        <v>0.75826388888888896</v>
      </c>
      <c r="C127" s="1">
        <v>45176</v>
      </c>
      <c r="D127" t="s">
        <v>196</v>
      </c>
      <c r="E127" t="s">
        <v>197</v>
      </c>
      <c r="G127">
        <v>3</v>
      </c>
      <c r="J127">
        <v>4.3262000000000002E-2</v>
      </c>
      <c r="K127">
        <v>2.9180510000000002</v>
      </c>
      <c r="L127">
        <v>4.2630000000000001E-2</v>
      </c>
      <c r="M127">
        <v>1.3870819999999999</v>
      </c>
      <c r="N127">
        <v>1.871451</v>
      </c>
      <c r="O127">
        <v>1.8348930000000001</v>
      </c>
      <c r="P127">
        <v>4.8558919999999999</v>
      </c>
      <c r="Q127">
        <v>2.9844409999999999</v>
      </c>
      <c r="R127">
        <v>19.297197000000001</v>
      </c>
      <c r="S127">
        <v>19.681664999999999</v>
      </c>
      <c r="T127">
        <v>51.068420000000003</v>
      </c>
      <c r="U127">
        <v>0.44178600000000001</v>
      </c>
      <c r="V127" t="s">
        <v>1488</v>
      </c>
      <c r="W127">
        <v>0</v>
      </c>
      <c r="X127">
        <v>0</v>
      </c>
      <c r="Y127">
        <v>0</v>
      </c>
      <c r="Z127">
        <v>99.179503999999994</v>
      </c>
      <c r="AA127">
        <v>348.72814899999997</v>
      </c>
      <c r="AB127">
        <v>0.71559600000000001</v>
      </c>
      <c r="AC127">
        <v>0.5</v>
      </c>
      <c r="AD127">
        <v>0.8</v>
      </c>
      <c r="AE127">
        <v>77.133156</v>
      </c>
      <c r="AF127">
        <v>32.520000000000003</v>
      </c>
      <c r="AG127">
        <v>31.88</v>
      </c>
      <c r="AH127">
        <v>35.340000000000003</v>
      </c>
      <c r="AI127">
        <v>32.299999999999997</v>
      </c>
      <c r="AJ127">
        <v>95.09</v>
      </c>
      <c r="AK127">
        <v>156.30000000000001</v>
      </c>
      <c r="AL127">
        <v>157.5</v>
      </c>
      <c r="AM127">
        <v>-0.8</v>
      </c>
      <c r="AN127">
        <v>269</v>
      </c>
      <c r="AO127">
        <v>3.8370000000000002</v>
      </c>
      <c r="AP127" s="3">
        <v>0.75788194444444434</v>
      </c>
      <c r="AQ127" s="1">
        <v>45176</v>
      </c>
      <c r="AR127">
        <v>-0.61</v>
      </c>
      <c r="AS127">
        <v>1E-3</v>
      </c>
      <c r="AT127">
        <v>2E-3</v>
      </c>
      <c r="AU127">
        <v>-9999</v>
      </c>
      <c r="AV127">
        <v>-0.42799999999999999</v>
      </c>
      <c r="AW127">
        <v>1.6E-2</v>
      </c>
      <c r="AX127">
        <v>-9999</v>
      </c>
      <c r="AY127">
        <v>1</v>
      </c>
      <c r="AZ127">
        <v>150</v>
      </c>
      <c r="BA127">
        <v>5.0000000000000001E-3</v>
      </c>
      <c r="BB127">
        <v>2</v>
      </c>
      <c r="BC127">
        <v>0</v>
      </c>
      <c r="BD127" t="s">
        <v>200</v>
      </c>
      <c r="BE127">
        <v>7000</v>
      </c>
      <c r="BF127">
        <v>500</v>
      </c>
      <c r="BG127">
        <v>5</v>
      </c>
      <c r="BH127">
        <v>2</v>
      </c>
      <c r="BI127">
        <v>300</v>
      </c>
      <c r="BJ127">
        <v>300</v>
      </c>
      <c r="BK127">
        <v>300</v>
      </c>
      <c r="BL127">
        <v>332.23700000000002</v>
      </c>
      <c r="BM127">
        <v>25</v>
      </c>
      <c r="BN127">
        <v>-11.588805000000001</v>
      </c>
      <c r="BO127">
        <v>332.62966899999998</v>
      </c>
      <c r="BP127">
        <v>332.10623199999998</v>
      </c>
      <c r="BQ127">
        <v>0.52343799999999996</v>
      </c>
      <c r="BR127">
        <v>2.3966180000000001</v>
      </c>
      <c r="BS127">
        <v>2.464235</v>
      </c>
      <c r="BT127">
        <v>1.5872040000000001</v>
      </c>
      <c r="BU127">
        <v>1.0021659999999999</v>
      </c>
      <c r="BV127">
        <v>0.18149599999999999</v>
      </c>
      <c r="BW127">
        <v>-3.9732000000000003E-2</v>
      </c>
      <c r="BX127">
        <v>9.0733999999999995E-2</v>
      </c>
      <c r="BY127">
        <v>0.34625400000000001</v>
      </c>
      <c r="BZ127">
        <v>99.179503999999994</v>
      </c>
      <c r="CA127">
        <v>3.5300000000000002E-4</v>
      </c>
      <c r="CB127">
        <v>2.3486280000000002</v>
      </c>
      <c r="CC127">
        <v>-5.1E-5</v>
      </c>
      <c r="CD127">
        <v>1</v>
      </c>
      <c r="CE127">
        <v>2.4109430000000001</v>
      </c>
      <c r="CF127">
        <v>-5.7000000000000003E-5</v>
      </c>
      <c r="CG127">
        <v>1</v>
      </c>
      <c r="CH127">
        <v>0.60051900000000002</v>
      </c>
      <c r="CI127">
        <v>0.60216099999999995</v>
      </c>
      <c r="CJ127">
        <v>0.107265</v>
      </c>
      <c r="CK127">
        <v>0</v>
      </c>
      <c r="CL127" t="s">
        <v>1488</v>
      </c>
      <c r="CM127" t="s">
        <v>201</v>
      </c>
      <c r="CN127" t="s">
        <v>202</v>
      </c>
      <c r="CO127" t="s">
        <v>203</v>
      </c>
      <c r="CP127" t="s">
        <v>204</v>
      </c>
      <c r="CQ127" t="s">
        <v>205</v>
      </c>
      <c r="CR127" t="s">
        <v>206</v>
      </c>
    </row>
    <row r="128" spans="1:96">
      <c r="A128">
        <v>4</v>
      </c>
      <c r="B128" s="3">
        <v>0.75836805555555553</v>
      </c>
      <c r="C128" s="1">
        <v>45176</v>
      </c>
      <c r="D128" t="s">
        <v>196</v>
      </c>
      <c r="E128" t="s">
        <v>197</v>
      </c>
      <c r="G128">
        <v>4</v>
      </c>
      <c r="J128">
        <v>3.0841E-2</v>
      </c>
      <c r="K128">
        <v>2.9182760000000001</v>
      </c>
      <c r="L128">
        <v>3.0518E-2</v>
      </c>
      <c r="M128">
        <v>1.0109319999999999</v>
      </c>
      <c r="N128">
        <v>1.859731</v>
      </c>
      <c r="O128">
        <v>1.8330869999999999</v>
      </c>
      <c r="P128">
        <v>4.8976980000000001</v>
      </c>
      <c r="Q128">
        <v>3.0379670000000001</v>
      </c>
      <c r="R128">
        <v>19.277543999999999</v>
      </c>
      <c r="S128">
        <v>19.557739000000002</v>
      </c>
      <c r="T128">
        <v>51.506324999999997</v>
      </c>
      <c r="U128">
        <v>0.44178600000000001</v>
      </c>
      <c r="V128" t="s">
        <v>1489</v>
      </c>
      <c r="W128">
        <v>0</v>
      </c>
      <c r="X128">
        <v>0</v>
      </c>
      <c r="Y128">
        <v>0</v>
      </c>
      <c r="Z128">
        <v>98.889472999999995</v>
      </c>
      <c r="AA128">
        <v>271.861694</v>
      </c>
      <c r="AB128">
        <v>0.63625100000000001</v>
      </c>
      <c r="AC128">
        <v>0.5</v>
      </c>
      <c r="AD128">
        <v>0.8</v>
      </c>
      <c r="AE128">
        <v>81.009460000000004</v>
      </c>
      <c r="AF128">
        <v>32.42</v>
      </c>
      <c r="AG128">
        <v>31.95</v>
      </c>
      <c r="AH128">
        <v>35.28</v>
      </c>
      <c r="AI128">
        <v>32.450000000000003</v>
      </c>
      <c r="AJ128">
        <v>95.09</v>
      </c>
      <c r="AK128">
        <v>156.30000000000001</v>
      </c>
      <c r="AL128">
        <v>157.69999999999999</v>
      </c>
      <c r="AM128">
        <v>-0.9</v>
      </c>
      <c r="AN128">
        <v>318</v>
      </c>
      <c r="AO128">
        <v>3.835</v>
      </c>
      <c r="AP128" s="3">
        <v>0.75788194444444434</v>
      </c>
      <c r="AQ128" s="1">
        <v>45176</v>
      </c>
      <c r="AR128">
        <v>-0.61</v>
      </c>
      <c r="AS128">
        <v>0</v>
      </c>
      <c r="AT128">
        <v>0</v>
      </c>
      <c r="AU128">
        <v>-9999</v>
      </c>
      <c r="AV128">
        <v>0.36599999999999999</v>
      </c>
      <c r="AW128">
        <v>0.84499999999999997</v>
      </c>
      <c r="AX128">
        <v>-9999</v>
      </c>
      <c r="AY128">
        <v>1</v>
      </c>
      <c r="AZ128">
        <v>150</v>
      </c>
      <c r="BA128">
        <v>5.0000000000000001E-3</v>
      </c>
      <c r="BB128">
        <v>2</v>
      </c>
      <c r="BC128">
        <v>0</v>
      </c>
      <c r="BD128" t="s">
        <v>200</v>
      </c>
      <c r="BE128">
        <v>7000</v>
      </c>
      <c r="BF128">
        <v>500</v>
      </c>
      <c r="BG128">
        <v>5</v>
      </c>
      <c r="BH128">
        <v>2</v>
      </c>
      <c r="BI128">
        <v>300</v>
      </c>
      <c r="BJ128">
        <v>300</v>
      </c>
      <c r="BK128">
        <v>300</v>
      </c>
      <c r="BL128">
        <v>262.577179</v>
      </c>
      <c r="BM128">
        <v>25</v>
      </c>
      <c r="BN128">
        <v>-6.3121159999999996</v>
      </c>
      <c r="BO128">
        <v>264.259094</v>
      </c>
      <c r="BP128">
        <v>262.80816700000003</v>
      </c>
      <c r="BQ128">
        <v>1.450928</v>
      </c>
      <c r="BR128">
        <v>2.3967160000000001</v>
      </c>
      <c r="BS128">
        <v>2.4640970000000002</v>
      </c>
      <c r="BT128">
        <v>1.587421</v>
      </c>
      <c r="BU128">
        <v>1.0029330000000001</v>
      </c>
      <c r="BV128">
        <v>0.18188699999999999</v>
      </c>
      <c r="BW128">
        <v>-3.7062999999999999E-2</v>
      </c>
      <c r="BX128">
        <v>9.1910000000000006E-2</v>
      </c>
      <c r="BY128">
        <v>0.38956600000000002</v>
      </c>
      <c r="BZ128">
        <v>98.889472999999995</v>
      </c>
      <c r="CA128">
        <v>3.5300000000000002E-4</v>
      </c>
      <c r="CB128">
        <v>2.3486280000000002</v>
      </c>
      <c r="CC128">
        <v>-5.1E-5</v>
      </c>
      <c r="CD128">
        <v>1</v>
      </c>
      <c r="CE128">
        <v>2.4109430000000001</v>
      </c>
      <c r="CF128">
        <v>-5.7000000000000003E-5</v>
      </c>
      <c r="CG128">
        <v>1</v>
      </c>
      <c r="CH128">
        <v>0.60051900000000002</v>
      </c>
      <c r="CI128">
        <v>0.60216099999999995</v>
      </c>
      <c r="CJ128">
        <v>0.107265</v>
      </c>
      <c r="CK128">
        <v>0</v>
      </c>
      <c r="CL128" t="s">
        <v>1489</v>
      </c>
      <c r="CM128" t="s">
        <v>201</v>
      </c>
      <c r="CN128" t="s">
        <v>202</v>
      </c>
      <c r="CO128" t="s">
        <v>203</v>
      </c>
      <c r="CP128" t="s">
        <v>204</v>
      </c>
      <c r="CQ128" t="s">
        <v>205</v>
      </c>
      <c r="CR128" t="s">
        <v>206</v>
      </c>
    </row>
    <row r="129" spans="1:96">
      <c r="A129">
        <v>1</v>
      </c>
      <c r="B129" s="3">
        <v>0.76309027777777771</v>
      </c>
      <c r="C129" s="1">
        <v>45176</v>
      </c>
      <c r="D129" t="s">
        <v>196</v>
      </c>
      <c r="E129" t="s">
        <v>197</v>
      </c>
      <c r="G129">
        <v>1</v>
      </c>
      <c r="J129">
        <v>6.5240000000000006E-2</v>
      </c>
      <c r="K129">
        <v>2.9184779999999999</v>
      </c>
      <c r="L129">
        <v>6.3813999999999996E-2</v>
      </c>
      <c r="M129">
        <v>2.1485259999999999</v>
      </c>
      <c r="N129">
        <v>1.8525860000000001</v>
      </c>
      <c r="O129">
        <v>1.795903</v>
      </c>
      <c r="P129">
        <v>4.943225</v>
      </c>
      <c r="Q129">
        <v>3.0906389999999999</v>
      </c>
      <c r="R129">
        <v>18.865863999999998</v>
      </c>
      <c r="S129">
        <v>19.461321000000002</v>
      </c>
      <c r="T129">
        <v>51.928310000000003</v>
      </c>
      <c r="U129">
        <v>0.44178600000000001</v>
      </c>
      <c r="V129" t="s">
        <v>1490</v>
      </c>
      <c r="W129">
        <v>0</v>
      </c>
      <c r="X129">
        <v>0</v>
      </c>
      <c r="Y129">
        <v>0</v>
      </c>
      <c r="Z129">
        <v>82.810524000000001</v>
      </c>
      <c r="AA129">
        <v>245.87391700000001</v>
      </c>
      <c r="AB129">
        <v>0.66319899999999998</v>
      </c>
      <c r="AC129">
        <v>0.5</v>
      </c>
      <c r="AD129">
        <v>0.8</v>
      </c>
      <c r="AE129">
        <v>59.590232999999998</v>
      </c>
      <c r="AF129">
        <v>34.33</v>
      </c>
      <c r="AG129">
        <v>33.28</v>
      </c>
      <c r="AH129">
        <v>34.18</v>
      </c>
      <c r="AI129">
        <v>32.61</v>
      </c>
      <c r="AJ129">
        <v>95.19</v>
      </c>
      <c r="AK129">
        <v>156.30000000000001</v>
      </c>
      <c r="AL129">
        <v>157.9</v>
      </c>
      <c r="AM129">
        <v>-1</v>
      </c>
      <c r="AN129">
        <v>225</v>
      </c>
      <c r="AO129">
        <v>3.8340000000000001</v>
      </c>
      <c r="AP129" s="3">
        <v>0.7628125</v>
      </c>
      <c r="AQ129" s="1">
        <v>45176</v>
      </c>
      <c r="AR129">
        <v>-0.64</v>
      </c>
      <c r="AS129">
        <v>0</v>
      </c>
      <c r="AT129">
        <v>2E-3</v>
      </c>
      <c r="AU129">
        <v>-9999</v>
      </c>
      <c r="AV129">
        <v>0.95699999999999996</v>
      </c>
      <c r="AW129">
        <v>1.764</v>
      </c>
      <c r="AX129">
        <v>-9999</v>
      </c>
      <c r="AY129">
        <v>1</v>
      </c>
      <c r="AZ129">
        <v>150</v>
      </c>
      <c r="BA129">
        <v>5.0000000000000001E-3</v>
      </c>
      <c r="BB129">
        <v>2</v>
      </c>
      <c r="BC129">
        <v>0</v>
      </c>
      <c r="BD129" t="s">
        <v>200</v>
      </c>
      <c r="BE129">
        <v>7000</v>
      </c>
      <c r="BF129">
        <v>500</v>
      </c>
      <c r="BG129">
        <v>5</v>
      </c>
      <c r="BH129">
        <v>2</v>
      </c>
      <c r="BI129">
        <v>300</v>
      </c>
      <c r="BJ129">
        <v>300</v>
      </c>
      <c r="BK129">
        <v>300</v>
      </c>
      <c r="BL129">
        <v>232.54537999999999</v>
      </c>
      <c r="BM129">
        <v>25</v>
      </c>
      <c r="BN129">
        <v>-9.0835080000000001</v>
      </c>
      <c r="BO129">
        <v>234.56954999999999</v>
      </c>
      <c r="BP129">
        <v>232.84536700000001</v>
      </c>
      <c r="BQ129">
        <v>1.7241820000000001</v>
      </c>
      <c r="BR129">
        <v>2.3986589999999999</v>
      </c>
      <c r="BS129">
        <v>2.4670459999999999</v>
      </c>
      <c r="BT129">
        <v>1.587615</v>
      </c>
      <c r="BU129">
        <v>1.0034510000000001</v>
      </c>
      <c r="BV129">
        <v>0.18984899999999999</v>
      </c>
      <c r="BW129">
        <v>-2.0549000000000001E-2</v>
      </c>
      <c r="BX129">
        <v>0.13747300000000001</v>
      </c>
      <c r="BY129">
        <v>0.30648599999999998</v>
      </c>
      <c r="BZ129">
        <v>82.810524000000001</v>
      </c>
      <c r="CA129">
        <v>3.4699999999999998E-4</v>
      </c>
      <c r="CB129">
        <v>2.3486280000000002</v>
      </c>
      <c r="CC129">
        <v>-5.1E-5</v>
      </c>
      <c r="CD129">
        <v>1</v>
      </c>
      <c r="CE129">
        <v>2.4109430000000001</v>
      </c>
      <c r="CF129">
        <v>-5.7000000000000003E-5</v>
      </c>
      <c r="CG129">
        <v>1</v>
      </c>
      <c r="CH129">
        <v>0.60051900000000002</v>
      </c>
      <c r="CI129">
        <v>0.60216099999999995</v>
      </c>
      <c r="CJ129">
        <v>0.107265</v>
      </c>
      <c r="CK129">
        <v>0</v>
      </c>
      <c r="CL129" t="s">
        <v>1490</v>
      </c>
      <c r="CM129" t="s">
        <v>201</v>
      </c>
      <c r="CN129" t="s">
        <v>202</v>
      </c>
      <c r="CO129" t="s">
        <v>203</v>
      </c>
      <c r="CP129" t="s">
        <v>204</v>
      </c>
      <c r="CQ129" t="s">
        <v>205</v>
      </c>
      <c r="CR129" t="s">
        <v>206</v>
      </c>
    </row>
    <row r="130" spans="1:96">
      <c r="A130">
        <v>2</v>
      </c>
      <c r="B130" s="3">
        <v>0.7631944444444444</v>
      </c>
      <c r="C130" s="1">
        <v>45176</v>
      </c>
      <c r="D130" t="s">
        <v>196</v>
      </c>
      <c r="E130" t="s">
        <v>197</v>
      </c>
      <c r="G130">
        <v>2</v>
      </c>
      <c r="J130">
        <v>5.9683E-2</v>
      </c>
      <c r="K130">
        <v>2.9187609999999999</v>
      </c>
      <c r="L130">
        <v>5.8486999999999997E-2</v>
      </c>
      <c r="M130">
        <v>1.868166</v>
      </c>
      <c r="N130">
        <v>1.83731</v>
      </c>
      <c r="O130">
        <v>1.7880240000000001</v>
      </c>
      <c r="P130">
        <v>4.7725070000000001</v>
      </c>
      <c r="Q130">
        <v>2.9351959999999999</v>
      </c>
      <c r="R130">
        <v>18.782157999999999</v>
      </c>
      <c r="S130">
        <v>19.299883000000001</v>
      </c>
      <c r="T130">
        <v>50.132427</v>
      </c>
      <c r="U130">
        <v>0.44178600000000001</v>
      </c>
      <c r="V130" t="s">
        <v>1491</v>
      </c>
      <c r="W130">
        <v>0</v>
      </c>
      <c r="X130">
        <v>0</v>
      </c>
      <c r="Y130">
        <v>0</v>
      </c>
      <c r="Z130">
        <v>78.307982999999993</v>
      </c>
      <c r="AA130">
        <v>273.49353000000002</v>
      </c>
      <c r="AB130">
        <v>0.71367499999999995</v>
      </c>
      <c r="AC130">
        <v>0.5</v>
      </c>
      <c r="AD130">
        <v>0.8</v>
      </c>
      <c r="AE130">
        <v>59.699981999999999</v>
      </c>
      <c r="AF130">
        <v>34.11</v>
      </c>
      <c r="AG130">
        <v>33.19</v>
      </c>
      <c r="AH130">
        <v>34.15</v>
      </c>
      <c r="AI130">
        <v>31.99</v>
      </c>
      <c r="AJ130">
        <v>95.2</v>
      </c>
      <c r="AK130">
        <v>156.30000000000001</v>
      </c>
      <c r="AL130">
        <v>157.69999999999999</v>
      </c>
      <c r="AM130">
        <v>-0.9</v>
      </c>
      <c r="AN130">
        <v>209</v>
      </c>
      <c r="AO130">
        <v>3.8330000000000002</v>
      </c>
      <c r="AP130" s="3">
        <v>0.7628125</v>
      </c>
      <c r="AQ130" s="1">
        <v>45176</v>
      </c>
      <c r="AR130">
        <v>-0.64</v>
      </c>
      <c r="AS130">
        <v>1E-3</v>
      </c>
      <c r="AT130">
        <v>1E-3</v>
      </c>
      <c r="AU130">
        <v>-9999</v>
      </c>
      <c r="AV130">
        <v>0.255</v>
      </c>
      <c r="AW130">
        <v>0.40400000000000003</v>
      </c>
      <c r="AX130">
        <v>-9999</v>
      </c>
      <c r="AY130">
        <v>1</v>
      </c>
      <c r="AZ130">
        <v>150</v>
      </c>
      <c r="BA130">
        <v>5.0000000000000001E-3</v>
      </c>
      <c r="BB130">
        <v>2</v>
      </c>
      <c r="BC130">
        <v>0</v>
      </c>
      <c r="BD130" t="s">
        <v>200</v>
      </c>
      <c r="BE130">
        <v>7000</v>
      </c>
      <c r="BF130">
        <v>500</v>
      </c>
      <c r="BG130">
        <v>5</v>
      </c>
      <c r="BH130">
        <v>2</v>
      </c>
      <c r="BI130">
        <v>300</v>
      </c>
      <c r="BJ130">
        <v>300</v>
      </c>
      <c r="BK130">
        <v>300</v>
      </c>
      <c r="BL130">
        <v>253.42404199999999</v>
      </c>
      <c r="BM130">
        <v>25</v>
      </c>
      <c r="BN130">
        <v>-13.922133000000001</v>
      </c>
      <c r="BO130">
        <v>254.92752100000001</v>
      </c>
      <c r="BP130">
        <v>253.524902</v>
      </c>
      <c r="BQ130">
        <v>1.4026179999999999</v>
      </c>
      <c r="BR130">
        <v>2.398555</v>
      </c>
      <c r="BS130">
        <v>2.4667439999999998</v>
      </c>
      <c r="BT130">
        <v>1.58789</v>
      </c>
      <c r="BU130">
        <v>1.002939</v>
      </c>
      <c r="BV130">
        <v>0.19010199999999999</v>
      </c>
      <c r="BW130">
        <v>-2.8051E-2</v>
      </c>
      <c r="BX130">
        <v>0.138741</v>
      </c>
      <c r="BY130">
        <v>0.29273700000000002</v>
      </c>
      <c r="BZ130">
        <v>78.307982999999993</v>
      </c>
      <c r="CA130">
        <v>3.5799999999999997E-4</v>
      </c>
      <c r="CB130">
        <v>2.3486280000000002</v>
      </c>
      <c r="CC130">
        <v>-5.1E-5</v>
      </c>
      <c r="CD130">
        <v>1</v>
      </c>
      <c r="CE130">
        <v>2.4109430000000001</v>
      </c>
      <c r="CF130">
        <v>-5.7000000000000003E-5</v>
      </c>
      <c r="CG130">
        <v>1</v>
      </c>
      <c r="CH130">
        <v>0.60051900000000002</v>
      </c>
      <c r="CI130">
        <v>0.60216099999999995</v>
      </c>
      <c r="CJ130">
        <v>0.107265</v>
      </c>
      <c r="CK130">
        <v>0</v>
      </c>
      <c r="CL130" t="s">
        <v>1491</v>
      </c>
      <c r="CM130" t="s">
        <v>201</v>
      </c>
      <c r="CN130" t="s">
        <v>202</v>
      </c>
      <c r="CO130" t="s">
        <v>203</v>
      </c>
      <c r="CP130" t="s">
        <v>204</v>
      </c>
      <c r="CQ130" t="s">
        <v>205</v>
      </c>
      <c r="CR130" t="s">
        <v>206</v>
      </c>
    </row>
    <row r="131" spans="1:96">
      <c r="A131">
        <v>3</v>
      </c>
      <c r="B131" s="3">
        <v>0.76335648148148139</v>
      </c>
      <c r="C131" s="1">
        <v>45176</v>
      </c>
      <c r="D131" t="s">
        <v>196</v>
      </c>
      <c r="E131" t="s">
        <v>197</v>
      </c>
      <c r="G131">
        <v>3</v>
      </c>
      <c r="J131">
        <v>1.9786000000000002E-2</v>
      </c>
      <c r="K131">
        <v>2.9195289999999998</v>
      </c>
      <c r="L131">
        <v>1.9653E-2</v>
      </c>
      <c r="M131">
        <v>0.74982700000000002</v>
      </c>
      <c r="N131">
        <v>1.816506</v>
      </c>
      <c r="O131">
        <v>1.7967329999999999</v>
      </c>
      <c r="P131">
        <v>5.3124029999999998</v>
      </c>
      <c r="Q131">
        <v>3.4958969999999998</v>
      </c>
      <c r="R131">
        <v>18.874680000000001</v>
      </c>
      <c r="S131">
        <v>19.082398999999999</v>
      </c>
      <c r="T131">
        <v>55.806801</v>
      </c>
      <c r="U131">
        <v>0.44178600000000001</v>
      </c>
      <c r="V131" t="s">
        <v>1492</v>
      </c>
      <c r="W131">
        <v>0</v>
      </c>
      <c r="X131">
        <v>0</v>
      </c>
      <c r="Y131">
        <v>0</v>
      </c>
      <c r="Z131">
        <v>183.218842</v>
      </c>
      <c r="AA131">
        <v>278.92913800000002</v>
      </c>
      <c r="AB131">
        <v>0.34313500000000002</v>
      </c>
      <c r="AC131">
        <v>0.5</v>
      </c>
      <c r="AD131">
        <v>0.8</v>
      </c>
      <c r="AE131">
        <v>126.84081999999999</v>
      </c>
      <c r="AF131">
        <v>33.82</v>
      </c>
      <c r="AG131">
        <v>33.46</v>
      </c>
      <c r="AH131">
        <v>34.090000000000003</v>
      </c>
      <c r="AI131">
        <v>33.9</v>
      </c>
      <c r="AJ131">
        <v>95.19</v>
      </c>
      <c r="AK131">
        <v>156.4</v>
      </c>
      <c r="AL131">
        <v>157.80000000000001</v>
      </c>
      <c r="AM131">
        <v>-0.9</v>
      </c>
      <c r="AN131">
        <v>924</v>
      </c>
      <c r="AO131">
        <v>3.794</v>
      </c>
      <c r="AP131" s="3">
        <v>0.7628125</v>
      </c>
      <c r="AQ131" s="1">
        <v>45176</v>
      </c>
      <c r="AR131">
        <v>-0.64</v>
      </c>
      <c r="AS131">
        <v>0</v>
      </c>
      <c r="AT131">
        <v>-1E-3</v>
      </c>
      <c r="AU131">
        <v>-1E-3</v>
      </c>
      <c r="AV131">
        <v>-1.296</v>
      </c>
      <c r="AW131">
        <v>0.82499999999999996</v>
      </c>
      <c r="AX131">
        <v>-11.962999999999999</v>
      </c>
      <c r="AY131">
        <v>1</v>
      </c>
      <c r="AZ131">
        <v>150</v>
      </c>
      <c r="BA131">
        <v>5.0000000000000001E-3</v>
      </c>
      <c r="BB131">
        <v>2</v>
      </c>
      <c r="BC131">
        <v>0</v>
      </c>
      <c r="BD131" t="s">
        <v>200</v>
      </c>
      <c r="BE131">
        <v>7000</v>
      </c>
      <c r="BF131">
        <v>500</v>
      </c>
      <c r="BG131">
        <v>5</v>
      </c>
      <c r="BH131">
        <v>2</v>
      </c>
      <c r="BI131">
        <v>300</v>
      </c>
      <c r="BJ131">
        <v>300</v>
      </c>
      <c r="BK131">
        <v>300</v>
      </c>
      <c r="BL131">
        <v>277.87506100000002</v>
      </c>
      <c r="BM131">
        <v>25</v>
      </c>
      <c r="BN131">
        <v>-0.651667</v>
      </c>
      <c r="BO131">
        <v>282.39941399999998</v>
      </c>
      <c r="BP131">
        <v>277.99444599999998</v>
      </c>
      <c r="BQ131">
        <v>4.4049680000000002</v>
      </c>
      <c r="BR131">
        <v>2.398911</v>
      </c>
      <c r="BS131">
        <v>2.4663520000000001</v>
      </c>
      <c r="BT131">
        <v>1.588632</v>
      </c>
      <c r="BU131">
        <v>1.0031399999999999</v>
      </c>
      <c r="BV131">
        <v>0.190502</v>
      </c>
      <c r="BW131">
        <v>-2.8370000000000001E-3</v>
      </c>
      <c r="BX131">
        <v>0.14075499999999999</v>
      </c>
      <c r="BY131">
        <v>0.92685899999999999</v>
      </c>
      <c r="BZ131">
        <v>183.218842</v>
      </c>
      <c r="CA131">
        <v>3.4600000000000001E-4</v>
      </c>
      <c r="CB131">
        <v>2.3486280000000002</v>
      </c>
      <c r="CC131">
        <v>-5.1E-5</v>
      </c>
      <c r="CD131">
        <v>1</v>
      </c>
      <c r="CE131">
        <v>2.4109430000000001</v>
      </c>
      <c r="CF131">
        <v>-5.7000000000000003E-5</v>
      </c>
      <c r="CG131">
        <v>1</v>
      </c>
      <c r="CH131">
        <v>0.60051900000000002</v>
      </c>
      <c r="CI131">
        <v>0.60216099999999995</v>
      </c>
      <c r="CJ131">
        <v>0.107265</v>
      </c>
      <c r="CK131">
        <v>0</v>
      </c>
      <c r="CL131" t="s">
        <v>1492</v>
      </c>
      <c r="CM131" t="s">
        <v>201</v>
      </c>
      <c r="CN131" t="s">
        <v>202</v>
      </c>
      <c r="CO131" t="s">
        <v>203</v>
      </c>
      <c r="CP131" t="s">
        <v>204</v>
      </c>
      <c r="CQ131" t="s">
        <v>205</v>
      </c>
      <c r="CR131" t="s">
        <v>206</v>
      </c>
    </row>
    <row r="132" spans="1:96">
      <c r="A132">
        <v>4</v>
      </c>
      <c r="B132" s="3">
        <v>0.76348379629629637</v>
      </c>
      <c r="C132" s="1">
        <v>45176</v>
      </c>
      <c r="D132" t="s">
        <v>196</v>
      </c>
      <c r="E132" t="s">
        <v>197</v>
      </c>
      <c r="G132">
        <v>4</v>
      </c>
      <c r="J132">
        <v>1.6912E-2</v>
      </c>
      <c r="K132">
        <v>2.9192010000000002</v>
      </c>
      <c r="L132">
        <v>1.6815E-2</v>
      </c>
      <c r="M132">
        <v>0.58394400000000002</v>
      </c>
      <c r="N132">
        <v>1.8265940000000001</v>
      </c>
      <c r="O132">
        <v>1.8111919999999999</v>
      </c>
      <c r="P132">
        <v>5.0137340000000004</v>
      </c>
      <c r="Q132">
        <v>3.1871399999999999</v>
      </c>
      <c r="R132">
        <v>19.026226000000001</v>
      </c>
      <c r="S132">
        <v>19.188016999999999</v>
      </c>
      <c r="T132">
        <v>52.668312</v>
      </c>
      <c r="U132">
        <v>0.44178600000000001</v>
      </c>
      <c r="V132" t="s">
        <v>1493</v>
      </c>
      <c r="W132">
        <v>0</v>
      </c>
      <c r="X132">
        <v>0</v>
      </c>
      <c r="Y132">
        <v>0</v>
      </c>
      <c r="Z132">
        <v>118.007538</v>
      </c>
      <c r="AA132">
        <v>392.22744799999998</v>
      </c>
      <c r="AB132">
        <v>0.69913499999999995</v>
      </c>
      <c r="AC132">
        <v>0.5</v>
      </c>
      <c r="AD132">
        <v>0.8</v>
      </c>
      <c r="AE132">
        <v>89.115189000000001</v>
      </c>
      <c r="AF132">
        <v>34.090000000000003</v>
      </c>
      <c r="AG132">
        <v>33.799999999999997</v>
      </c>
      <c r="AH132">
        <v>34.049999999999997</v>
      </c>
      <c r="AI132">
        <v>32.86</v>
      </c>
      <c r="AJ132">
        <v>95.19</v>
      </c>
      <c r="AK132">
        <v>156.4</v>
      </c>
      <c r="AL132">
        <v>157.80000000000001</v>
      </c>
      <c r="AM132">
        <v>-0.9</v>
      </c>
      <c r="AN132">
        <v>319</v>
      </c>
      <c r="AO132">
        <v>3.827</v>
      </c>
      <c r="AP132" s="3">
        <v>0.7628125</v>
      </c>
      <c r="AQ132" s="1">
        <v>45176</v>
      </c>
      <c r="AR132">
        <v>-0.64</v>
      </c>
      <c r="AS132">
        <v>1E-3</v>
      </c>
      <c r="AT132">
        <v>0</v>
      </c>
      <c r="AU132">
        <v>-9999</v>
      </c>
      <c r="AV132">
        <v>2.9569999999999999</v>
      </c>
      <c r="AW132">
        <v>3.161</v>
      </c>
      <c r="AX132">
        <v>-9999</v>
      </c>
      <c r="AY132">
        <v>1</v>
      </c>
      <c r="AZ132">
        <v>150</v>
      </c>
      <c r="BA132">
        <v>5.0000000000000001E-3</v>
      </c>
      <c r="BB132">
        <v>2</v>
      </c>
      <c r="BC132">
        <v>0</v>
      </c>
      <c r="BD132" t="s">
        <v>200</v>
      </c>
      <c r="BE132">
        <v>7000</v>
      </c>
      <c r="BF132">
        <v>500</v>
      </c>
      <c r="BG132">
        <v>5</v>
      </c>
      <c r="BH132">
        <v>2</v>
      </c>
      <c r="BI132">
        <v>300</v>
      </c>
      <c r="BJ132">
        <v>300</v>
      </c>
      <c r="BK132">
        <v>300</v>
      </c>
      <c r="BL132">
        <v>372.789154</v>
      </c>
      <c r="BM132">
        <v>25</v>
      </c>
      <c r="BN132">
        <v>-13.362786</v>
      </c>
      <c r="BO132">
        <v>371.101135</v>
      </c>
      <c r="BP132">
        <v>373.06109600000002</v>
      </c>
      <c r="BQ132">
        <v>-1.9599610000000001</v>
      </c>
      <c r="BR132">
        <v>2.3993760000000002</v>
      </c>
      <c r="BS132">
        <v>2.4667349999999999</v>
      </c>
      <c r="BT132">
        <v>1.588314</v>
      </c>
      <c r="BU132">
        <v>1.003339</v>
      </c>
      <c r="BV132">
        <v>0.190806</v>
      </c>
      <c r="BW132">
        <v>-1.5643000000000001E-2</v>
      </c>
      <c r="BX132">
        <v>0.142177</v>
      </c>
      <c r="BY132">
        <v>0.38988</v>
      </c>
      <c r="BZ132">
        <v>118.007538</v>
      </c>
      <c r="CA132">
        <v>3.5399999999999999E-4</v>
      </c>
      <c r="CB132">
        <v>2.3486280000000002</v>
      </c>
      <c r="CC132">
        <v>-5.1E-5</v>
      </c>
      <c r="CD132">
        <v>1</v>
      </c>
      <c r="CE132">
        <v>2.4109430000000001</v>
      </c>
      <c r="CF132">
        <v>-5.7000000000000003E-5</v>
      </c>
      <c r="CG132">
        <v>1</v>
      </c>
      <c r="CH132">
        <v>0.60051900000000002</v>
      </c>
      <c r="CI132">
        <v>0.60216099999999995</v>
      </c>
      <c r="CJ132">
        <v>0.107265</v>
      </c>
      <c r="CK132">
        <v>0</v>
      </c>
      <c r="CL132" t="s">
        <v>1493</v>
      </c>
      <c r="CM132" t="s">
        <v>201</v>
      </c>
      <c r="CN132" t="s">
        <v>202</v>
      </c>
      <c r="CO132" t="s">
        <v>203</v>
      </c>
      <c r="CP132" t="s">
        <v>204</v>
      </c>
      <c r="CQ132" t="s">
        <v>205</v>
      </c>
      <c r="CR132" t="s">
        <v>206</v>
      </c>
    </row>
    <row r="133" spans="1:96">
      <c r="A133">
        <v>5</v>
      </c>
      <c r="B133" s="3">
        <v>0.76560185185185192</v>
      </c>
      <c r="C133" s="1">
        <v>45176</v>
      </c>
      <c r="D133" t="s">
        <v>196</v>
      </c>
      <c r="E133" t="s">
        <v>197</v>
      </c>
      <c r="G133">
        <v>5</v>
      </c>
      <c r="J133">
        <v>-7.3300000000000004E-4</v>
      </c>
      <c r="K133">
        <v>2.9190749999999999</v>
      </c>
      <c r="L133">
        <v>-7.3300000000000004E-4</v>
      </c>
      <c r="M133">
        <v>-2.9669000000000001E-2</v>
      </c>
      <c r="N133">
        <v>1.8622650000000001</v>
      </c>
      <c r="O133">
        <v>1.8630469999999999</v>
      </c>
      <c r="P133">
        <v>5.5631599999999999</v>
      </c>
      <c r="Q133">
        <v>3.700895</v>
      </c>
      <c r="R133">
        <v>19.572855000000001</v>
      </c>
      <c r="S133">
        <v>19.564637999999999</v>
      </c>
      <c r="T133">
        <v>58.445613999999999</v>
      </c>
      <c r="U133">
        <v>0.44178600000000001</v>
      </c>
      <c r="V133" t="s">
        <v>1494</v>
      </c>
      <c r="W133">
        <v>0</v>
      </c>
      <c r="X133">
        <v>0</v>
      </c>
      <c r="Y133">
        <v>0</v>
      </c>
      <c r="Z133">
        <v>133.435959</v>
      </c>
      <c r="AA133">
        <v>103.247581</v>
      </c>
      <c r="AB133">
        <v>-0.29238799999999998</v>
      </c>
      <c r="AC133">
        <v>0.5</v>
      </c>
      <c r="AD133">
        <v>0.8</v>
      </c>
      <c r="AE133">
        <v>-113.75266999999999</v>
      </c>
      <c r="AF133">
        <v>35.61</v>
      </c>
      <c r="AG133">
        <v>35.619999999999997</v>
      </c>
      <c r="AH133">
        <v>33.619999999999997</v>
      </c>
      <c r="AI133">
        <v>34.729999999999997</v>
      </c>
      <c r="AJ133">
        <v>95.19</v>
      </c>
      <c r="AK133">
        <v>156.4</v>
      </c>
      <c r="AL133">
        <v>157.6</v>
      </c>
      <c r="AM133">
        <v>-0.8</v>
      </c>
      <c r="AN133">
        <v>973</v>
      </c>
      <c r="AO133">
        <v>3.827</v>
      </c>
      <c r="AP133" s="3">
        <v>0.7628125</v>
      </c>
      <c r="AQ133" s="1">
        <v>45176</v>
      </c>
      <c r="AR133">
        <v>-0.64</v>
      </c>
      <c r="AS133">
        <v>-1E-3</v>
      </c>
      <c r="AT133">
        <v>0</v>
      </c>
      <c r="AU133">
        <v>0</v>
      </c>
      <c r="AV133">
        <v>1.375</v>
      </c>
      <c r="AW133">
        <v>0.61</v>
      </c>
      <c r="AX133">
        <v>-25.181000000000001</v>
      </c>
      <c r="AY133">
        <v>1</v>
      </c>
      <c r="AZ133">
        <v>150</v>
      </c>
      <c r="BA133">
        <v>5.0000000000000001E-3</v>
      </c>
      <c r="BB133">
        <v>2</v>
      </c>
      <c r="BC133">
        <v>0</v>
      </c>
      <c r="BD133" t="s">
        <v>200</v>
      </c>
      <c r="BE133">
        <v>7000</v>
      </c>
      <c r="BF133">
        <v>500</v>
      </c>
      <c r="BG133">
        <v>5</v>
      </c>
      <c r="BH133">
        <v>2</v>
      </c>
      <c r="BI133">
        <v>300</v>
      </c>
      <c r="BJ133">
        <v>300</v>
      </c>
      <c r="BK133">
        <v>300</v>
      </c>
      <c r="BL133">
        <v>100.686554</v>
      </c>
      <c r="BM133">
        <v>25</v>
      </c>
      <c r="BN133">
        <v>-6.8524560000000001</v>
      </c>
      <c r="BO133">
        <v>93.464614999999995</v>
      </c>
      <c r="BP133">
        <v>93.419051999999994</v>
      </c>
      <c r="BQ133">
        <v>4.5562999999999999E-2</v>
      </c>
      <c r="BR133">
        <v>2.4018480000000002</v>
      </c>
      <c r="BS133">
        <v>2.46896</v>
      </c>
      <c r="BT133">
        <v>1.588192</v>
      </c>
      <c r="BU133">
        <v>1.0025200000000001</v>
      </c>
      <c r="BV133">
        <v>0.19406499999999999</v>
      </c>
      <c r="BW133">
        <v>1.4158E-2</v>
      </c>
      <c r="BX133">
        <v>0.166189</v>
      </c>
      <c r="BY133">
        <v>0.96985900000000003</v>
      </c>
      <c r="BZ133">
        <v>133.435959</v>
      </c>
      <c r="CA133">
        <v>3.5E-4</v>
      </c>
      <c r="CB133">
        <v>2.3486280000000002</v>
      </c>
      <c r="CC133">
        <v>-5.1E-5</v>
      </c>
      <c r="CD133">
        <v>1</v>
      </c>
      <c r="CE133">
        <v>2.4109430000000001</v>
      </c>
      <c r="CF133">
        <v>-5.7000000000000003E-5</v>
      </c>
      <c r="CG133">
        <v>1</v>
      </c>
      <c r="CH133">
        <v>0.60051900000000002</v>
      </c>
      <c r="CI133">
        <v>0.60216099999999995</v>
      </c>
      <c r="CJ133">
        <v>0.107265</v>
      </c>
      <c r="CK133">
        <v>0</v>
      </c>
      <c r="CL133" t="s">
        <v>1494</v>
      </c>
      <c r="CM133" t="s">
        <v>201</v>
      </c>
      <c r="CN133" t="s">
        <v>202</v>
      </c>
      <c r="CO133" t="s">
        <v>203</v>
      </c>
      <c r="CP133" t="s">
        <v>204</v>
      </c>
      <c r="CQ133" t="s">
        <v>205</v>
      </c>
      <c r="CR133" t="s">
        <v>206</v>
      </c>
    </row>
    <row r="134" spans="1:96">
      <c r="A134">
        <v>6</v>
      </c>
      <c r="B134" s="3">
        <v>0.76572916666666668</v>
      </c>
      <c r="C134" s="1">
        <v>45176</v>
      </c>
      <c r="D134" t="s">
        <v>196</v>
      </c>
      <c r="E134" t="s">
        <v>197</v>
      </c>
      <c r="G134">
        <v>6</v>
      </c>
      <c r="J134">
        <v>1.6313000000000001E-2</v>
      </c>
      <c r="K134">
        <v>2.921643</v>
      </c>
      <c r="L134">
        <v>1.6223000000000001E-2</v>
      </c>
      <c r="M134">
        <v>0.64249199999999995</v>
      </c>
      <c r="N134">
        <v>1.890844</v>
      </c>
      <c r="O134">
        <v>1.873942</v>
      </c>
      <c r="P134">
        <v>5.5143240000000002</v>
      </c>
      <c r="Q134">
        <v>3.6234799999999998</v>
      </c>
      <c r="R134">
        <v>19.685402</v>
      </c>
      <c r="S134">
        <v>19.862949</v>
      </c>
      <c r="T134">
        <v>57.926909999999999</v>
      </c>
      <c r="U134">
        <v>0.44178600000000001</v>
      </c>
      <c r="V134" t="s">
        <v>1495</v>
      </c>
      <c r="W134">
        <v>0</v>
      </c>
      <c r="X134">
        <v>0</v>
      </c>
      <c r="Y134">
        <v>0</v>
      </c>
      <c r="Z134">
        <v>109.503151</v>
      </c>
      <c r="AA134">
        <v>169.209518</v>
      </c>
      <c r="AB134">
        <v>0.35285499999999997</v>
      </c>
      <c r="AC134">
        <v>0.5</v>
      </c>
      <c r="AD134">
        <v>0.8</v>
      </c>
      <c r="AE134">
        <v>140.53945899999999</v>
      </c>
      <c r="AF134">
        <v>36.18</v>
      </c>
      <c r="AG134">
        <v>35.86</v>
      </c>
      <c r="AH134">
        <v>33.6</v>
      </c>
      <c r="AI134">
        <v>34.57</v>
      </c>
      <c r="AJ134">
        <v>95.19</v>
      </c>
      <c r="AK134">
        <v>156.69999999999999</v>
      </c>
      <c r="AL134">
        <v>157.6</v>
      </c>
      <c r="AM134">
        <v>-0.6</v>
      </c>
      <c r="AN134">
        <v>996</v>
      </c>
      <c r="AO134">
        <v>3.8260000000000001</v>
      </c>
      <c r="AP134" s="3">
        <v>0.7628125</v>
      </c>
      <c r="AQ134" s="1">
        <v>45176</v>
      </c>
      <c r="AR134">
        <v>-0.64</v>
      </c>
      <c r="AS134">
        <v>3.0000000000000001E-3</v>
      </c>
      <c r="AT134">
        <v>4.0000000000000001E-3</v>
      </c>
      <c r="AU134">
        <v>-9999</v>
      </c>
      <c r="AV134">
        <v>-3.2490000000000001</v>
      </c>
      <c r="AW134">
        <v>-3.1469999999999998</v>
      </c>
      <c r="AX134">
        <v>-9999</v>
      </c>
      <c r="AY134">
        <v>1</v>
      </c>
      <c r="AZ134">
        <v>150</v>
      </c>
      <c r="BA134">
        <v>5.0000000000000001E-3</v>
      </c>
      <c r="BB134">
        <v>2</v>
      </c>
      <c r="BC134">
        <v>0</v>
      </c>
      <c r="BD134" t="s">
        <v>200</v>
      </c>
      <c r="BE134">
        <v>7000</v>
      </c>
      <c r="BF134">
        <v>500</v>
      </c>
      <c r="BG134">
        <v>5</v>
      </c>
      <c r="BH134">
        <v>2</v>
      </c>
      <c r="BI134">
        <v>300</v>
      </c>
      <c r="BJ134">
        <v>300</v>
      </c>
      <c r="BK134">
        <v>300</v>
      </c>
      <c r="BL134">
        <v>158.67340100000001</v>
      </c>
      <c r="BM134">
        <v>25</v>
      </c>
      <c r="BN134">
        <v>-7.8100440000000004</v>
      </c>
      <c r="BO134">
        <v>156.36563100000001</v>
      </c>
      <c r="BP134">
        <v>158.007507</v>
      </c>
      <c r="BQ134">
        <v>-1.6418759999999999</v>
      </c>
      <c r="BR134">
        <v>2.402158</v>
      </c>
      <c r="BS134">
        <v>2.4697689999999999</v>
      </c>
      <c r="BT134">
        <v>1.5906830000000001</v>
      </c>
      <c r="BU134">
        <v>1.0027090000000001</v>
      </c>
      <c r="BV134">
        <v>0.19416700000000001</v>
      </c>
      <c r="BW134">
        <v>1.2252000000000001E-2</v>
      </c>
      <c r="BX134">
        <v>0.167434</v>
      </c>
      <c r="BY134">
        <v>0.99036000000000002</v>
      </c>
      <c r="BZ134">
        <v>109.503151</v>
      </c>
      <c r="CA134">
        <v>3.4600000000000001E-4</v>
      </c>
      <c r="CB134">
        <v>2.3486280000000002</v>
      </c>
      <c r="CC134">
        <v>-5.1E-5</v>
      </c>
      <c r="CD134">
        <v>1</v>
      </c>
      <c r="CE134">
        <v>2.4109430000000001</v>
      </c>
      <c r="CF134">
        <v>-5.7000000000000003E-5</v>
      </c>
      <c r="CG134">
        <v>1</v>
      </c>
      <c r="CH134">
        <v>0.60051900000000002</v>
      </c>
      <c r="CI134">
        <v>0.60216099999999995</v>
      </c>
      <c r="CJ134">
        <v>0.107265</v>
      </c>
      <c r="CK134">
        <v>0</v>
      </c>
      <c r="CL134" t="s">
        <v>1495</v>
      </c>
      <c r="CM134" t="s">
        <v>201</v>
      </c>
      <c r="CN134" t="s">
        <v>202</v>
      </c>
      <c r="CO134" t="s">
        <v>203</v>
      </c>
      <c r="CP134" t="s">
        <v>204</v>
      </c>
      <c r="CQ134" t="s">
        <v>205</v>
      </c>
      <c r="CR134" t="s">
        <v>206</v>
      </c>
    </row>
    <row r="135" spans="1:96">
      <c r="A135">
        <v>7</v>
      </c>
      <c r="B135" s="3">
        <v>0.76585648148148155</v>
      </c>
      <c r="C135" s="1">
        <v>45176</v>
      </c>
      <c r="D135" t="s">
        <v>196</v>
      </c>
      <c r="E135" t="s">
        <v>197</v>
      </c>
      <c r="G135">
        <v>7</v>
      </c>
      <c r="J135">
        <v>1.5554999999999999E-2</v>
      </c>
      <c r="K135">
        <v>2.9187029999999998</v>
      </c>
      <c r="L135">
        <v>1.5472E-2</v>
      </c>
      <c r="M135">
        <v>0.51030500000000001</v>
      </c>
      <c r="N135">
        <v>1.8537539999999999</v>
      </c>
      <c r="O135">
        <v>1.8402940000000001</v>
      </c>
      <c r="P135">
        <v>4.882269</v>
      </c>
      <c r="Q135">
        <v>3.0285150000000001</v>
      </c>
      <c r="R135">
        <v>19.332695000000001</v>
      </c>
      <c r="S135">
        <v>19.474098000000001</v>
      </c>
      <c r="T135">
        <v>51.289326000000003</v>
      </c>
      <c r="U135">
        <v>0.44178600000000001</v>
      </c>
      <c r="V135" t="s">
        <v>1496</v>
      </c>
      <c r="W135">
        <v>0</v>
      </c>
      <c r="X135">
        <v>0</v>
      </c>
      <c r="Y135">
        <v>0</v>
      </c>
      <c r="Z135">
        <v>97.494003000000006</v>
      </c>
      <c r="AA135">
        <v>360.15777600000001</v>
      </c>
      <c r="AB135">
        <v>0.72930200000000001</v>
      </c>
      <c r="AC135">
        <v>0.5</v>
      </c>
      <c r="AD135">
        <v>0.8</v>
      </c>
      <c r="AE135">
        <v>76.534203000000005</v>
      </c>
      <c r="AF135">
        <v>35.51</v>
      </c>
      <c r="AG135">
        <v>35.25</v>
      </c>
      <c r="AH135">
        <v>33.590000000000003</v>
      </c>
      <c r="AI135">
        <v>32.39</v>
      </c>
      <c r="AJ135">
        <v>95.19</v>
      </c>
      <c r="AK135">
        <v>156.30000000000001</v>
      </c>
      <c r="AL135">
        <v>157.4</v>
      </c>
      <c r="AM135">
        <v>-0.7</v>
      </c>
      <c r="AN135">
        <v>262</v>
      </c>
      <c r="AO135">
        <v>3.8260000000000001</v>
      </c>
      <c r="AP135" s="3">
        <v>0.7628125</v>
      </c>
      <c r="AQ135" s="1">
        <v>45176</v>
      </c>
      <c r="AR135">
        <v>-0.64</v>
      </c>
      <c r="AS135">
        <v>0</v>
      </c>
      <c r="AT135">
        <v>2E-3</v>
      </c>
      <c r="AU135">
        <v>-9999</v>
      </c>
      <c r="AV135">
        <v>-0.25700000000000001</v>
      </c>
      <c r="AW135">
        <v>-0.61599999999999999</v>
      </c>
      <c r="AX135">
        <v>-9999</v>
      </c>
      <c r="AY135">
        <v>1</v>
      </c>
      <c r="AZ135">
        <v>150</v>
      </c>
      <c r="BA135">
        <v>5.0000000000000001E-3</v>
      </c>
      <c r="BB135">
        <v>2</v>
      </c>
      <c r="BC135">
        <v>0</v>
      </c>
      <c r="BD135" t="s">
        <v>200</v>
      </c>
      <c r="BE135">
        <v>7000</v>
      </c>
      <c r="BF135">
        <v>500</v>
      </c>
      <c r="BG135">
        <v>5</v>
      </c>
      <c r="BH135">
        <v>2</v>
      </c>
      <c r="BI135">
        <v>300</v>
      </c>
      <c r="BJ135">
        <v>300</v>
      </c>
      <c r="BK135">
        <v>300</v>
      </c>
      <c r="BL135">
        <v>346.59789999999998</v>
      </c>
      <c r="BM135">
        <v>25</v>
      </c>
      <c r="BN135">
        <v>-9.3532270000000004</v>
      </c>
      <c r="BO135">
        <v>349.78472900000003</v>
      </c>
      <c r="BP135">
        <v>346.74237099999999</v>
      </c>
      <c r="BQ135">
        <v>3.0423580000000001</v>
      </c>
      <c r="BR135">
        <v>2.4013629999999999</v>
      </c>
      <c r="BS135">
        <v>2.468823</v>
      </c>
      <c r="BT135">
        <v>1.587833</v>
      </c>
      <c r="BU135">
        <v>1.001906</v>
      </c>
      <c r="BV135">
        <v>0.194299</v>
      </c>
      <c r="BW135">
        <v>-1.5651000000000002E-2</v>
      </c>
      <c r="BX135">
        <v>0.16858400000000001</v>
      </c>
      <c r="BY135">
        <v>0.33994200000000002</v>
      </c>
      <c r="BZ135">
        <v>97.494003000000006</v>
      </c>
      <c r="CA135">
        <v>3.4699999999999998E-4</v>
      </c>
      <c r="CB135">
        <v>2.3486280000000002</v>
      </c>
      <c r="CC135">
        <v>-5.1E-5</v>
      </c>
      <c r="CD135">
        <v>1</v>
      </c>
      <c r="CE135">
        <v>2.4109430000000001</v>
      </c>
      <c r="CF135">
        <v>-5.7000000000000003E-5</v>
      </c>
      <c r="CG135">
        <v>1</v>
      </c>
      <c r="CH135">
        <v>0.60051900000000002</v>
      </c>
      <c r="CI135">
        <v>0.60216099999999995</v>
      </c>
      <c r="CJ135">
        <v>0.107265</v>
      </c>
      <c r="CK135">
        <v>0</v>
      </c>
      <c r="CL135" t="s">
        <v>1496</v>
      </c>
      <c r="CM135" t="s">
        <v>201</v>
      </c>
      <c r="CN135" t="s">
        <v>202</v>
      </c>
      <c r="CO135" t="s">
        <v>203</v>
      </c>
      <c r="CP135" t="s">
        <v>204</v>
      </c>
      <c r="CQ135" t="s">
        <v>205</v>
      </c>
      <c r="CR135" t="s">
        <v>206</v>
      </c>
    </row>
    <row r="136" spans="1:96">
      <c r="A136">
        <v>8</v>
      </c>
      <c r="B136" s="3">
        <v>0.76597222222222217</v>
      </c>
      <c r="C136" s="1">
        <v>45176</v>
      </c>
      <c r="D136" t="s">
        <v>196</v>
      </c>
      <c r="E136" t="s">
        <v>197</v>
      </c>
      <c r="G136">
        <v>8</v>
      </c>
      <c r="J136">
        <v>2.4919999999999999E-3</v>
      </c>
      <c r="K136">
        <v>2.9203649999999999</v>
      </c>
      <c r="L136">
        <v>2.49E-3</v>
      </c>
      <c r="M136">
        <v>9.9934999999999996E-2</v>
      </c>
      <c r="N136">
        <v>1.8366819999999999</v>
      </c>
      <c r="O136">
        <v>1.834049</v>
      </c>
      <c r="P136">
        <v>5.5096340000000001</v>
      </c>
      <c r="Q136">
        <v>3.6729509999999999</v>
      </c>
      <c r="R136">
        <v>19.266943000000001</v>
      </c>
      <c r="S136">
        <v>19.294602999999999</v>
      </c>
      <c r="T136">
        <v>57.879471000000002</v>
      </c>
      <c r="U136">
        <v>0.44178600000000001</v>
      </c>
      <c r="V136" t="s">
        <v>1497</v>
      </c>
      <c r="W136">
        <v>0</v>
      </c>
      <c r="X136">
        <v>0</v>
      </c>
      <c r="Y136">
        <v>0</v>
      </c>
      <c r="Z136">
        <v>77.293036999999998</v>
      </c>
      <c r="AA136">
        <v>102.785545</v>
      </c>
      <c r="AB136">
        <v>0.24801599999999999</v>
      </c>
      <c r="AC136">
        <v>0.5</v>
      </c>
      <c r="AD136">
        <v>0.8</v>
      </c>
      <c r="AE136">
        <v>107.570984</v>
      </c>
      <c r="AF136">
        <v>35.22</v>
      </c>
      <c r="AG136">
        <v>35.17</v>
      </c>
      <c r="AH136">
        <v>33.57</v>
      </c>
      <c r="AI136">
        <v>34.549999999999997</v>
      </c>
      <c r="AJ136">
        <v>95.19</v>
      </c>
      <c r="AK136">
        <v>156.5</v>
      </c>
      <c r="AL136">
        <v>157.5</v>
      </c>
      <c r="AM136">
        <v>-0.6</v>
      </c>
      <c r="AN136">
        <v>1084</v>
      </c>
      <c r="AO136">
        <v>3.8250000000000002</v>
      </c>
      <c r="AP136" s="3">
        <v>0.7628125</v>
      </c>
      <c r="AQ136" s="1">
        <v>45176</v>
      </c>
      <c r="AR136">
        <v>-0.64</v>
      </c>
      <c r="AS136">
        <v>1E-3</v>
      </c>
      <c r="AT136">
        <v>2E-3</v>
      </c>
      <c r="AU136">
        <v>-9999</v>
      </c>
      <c r="AV136">
        <v>-1.8120000000000001</v>
      </c>
      <c r="AW136">
        <v>-4.0270000000000001</v>
      </c>
      <c r="AX136">
        <v>-9999</v>
      </c>
      <c r="AY136">
        <v>1</v>
      </c>
      <c r="AZ136">
        <v>150</v>
      </c>
      <c r="BA136">
        <v>5.0000000000000001E-3</v>
      </c>
      <c r="BB136">
        <v>2</v>
      </c>
      <c r="BC136">
        <v>0</v>
      </c>
      <c r="BD136" t="s">
        <v>200</v>
      </c>
      <c r="BE136">
        <v>7000</v>
      </c>
      <c r="BF136">
        <v>500</v>
      </c>
      <c r="BG136">
        <v>5</v>
      </c>
      <c r="BH136">
        <v>2</v>
      </c>
      <c r="BI136">
        <v>300</v>
      </c>
      <c r="BJ136">
        <v>300</v>
      </c>
      <c r="BK136">
        <v>300</v>
      </c>
      <c r="BL136">
        <v>99.198463000000004</v>
      </c>
      <c r="BM136">
        <v>25</v>
      </c>
      <c r="BN136">
        <v>-2.4926249999999999</v>
      </c>
      <c r="BO136">
        <v>98.848701000000005</v>
      </c>
      <c r="BP136">
        <v>99.210357999999999</v>
      </c>
      <c r="BQ136">
        <v>-0.36165599999999998</v>
      </c>
      <c r="BR136">
        <v>2.4012600000000002</v>
      </c>
      <c r="BS136">
        <v>2.4684210000000002</v>
      </c>
      <c r="BT136">
        <v>1.589442</v>
      </c>
      <c r="BU136">
        <v>1.002302</v>
      </c>
      <c r="BV136">
        <v>0.19444700000000001</v>
      </c>
      <c r="BW136">
        <v>1.2531E-2</v>
      </c>
      <c r="BX136">
        <v>0.169682</v>
      </c>
      <c r="BY136">
        <v>1.0689200000000001</v>
      </c>
      <c r="BZ136">
        <v>77.293036999999998</v>
      </c>
      <c r="CA136">
        <v>3.4299999999999999E-4</v>
      </c>
      <c r="CB136">
        <v>2.3486280000000002</v>
      </c>
      <c r="CC136">
        <v>-5.1E-5</v>
      </c>
      <c r="CD136">
        <v>1</v>
      </c>
      <c r="CE136">
        <v>2.4109430000000001</v>
      </c>
      <c r="CF136">
        <v>-5.7000000000000003E-5</v>
      </c>
      <c r="CG136">
        <v>1</v>
      </c>
      <c r="CH136">
        <v>0.60051900000000002</v>
      </c>
      <c r="CI136">
        <v>0.60216099999999995</v>
      </c>
      <c r="CJ136">
        <v>0.107265</v>
      </c>
      <c r="CK136">
        <v>0</v>
      </c>
      <c r="CL136" t="s">
        <v>1497</v>
      </c>
      <c r="CM136" t="s">
        <v>201</v>
      </c>
      <c r="CN136" t="s">
        <v>202</v>
      </c>
      <c r="CO136" t="s">
        <v>203</v>
      </c>
      <c r="CP136" t="s">
        <v>204</v>
      </c>
      <c r="CQ136" t="s">
        <v>205</v>
      </c>
      <c r="CR136" t="s">
        <v>206</v>
      </c>
    </row>
    <row r="137" spans="1:96">
      <c r="A137">
        <v>9</v>
      </c>
      <c r="B137" s="3">
        <v>0.76616898148148149</v>
      </c>
      <c r="C137" s="1">
        <v>45176</v>
      </c>
      <c r="D137" t="s">
        <v>196</v>
      </c>
      <c r="E137" t="s">
        <v>197</v>
      </c>
      <c r="G137">
        <v>9</v>
      </c>
      <c r="J137">
        <v>1.2289E-2</v>
      </c>
      <c r="K137">
        <v>2.918161</v>
      </c>
      <c r="L137">
        <v>1.2238000000000001E-2</v>
      </c>
      <c r="M137">
        <v>0.49595099999999998</v>
      </c>
      <c r="N137">
        <v>1.8387450000000001</v>
      </c>
      <c r="O137">
        <v>1.825655</v>
      </c>
      <c r="P137">
        <v>5.5469499999999998</v>
      </c>
      <c r="Q137">
        <v>3.708205</v>
      </c>
      <c r="R137">
        <v>19.17841</v>
      </c>
      <c r="S137">
        <v>19.315916000000001</v>
      </c>
      <c r="T137">
        <v>58.270409000000001</v>
      </c>
      <c r="U137">
        <v>0.44178600000000001</v>
      </c>
      <c r="V137" t="s">
        <v>1498</v>
      </c>
      <c r="W137">
        <v>0</v>
      </c>
      <c r="X137">
        <v>0</v>
      </c>
      <c r="Y137">
        <v>0</v>
      </c>
      <c r="Z137">
        <v>233.180161</v>
      </c>
      <c r="AA137">
        <v>316.70983899999999</v>
      </c>
      <c r="AB137">
        <v>0.26374199999999998</v>
      </c>
      <c r="AC137">
        <v>0.5</v>
      </c>
      <c r="AD137">
        <v>0.8</v>
      </c>
      <c r="AE137">
        <v>99.677566999999996</v>
      </c>
      <c r="AF137">
        <v>35.31</v>
      </c>
      <c r="AG137">
        <v>35.06</v>
      </c>
      <c r="AH137">
        <v>33.54</v>
      </c>
      <c r="AI137">
        <v>34.67</v>
      </c>
      <c r="AJ137">
        <v>95.19</v>
      </c>
      <c r="AK137">
        <v>156.30000000000001</v>
      </c>
      <c r="AL137">
        <v>157.69999999999999</v>
      </c>
      <c r="AM137">
        <v>-0.9</v>
      </c>
      <c r="AN137">
        <v>945</v>
      </c>
      <c r="AO137">
        <v>3.8149999999999999</v>
      </c>
      <c r="AP137" s="3">
        <v>0.7628125</v>
      </c>
      <c r="AQ137" s="1">
        <v>45176</v>
      </c>
      <c r="AR137">
        <v>-0.64</v>
      </c>
      <c r="AS137">
        <v>0</v>
      </c>
      <c r="AT137">
        <v>0</v>
      </c>
      <c r="AU137">
        <v>7.0000000000000001E-3</v>
      </c>
      <c r="AV137">
        <v>0.46</v>
      </c>
      <c r="AW137">
        <v>0.32900000000000001</v>
      </c>
      <c r="AX137">
        <v>-10.266</v>
      </c>
      <c r="AY137">
        <v>1</v>
      </c>
      <c r="AZ137">
        <v>150</v>
      </c>
      <c r="BA137">
        <v>5.0000000000000001E-3</v>
      </c>
      <c r="BB137">
        <v>2</v>
      </c>
      <c r="BC137">
        <v>0</v>
      </c>
      <c r="BD137" t="s">
        <v>200</v>
      </c>
      <c r="BE137">
        <v>7000</v>
      </c>
      <c r="BF137">
        <v>500</v>
      </c>
      <c r="BG137">
        <v>5</v>
      </c>
      <c r="BH137">
        <v>2</v>
      </c>
      <c r="BI137">
        <v>300</v>
      </c>
      <c r="BJ137">
        <v>300</v>
      </c>
      <c r="BK137">
        <v>300</v>
      </c>
      <c r="BL137">
        <v>314.80157500000001</v>
      </c>
      <c r="BM137">
        <v>25</v>
      </c>
      <c r="BN137">
        <v>-1.249028</v>
      </c>
      <c r="BO137">
        <v>317.65722699999998</v>
      </c>
      <c r="BP137">
        <v>314.91833500000001</v>
      </c>
      <c r="BQ137">
        <v>2.7388919999999999</v>
      </c>
      <c r="BR137">
        <v>2.4011279999999999</v>
      </c>
      <c r="BS137">
        <v>2.4685630000000001</v>
      </c>
      <c r="BT137">
        <v>1.58731</v>
      </c>
      <c r="BU137">
        <v>1.0029090000000001</v>
      </c>
      <c r="BV137">
        <v>0.19466700000000001</v>
      </c>
      <c r="BW137">
        <v>1.4499E-2</v>
      </c>
      <c r="BX137">
        <v>0.17164599999999999</v>
      </c>
      <c r="BY137">
        <v>0.94522399999999995</v>
      </c>
      <c r="BZ137">
        <v>233.180161</v>
      </c>
      <c r="CA137">
        <v>3.4600000000000001E-4</v>
      </c>
      <c r="CB137">
        <v>2.3486280000000002</v>
      </c>
      <c r="CC137">
        <v>-5.1E-5</v>
      </c>
      <c r="CD137">
        <v>1</v>
      </c>
      <c r="CE137">
        <v>2.4109430000000001</v>
      </c>
      <c r="CF137">
        <v>-5.7000000000000003E-5</v>
      </c>
      <c r="CG137">
        <v>1</v>
      </c>
      <c r="CH137">
        <v>0.60051900000000002</v>
      </c>
      <c r="CI137">
        <v>0.60216099999999995</v>
      </c>
      <c r="CJ137">
        <v>0.107265</v>
      </c>
      <c r="CK137">
        <v>0</v>
      </c>
      <c r="CL137" t="s">
        <v>1498</v>
      </c>
      <c r="CM137" t="s">
        <v>201</v>
      </c>
      <c r="CN137" t="s">
        <v>202</v>
      </c>
      <c r="CO137" t="s">
        <v>203</v>
      </c>
      <c r="CP137" t="s">
        <v>204</v>
      </c>
      <c r="CQ137" t="s">
        <v>205</v>
      </c>
      <c r="CR137" t="s">
        <v>206</v>
      </c>
    </row>
    <row r="138" spans="1:96">
      <c r="A138">
        <v>10</v>
      </c>
      <c r="B138" s="3">
        <v>0.77119212962962969</v>
      </c>
      <c r="C138" s="1">
        <v>45176</v>
      </c>
      <c r="D138" t="s">
        <v>196</v>
      </c>
      <c r="E138" t="s">
        <v>197</v>
      </c>
      <c r="G138">
        <v>10</v>
      </c>
      <c r="J138">
        <v>2.9982000000000002E-2</v>
      </c>
      <c r="K138">
        <v>2.9192520000000002</v>
      </c>
      <c r="L138">
        <v>2.9676999999999999E-2</v>
      </c>
      <c r="M138">
        <v>0.94055800000000001</v>
      </c>
      <c r="N138">
        <v>1.9015299999999999</v>
      </c>
      <c r="O138">
        <v>1.8767510000000001</v>
      </c>
      <c r="P138">
        <v>4.8112050000000002</v>
      </c>
      <c r="Q138">
        <v>2.909675</v>
      </c>
      <c r="R138">
        <v>19.720922000000002</v>
      </c>
      <c r="S138">
        <v>19.981297999999999</v>
      </c>
      <c r="T138">
        <v>50.556193999999998</v>
      </c>
      <c r="U138">
        <v>0.44178600000000001</v>
      </c>
      <c r="V138" t="s">
        <v>1499</v>
      </c>
      <c r="W138">
        <v>0</v>
      </c>
      <c r="X138">
        <v>0</v>
      </c>
      <c r="Y138">
        <v>0</v>
      </c>
      <c r="Z138">
        <v>86.587433000000004</v>
      </c>
      <c r="AA138">
        <v>295.401184</v>
      </c>
      <c r="AB138">
        <v>0.70688200000000001</v>
      </c>
      <c r="AC138">
        <v>0.5</v>
      </c>
      <c r="AD138">
        <v>0.8</v>
      </c>
      <c r="AE138">
        <v>41.533943000000001</v>
      </c>
      <c r="AF138">
        <v>36.979999999999997</v>
      </c>
      <c r="AG138">
        <v>36.49</v>
      </c>
      <c r="AH138">
        <v>33.32</v>
      </c>
      <c r="AI138">
        <v>32.130000000000003</v>
      </c>
      <c r="AJ138">
        <v>95.17</v>
      </c>
      <c r="AK138">
        <v>156.4</v>
      </c>
      <c r="AL138">
        <v>157.80000000000001</v>
      </c>
      <c r="AM138">
        <v>-0.9</v>
      </c>
      <c r="AN138">
        <v>147</v>
      </c>
      <c r="AO138">
        <v>3.8140000000000001</v>
      </c>
      <c r="AP138" s="3">
        <v>0.77108796296296289</v>
      </c>
      <c r="AQ138" s="1">
        <v>45176</v>
      </c>
      <c r="AR138">
        <v>-0.55000000000000004</v>
      </c>
      <c r="AS138">
        <v>-1E-3</v>
      </c>
      <c r="AT138">
        <v>-1E-3</v>
      </c>
      <c r="AU138">
        <v>-9999</v>
      </c>
      <c r="AV138">
        <v>-0.28999999999999998</v>
      </c>
      <c r="AW138">
        <v>-0.46400000000000002</v>
      </c>
      <c r="AX138">
        <v>-9999</v>
      </c>
      <c r="AY138">
        <v>1</v>
      </c>
      <c r="AZ138">
        <v>150</v>
      </c>
      <c r="BA138">
        <v>5.0000000000000001E-3</v>
      </c>
      <c r="BB138">
        <v>2</v>
      </c>
      <c r="BC138">
        <v>0</v>
      </c>
      <c r="BD138" t="s">
        <v>200</v>
      </c>
      <c r="BE138">
        <v>7000</v>
      </c>
      <c r="BF138">
        <v>500</v>
      </c>
      <c r="BG138">
        <v>5</v>
      </c>
      <c r="BH138">
        <v>2</v>
      </c>
      <c r="BI138">
        <v>300</v>
      </c>
      <c r="BJ138">
        <v>300</v>
      </c>
      <c r="BK138">
        <v>300</v>
      </c>
      <c r="BL138">
        <v>280.89773600000001</v>
      </c>
      <c r="BM138">
        <v>25</v>
      </c>
      <c r="BN138">
        <v>-9.9886020000000002</v>
      </c>
      <c r="BO138">
        <v>282.91189600000001</v>
      </c>
      <c r="BP138">
        <v>281.07446299999998</v>
      </c>
      <c r="BQ138">
        <v>1.8374330000000001</v>
      </c>
      <c r="BR138">
        <v>2.4030420000000001</v>
      </c>
      <c r="BS138">
        <v>2.4708130000000001</v>
      </c>
      <c r="BT138">
        <v>1.5883640000000001</v>
      </c>
      <c r="BU138">
        <v>1.0031380000000001</v>
      </c>
      <c r="BV138">
        <v>0.196356</v>
      </c>
      <c r="BW138">
        <v>-1.5476E-2</v>
      </c>
      <c r="BX138">
        <v>0.21890000000000001</v>
      </c>
      <c r="BY138">
        <v>0.23754</v>
      </c>
      <c r="BZ138">
        <v>86.587433000000004</v>
      </c>
      <c r="CA138">
        <v>3.48E-4</v>
      </c>
      <c r="CB138">
        <v>2.3486280000000002</v>
      </c>
      <c r="CC138">
        <v>-5.1E-5</v>
      </c>
      <c r="CD138">
        <v>1</v>
      </c>
      <c r="CE138">
        <v>2.4109430000000001</v>
      </c>
      <c r="CF138">
        <v>-5.7000000000000003E-5</v>
      </c>
      <c r="CG138">
        <v>1</v>
      </c>
      <c r="CH138">
        <v>0.60051900000000002</v>
      </c>
      <c r="CI138">
        <v>0.60216099999999995</v>
      </c>
      <c r="CJ138">
        <v>0.107265</v>
      </c>
      <c r="CK138">
        <v>0</v>
      </c>
      <c r="CL138" t="s">
        <v>1499</v>
      </c>
      <c r="CM138" t="s">
        <v>201</v>
      </c>
      <c r="CN138" t="s">
        <v>202</v>
      </c>
      <c r="CO138" t="s">
        <v>203</v>
      </c>
      <c r="CP138" t="s">
        <v>204</v>
      </c>
      <c r="CQ138" t="s">
        <v>205</v>
      </c>
      <c r="CR138" t="s">
        <v>206</v>
      </c>
    </row>
    <row r="139" spans="1:96">
      <c r="A139">
        <v>11</v>
      </c>
      <c r="B139" s="3">
        <v>0.77131944444444445</v>
      </c>
      <c r="C139" s="1">
        <v>45176</v>
      </c>
      <c r="D139" t="s">
        <v>196</v>
      </c>
      <c r="E139" t="s">
        <v>197</v>
      </c>
      <c r="G139">
        <v>11</v>
      </c>
      <c r="J139">
        <v>3.5222999999999997E-2</v>
      </c>
      <c r="K139">
        <v>2.9195859999999998</v>
      </c>
      <c r="L139">
        <v>3.4803000000000001E-2</v>
      </c>
      <c r="M139">
        <v>1.036124</v>
      </c>
      <c r="N139">
        <v>1.8833329999999999</v>
      </c>
      <c r="O139">
        <v>1.8560369999999999</v>
      </c>
      <c r="P139">
        <v>4.6198709999999998</v>
      </c>
      <c r="Q139">
        <v>2.7365379999999999</v>
      </c>
      <c r="R139">
        <v>19.502230000000001</v>
      </c>
      <c r="S139">
        <v>19.789041999999998</v>
      </c>
      <c r="T139">
        <v>48.543098000000001</v>
      </c>
      <c r="U139">
        <v>0.44178600000000001</v>
      </c>
      <c r="V139" t="s">
        <v>1500</v>
      </c>
      <c r="W139">
        <v>0</v>
      </c>
      <c r="X139">
        <v>0</v>
      </c>
      <c r="Y139">
        <v>0</v>
      </c>
      <c r="Z139">
        <v>88.437438999999998</v>
      </c>
      <c r="AA139">
        <v>357.22891199999998</v>
      </c>
      <c r="AB139">
        <v>0.75243499999999996</v>
      </c>
      <c r="AC139">
        <v>0.5</v>
      </c>
      <c r="AD139">
        <v>0.8</v>
      </c>
      <c r="AE139">
        <v>40.497055000000003</v>
      </c>
      <c r="AF139">
        <v>36.64</v>
      </c>
      <c r="AG139">
        <v>36.11</v>
      </c>
      <c r="AH139">
        <v>33.31</v>
      </c>
      <c r="AI139">
        <v>31.42</v>
      </c>
      <c r="AJ139">
        <v>95.17</v>
      </c>
      <c r="AK139">
        <v>156.4</v>
      </c>
      <c r="AL139">
        <v>157.6</v>
      </c>
      <c r="AM139">
        <v>-0.7</v>
      </c>
      <c r="AN139">
        <v>135</v>
      </c>
      <c r="AO139">
        <v>3.8140000000000001</v>
      </c>
      <c r="AP139" s="3">
        <v>0.77108796296296289</v>
      </c>
      <c r="AQ139" s="1">
        <v>45176</v>
      </c>
      <c r="AR139">
        <v>-0.55000000000000004</v>
      </c>
      <c r="AS139">
        <v>0</v>
      </c>
      <c r="AT139">
        <v>1E-3</v>
      </c>
      <c r="AU139">
        <v>-9999</v>
      </c>
      <c r="AV139">
        <v>-1.2E-2</v>
      </c>
      <c r="AW139">
        <v>0.159</v>
      </c>
      <c r="AX139">
        <v>-9999</v>
      </c>
      <c r="AY139">
        <v>1</v>
      </c>
      <c r="AZ139">
        <v>150</v>
      </c>
      <c r="BA139">
        <v>5.0000000000000001E-3</v>
      </c>
      <c r="BB139">
        <v>2</v>
      </c>
      <c r="BC139">
        <v>0</v>
      </c>
      <c r="BD139" t="s">
        <v>200</v>
      </c>
      <c r="BE139">
        <v>7000</v>
      </c>
      <c r="BF139">
        <v>500</v>
      </c>
      <c r="BG139">
        <v>5</v>
      </c>
      <c r="BH139">
        <v>2</v>
      </c>
      <c r="BI139">
        <v>300</v>
      </c>
      <c r="BJ139">
        <v>300</v>
      </c>
      <c r="BK139">
        <v>300</v>
      </c>
      <c r="BL139">
        <v>333.71258499999999</v>
      </c>
      <c r="BM139">
        <v>25</v>
      </c>
      <c r="BN139">
        <v>-16.177624000000002</v>
      </c>
      <c r="BO139">
        <v>331.888306</v>
      </c>
      <c r="BP139">
        <v>334.02520800000002</v>
      </c>
      <c r="BQ139">
        <v>-2.1369020000000001</v>
      </c>
      <c r="BR139">
        <v>2.402536</v>
      </c>
      <c r="BS139">
        <v>2.4703400000000002</v>
      </c>
      <c r="BT139">
        <v>1.588687</v>
      </c>
      <c r="BU139">
        <v>1.0025649999999999</v>
      </c>
      <c r="BV139">
        <v>0.196411</v>
      </c>
      <c r="BW139">
        <v>-2.4478E-2</v>
      </c>
      <c r="BX139">
        <v>0.219809</v>
      </c>
      <c r="BY139">
        <v>0.22659799999999999</v>
      </c>
      <c r="BZ139">
        <v>88.437438999999998</v>
      </c>
      <c r="CA139">
        <v>3.5199999999999999E-4</v>
      </c>
      <c r="CB139">
        <v>2.3486280000000002</v>
      </c>
      <c r="CC139">
        <v>-5.1E-5</v>
      </c>
      <c r="CD139">
        <v>1</v>
      </c>
      <c r="CE139">
        <v>2.4109430000000001</v>
      </c>
      <c r="CF139">
        <v>-5.7000000000000003E-5</v>
      </c>
      <c r="CG139">
        <v>1</v>
      </c>
      <c r="CH139">
        <v>0.60051900000000002</v>
      </c>
      <c r="CI139">
        <v>0.60216099999999995</v>
      </c>
      <c r="CJ139">
        <v>0.107265</v>
      </c>
      <c r="CK139">
        <v>0</v>
      </c>
      <c r="CL139" t="s">
        <v>1500</v>
      </c>
      <c r="CM139" t="s">
        <v>201</v>
      </c>
      <c r="CN139" t="s">
        <v>202</v>
      </c>
      <c r="CO139" t="s">
        <v>203</v>
      </c>
      <c r="CP139" t="s">
        <v>204</v>
      </c>
      <c r="CQ139" t="s">
        <v>205</v>
      </c>
      <c r="CR139" t="s">
        <v>206</v>
      </c>
    </row>
    <row r="140" spans="1:96">
      <c r="A140">
        <v>12</v>
      </c>
      <c r="B140" s="3">
        <v>0.77143518518518517</v>
      </c>
      <c r="C140" s="1">
        <v>45176</v>
      </c>
      <c r="D140" t="s">
        <v>196</v>
      </c>
      <c r="E140" t="s">
        <v>197</v>
      </c>
      <c r="G140">
        <v>12</v>
      </c>
      <c r="J140">
        <v>3.4270000000000002E-2</v>
      </c>
      <c r="K140">
        <v>2.9195440000000001</v>
      </c>
      <c r="L140">
        <v>3.3873E-2</v>
      </c>
      <c r="M140">
        <v>1.1866460000000001</v>
      </c>
      <c r="N140">
        <v>1.8817090000000001</v>
      </c>
      <c r="O140">
        <v>1.8504480000000001</v>
      </c>
      <c r="P140">
        <v>5.0934039999999996</v>
      </c>
      <c r="Q140">
        <v>3.2116959999999999</v>
      </c>
      <c r="R140">
        <v>19.444673999999999</v>
      </c>
      <c r="S140">
        <v>19.773168999999999</v>
      </c>
      <c r="T140">
        <v>53.521965000000002</v>
      </c>
      <c r="U140">
        <v>0.44178600000000001</v>
      </c>
      <c r="V140" t="s">
        <v>1501</v>
      </c>
      <c r="W140">
        <v>0</v>
      </c>
      <c r="X140">
        <v>0</v>
      </c>
      <c r="Y140">
        <v>0</v>
      </c>
      <c r="Z140">
        <v>105.380775</v>
      </c>
      <c r="AA140">
        <v>210.11451700000001</v>
      </c>
      <c r="AB140">
        <v>0.49846000000000001</v>
      </c>
      <c r="AC140">
        <v>0.5</v>
      </c>
      <c r="AD140">
        <v>0.8</v>
      </c>
      <c r="AE140">
        <v>156.716339</v>
      </c>
      <c r="AF140">
        <v>36.64</v>
      </c>
      <c r="AG140">
        <v>36.03</v>
      </c>
      <c r="AH140">
        <v>33.29</v>
      </c>
      <c r="AI140">
        <v>33.14</v>
      </c>
      <c r="AJ140">
        <v>95.16</v>
      </c>
      <c r="AK140">
        <v>156.4</v>
      </c>
      <c r="AL140">
        <v>157.1</v>
      </c>
      <c r="AM140">
        <v>-0.4</v>
      </c>
      <c r="AN140">
        <v>786</v>
      </c>
      <c r="AO140">
        <v>3.8140000000000001</v>
      </c>
      <c r="AP140" s="3">
        <v>0.77108796296296289</v>
      </c>
      <c r="AQ140" s="1">
        <v>45176</v>
      </c>
      <c r="AR140">
        <v>-0.55000000000000004</v>
      </c>
      <c r="AS140">
        <v>0</v>
      </c>
      <c r="AT140">
        <v>1E-3</v>
      </c>
      <c r="AU140">
        <v>-9999</v>
      </c>
      <c r="AV140">
        <v>0.89</v>
      </c>
      <c r="AW140">
        <v>0.69199999999999995</v>
      </c>
      <c r="AX140">
        <v>-9999</v>
      </c>
      <c r="AY140">
        <v>1</v>
      </c>
      <c r="AZ140">
        <v>150</v>
      </c>
      <c r="BA140">
        <v>5.0000000000000001E-3</v>
      </c>
      <c r="BB140">
        <v>2</v>
      </c>
      <c r="BC140">
        <v>0</v>
      </c>
      <c r="BD140" t="s">
        <v>200</v>
      </c>
      <c r="BE140">
        <v>7000</v>
      </c>
      <c r="BF140">
        <v>500</v>
      </c>
      <c r="BG140">
        <v>5</v>
      </c>
      <c r="BH140">
        <v>2</v>
      </c>
      <c r="BI140">
        <v>300</v>
      </c>
      <c r="BJ140">
        <v>300</v>
      </c>
      <c r="BK140">
        <v>300</v>
      </c>
      <c r="BL140">
        <v>192.717072</v>
      </c>
      <c r="BM140">
        <v>25</v>
      </c>
      <c r="BN140">
        <v>-11.961703</v>
      </c>
      <c r="BO140">
        <v>189.763779</v>
      </c>
      <c r="BP140">
        <v>192.95774800000001</v>
      </c>
      <c r="BQ140">
        <v>-3.1939700000000002</v>
      </c>
      <c r="BR140">
        <v>2.4024359999999998</v>
      </c>
      <c r="BS140">
        <v>2.4703409999999999</v>
      </c>
      <c r="BT140">
        <v>1.588646</v>
      </c>
      <c r="BU140">
        <v>1.001063</v>
      </c>
      <c r="BV140">
        <v>0.19652500000000001</v>
      </c>
      <c r="BW140">
        <v>-2.2169999999999998E-3</v>
      </c>
      <c r="BX140">
        <v>0.22078999999999999</v>
      </c>
      <c r="BY140">
        <v>0.80435400000000001</v>
      </c>
      <c r="BZ140">
        <v>105.380775</v>
      </c>
      <c r="CA140">
        <v>3.4400000000000001E-4</v>
      </c>
      <c r="CB140">
        <v>2.3486280000000002</v>
      </c>
      <c r="CC140">
        <v>-5.1E-5</v>
      </c>
      <c r="CD140">
        <v>1</v>
      </c>
      <c r="CE140">
        <v>2.4109430000000001</v>
      </c>
      <c r="CF140">
        <v>-5.7000000000000003E-5</v>
      </c>
      <c r="CG140">
        <v>1</v>
      </c>
      <c r="CH140">
        <v>0.60051900000000002</v>
      </c>
      <c r="CI140">
        <v>0.60216099999999995</v>
      </c>
      <c r="CJ140">
        <v>0.107265</v>
      </c>
      <c r="CK140">
        <v>0</v>
      </c>
      <c r="CL140" t="s">
        <v>1501</v>
      </c>
      <c r="CM140" t="s">
        <v>201</v>
      </c>
      <c r="CN140" t="s">
        <v>202</v>
      </c>
      <c r="CO140" t="s">
        <v>203</v>
      </c>
      <c r="CP140" t="s">
        <v>204</v>
      </c>
      <c r="CQ140" t="s">
        <v>205</v>
      </c>
      <c r="CR140" t="s">
        <v>206</v>
      </c>
    </row>
    <row r="141" spans="1:96">
      <c r="A141">
        <v>13</v>
      </c>
      <c r="B141" s="3">
        <v>0.771550925925926</v>
      </c>
      <c r="C141" s="1">
        <v>45176</v>
      </c>
      <c r="D141" t="s">
        <v>196</v>
      </c>
      <c r="E141" t="s">
        <v>197</v>
      </c>
      <c r="G141">
        <v>13</v>
      </c>
      <c r="J141">
        <v>3.4020000000000002E-2</v>
      </c>
      <c r="K141">
        <v>2.9188499999999999</v>
      </c>
      <c r="L141">
        <v>3.3627999999999998E-2</v>
      </c>
      <c r="M141">
        <v>0.96188499999999999</v>
      </c>
      <c r="N141">
        <v>1.907473</v>
      </c>
      <c r="O141">
        <v>1.882125</v>
      </c>
      <c r="P141">
        <v>4.5374530000000002</v>
      </c>
      <c r="Q141">
        <v>2.6299800000000002</v>
      </c>
      <c r="R141">
        <v>19.777080999999999</v>
      </c>
      <c r="S141">
        <v>20.043427000000001</v>
      </c>
      <c r="T141">
        <v>47.678848000000002</v>
      </c>
      <c r="U141">
        <v>0.44178600000000001</v>
      </c>
      <c r="V141" t="s">
        <v>1502</v>
      </c>
      <c r="W141">
        <v>0</v>
      </c>
      <c r="X141">
        <v>0</v>
      </c>
      <c r="Y141">
        <v>0</v>
      </c>
      <c r="Z141">
        <v>89.496375999999998</v>
      </c>
      <c r="AA141">
        <v>341.92919899999998</v>
      </c>
      <c r="AB141">
        <v>0.73826099999999995</v>
      </c>
      <c r="AC141">
        <v>0.5</v>
      </c>
      <c r="AD141">
        <v>0.8</v>
      </c>
      <c r="AE141">
        <v>33.371651</v>
      </c>
      <c r="AF141">
        <v>37.17</v>
      </c>
      <c r="AG141">
        <v>36.68</v>
      </c>
      <c r="AH141">
        <v>33.28</v>
      </c>
      <c r="AI141">
        <v>31.1</v>
      </c>
      <c r="AJ141">
        <v>95.17</v>
      </c>
      <c r="AK141">
        <v>156.30000000000001</v>
      </c>
      <c r="AL141">
        <v>157.6</v>
      </c>
      <c r="AM141">
        <v>-0.8</v>
      </c>
      <c r="AN141">
        <v>113</v>
      </c>
      <c r="AO141">
        <v>3.8130000000000002</v>
      </c>
      <c r="AP141" s="3">
        <v>0.77108796296296289</v>
      </c>
      <c r="AQ141" s="1">
        <v>45176</v>
      </c>
      <c r="AR141">
        <v>-0.55000000000000004</v>
      </c>
      <c r="AS141">
        <v>0</v>
      </c>
      <c r="AT141">
        <v>1E-3</v>
      </c>
      <c r="AU141">
        <v>-9999</v>
      </c>
      <c r="AV141">
        <v>4.2999999999999997E-2</v>
      </c>
      <c r="AW141">
        <v>0.80300000000000005</v>
      </c>
      <c r="AX141">
        <v>-9999</v>
      </c>
      <c r="AY141">
        <v>1</v>
      </c>
      <c r="AZ141">
        <v>150</v>
      </c>
      <c r="BA141">
        <v>5.0000000000000001E-3</v>
      </c>
      <c r="BB141">
        <v>2</v>
      </c>
      <c r="BC141">
        <v>0</v>
      </c>
      <c r="BD141" t="s">
        <v>200</v>
      </c>
      <c r="BE141">
        <v>7000</v>
      </c>
      <c r="BF141">
        <v>500</v>
      </c>
      <c r="BG141">
        <v>5</v>
      </c>
      <c r="BH141">
        <v>2</v>
      </c>
      <c r="BI141">
        <v>300</v>
      </c>
      <c r="BJ141">
        <v>300</v>
      </c>
      <c r="BK141">
        <v>300</v>
      </c>
      <c r="BL141">
        <v>323.47799700000002</v>
      </c>
      <c r="BM141">
        <v>25</v>
      </c>
      <c r="BN141">
        <v>-12.973597</v>
      </c>
      <c r="BO141">
        <v>322.36648600000001</v>
      </c>
      <c r="BP141">
        <v>323.32107500000001</v>
      </c>
      <c r="BQ141">
        <v>-0.95459000000000005</v>
      </c>
      <c r="BR141">
        <v>2.403286</v>
      </c>
      <c r="BS141">
        <v>2.4710899999999998</v>
      </c>
      <c r="BT141">
        <v>1.5879749999999999</v>
      </c>
      <c r="BU141">
        <v>1.0027140000000001</v>
      </c>
      <c r="BV141">
        <v>0.19664200000000001</v>
      </c>
      <c r="BW141">
        <v>-2.8087000000000001E-2</v>
      </c>
      <c r="BX141">
        <v>0.221609</v>
      </c>
      <c r="BY141">
        <v>0.20748900000000001</v>
      </c>
      <c r="BZ141">
        <v>89.496375999999998</v>
      </c>
      <c r="CA141">
        <v>3.4900000000000003E-4</v>
      </c>
      <c r="CB141">
        <v>2.3486280000000002</v>
      </c>
      <c r="CC141">
        <v>-5.1E-5</v>
      </c>
      <c r="CD141">
        <v>1</v>
      </c>
      <c r="CE141">
        <v>2.4109430000000001</v>
      </c>
      <c r="CF141">
        <v>-5.7000000000000003E-5</v>
      </c>
      <c r="CG141">
        <v>1</v>
      </c>
      <c r="CH141">
        <v>0.60051900000000002</v>
      </c>
      <c r="CI141">
        <v>0.60216099999999995</v>
      </c>
      <c r="CJ141">
        <v>0.107265</v>
      </c>
      <c r="CK141">
        <v>0</v>
      </c>
      <c r="CL141" t="s">
        <v>1502</v>
      </c>
      <c r="CM141" t="s">
        <v>201</v>
      </c>
      <c r="CN141" t="s">
        <v>202</v>
      </c>
      <c r="CO141" t="s">
        <v>203</v>
      </c>
      <c r="CP141" t="s">
        <v>204</v>
      </c>
      <c r="CQ141" t="s">
        <v>205</v>
      </c>
      <c r="CR141" t="s">
        <v>206</v>
      </c>
    </row>
    <row r="142" spans="1:96">
      <c r="A142">
        <v>14</v>
      </c>
      <c r="B142" s="3">
        <v>0.77305555555555561</v>
      </c>
      <c r="C142" s="1">
        <v>45176</v>
      </c>
      <c r="D142" t="s">
        <v>196</v>
      </c>
      <c r="E142" t="s">
        <v>197</v>
      </c>
      <c r="G142">
        <v>14</v>
      </c>
      <c r="J142">
        <v>3.2815999999999998E-2</v>
      </c>
      <c r="K142">
        <v>2.9192339999999999</v>
      </c>
      <c r="L142">
        <v>3.2451000000000001E-2</v>
      </c>
      <c r="M142">
        <v>1.2451080000000001</v>
      </c>
      <c r="N142">
        <v>1.891945</v>
      </c>
      <c r="O142">
        <v>1.8591279999999999</v>
      </c>
      <c r="P142">
        <v>5.4045139999999998</v>
      </c>
      <c r="Q142">
        <v>3.5125690000000001</v>
      </c>
      <c r="R142">
        <v>19.529326999999999</v>
      </c>
      <c r="S142">
        <v>19.874056</v>
      </c>
      <c r="T142">
        <v>56.772049000000003</v>
      </c>
      <c r="U142">
        <v>0.44178600000000001</v>
      </c>
      <c r="V142" t="s">
        <v>1503</v>
      </c>
      <c r="W142">
        <v>0</v>
      </c>
      <c r="X142">
        <v>0</v>
      </c>
      <c r="Y142">
        <v>0</v>
      </c>
      <c r="Z142">
        <v>104.56538399999999</v>
      </c>
      <c r="AA142">
        <v>204.05600000000001</v>
      </c>
      <c r="AB142">
        <v>0.48756500000000003</v>
      </c>
      <c r="AC142">
        <v>0.5</v>
      </c>
      <c r="AD142">
        <v>0.8</v>
      </c>
      <c r="AE142">
        <v>197.61599699999999</v>
      </c>
      <c r="AF142">
        <v>37.26</v>
      </c>
      <c r="AG142">
        <v>36.61</v>
      </c>
      <c r="AH142">
        <v>33.090000000000003</v>
      </c>
      <c r="AI142">
        <v>34.21</v>
      </c>
      <c r="AJ142">
        <v>95.2</v>
      </c>
      <c r="AK142">
        <v>156.4</v>
      </c>
      <c r="AL142">
        <v>157.5</v>
      </c>
      <c r="AM142">
        <v>-0.7</v>
      </c>
      <c r="AN142">
        <v>1013</v>
      </c>
      <c r="AO142">
        <v>3.8130000000000002</v>
      </c>
      <c r="AP142" s="3">
        <v>0.77108796296296289</v>
      </c>
      <c r="AQ142" s="1">
        <v>45176</v>
      </c>
      <c r="AR142">
        <v>-0.55000000000000004</v>
      </c>
      <c r="AS142">
        <v>0</v>
      </c>
      <c r="AT142">
        <v>1E-3</v>
      </c>
      <c r="AU142">
        <v>-9999</v>
      </c>
      <c r="AV142">
        <v>1.881</v>
      </c>
      <c r="AW142">
        <v>3.4140000000000001</v>
      </c>
      <c r="AX142">
        <v>-9999</v>
      </c>
      <c r="AY142">
        <v>1</v>
      </c>
      <c r="AZ142">
        <v>150</v>
      </c>
      <c r="BA142">
        <v>5.0000000000000001E-3</v>
      </c>
      <c r="BB142">
        <v>2</v>
      </c>
      <c r="BC142">
        <v>0</v>
      </c>
      <c r="BD142" t="s">
        <v>200</v>
      </c>
      <c r="BE142">
        <v>7000</v>
      </c>
      <c r="BF142">
        <v>500</v>
      </c>
      <c r="BG142">
        <v>5</v>
      </c>
      <c r="BH142">
        <v>2</v>
      </c>
      <c r="BI142">
        <v>300</v>
      </c>
      <c r="BJ142">
        <v>300</v>
      </c>
      <c r="BK142">
        <v>300</v>
      </c>
      <c r="BL142">
        <v>179.74627699999999</v>
      </c>
      <c r="BM142">
        <v>25</v>
      </c>
      <c r="BN142">
        <v>-18.159776999999998</v>
      </c>
      <c r="BO142">
        <v>171.83840900000001</v>
      </c>
      <c r="BP142">
        <v>178.00929300000001</v>
      </c>
      <c r="BQ142">
        <v>-6.1708829999999999</v>
      </c>
      <c r="BR142">
        <v>2.4032360000000001</v>
      </c>
      <c r="BS142">
        <v>2.4712499999999999</v>
      </c>
      <c r="BT142">
        <v>1.588346</v>
      </c>
      <c r="BU142">
        <v>1.0021610000000001</v>
      </c>
      <c r="BV142">
        <v>0.19808899999999999</v>
      </c>
      <c r="BW142">
        <v>1.4160000000000001E-2</v>
      </c>
      <c r="BX142">
        <v>0.233908</v>
      </c>
      <c r="BY142">
        <v>1.005922</v>
      </c>
      <c r="BZ142">
        <v>104.56538399999999</v>
      </c>
      <c r="CA142">
        <v>3.4900000000000003E-4</v>
      </c>
      <c r="CB142">
        <v>2.3486280000000002</v>
      </c>
      <c r="CC142">
        <v>-5.1E-5</v>
      </c>
      <c r="CD142">
        <v>1</v>
      </c>
      <c r="CE142">
        <v>2.4109430000000001</v>
      </c>
      <c r="CF142">
        <v>-5.7000000000000003E-5</v>
      </c>
      <c r="CG142">
        <v>1</v>
      </c>
      <c r="CH142">
        <v>0.60051900000000002</v>
      </c>
      <c r="CI142">
        <v>0.60216099999999995</v>
      </c>
      <c r="CJ142">
        <v>0.107265</v>
      </c>
      <c r="CK142">
        <v>0</v>
      </c>
      <c r="CL142" t="s">
        <v>1503</v>
      </c>
      <c r="CM142" t="s">
        <v>201</v>
      </c>
      <c r="CN142" t="s">
        <v>202</v>
      </c>
      <c r="CO142" t="s">
        <v>203</v>
      </c>
      <c r="CP142" t="s">
        <v>204</v>
      </c>
      <c r="CQ142" t="s">
        <v>205</v>
      </c>
      <c r="CR142" t="s">
        <v>206</v>
      </c>
    </row>
    <row r="143" spans="1:96">
      <c r="A143">
        <v>15</v>
      </c>
      <c r="B143" s="3">
        <v>0.77318287037037037</v>
      </c>
      <c r="C143" s="1">
        <v>45176</v>
      </c>
      <c r="D143" t="s">
        <v>196</v>
      </c>
      <c r="E143" t="s">
        <v>197</v>
      </c>
      <c r="G143">
        <v>15</v>
      </c>
      <c r="J143">
        <v>5.6814999999999997E-2</v>
      </c>
      <c r="K143">
        <v>2.9195850000000001</v>
      </c>
      <c r="L143">
        <v>5.5730000000000002E-2</v>
      </c>
      <c r="M143">
        <v>2.1149490000000002</v>
      </c>
      <c r="N143">
        <v>1.913476</v>
      </c>
      <c r="O143">
        <v>1.8577650000000001</v>
      </c>
      <c r="P143">
        <v>5.3874310000000003</v>
      </c>
      <c r="Q143">
        <v>3.473954</v>
      </c>
      <c r="R143">
        <v>19.516076999999999</v>
      </c>
      <c r="S143">
        <v>20.101336</v>
      </c>
      <c r="T143">
        <v>56.595714999999998</v>
      </c>
      <c r="U143">
        <v>0.44178600000000001</v>
      </c>
      <c r="V143" t="s">
        <v>1504</v>
      </c>
      <c r="W143">
        <v>0</v>
      </c>
      <c r="X143">
        <v>0</v>
      </c>
      <c r="Y143">
        <v>0</v>
      </c>
      <c r="Z143">
        <v>102.626328</v>
      </c>
      <c r="AA143">
        <v>190.13917499999999</v>
      </c>
      <c r="AB143">
        <v>0.46025700000000003</v>
      </c>
      <c r="AC143">
        <v>0.5</v>
      </c>
      <c r="AD143">
        <v>0.8</v>
      </c>
      <c r="AE143">
        <v>190.45864900000001</v>
      </c>
      <c r="AF143">
        <v>37.700000000000003</v>
      </c>
      <c r="AG143">
        <v>36.6</v>
      </c>
      <c r="AH143">
        <v>33.08</v>
      </c>
      <c r="AI143">
        <v>34.15</v>
      </c>
      <c r="AJ143">
        <v>95.19</v>
      </c>
      <c r="AK143">
        <v>156.4</v>
      </c>
      <c r="AL143">
        <v>157.4</v>
      </c>
      <c r="AM143">
        <v>-0.6</v>
      </c>
      <c r="AN143">
        <v>1035</v>
      </c>
      <c r="AO143">
        <v>3.8119999999999998</v>
      </c>
      <c r="AP143" s="3">
        <v>0.77108796296296289</v>
      </c>
      <c r="AQ143" s="1">
        <v>45176</v>
      </c>
      <c r="AR143">
        <v>-0.55000000000000004</v>
      </c>
      <c r="AS143">
        <v>-1E-3</v>
      </c>
      <c r="AT143">
        <v>1E-3</v>
      </c>
      <c r="AU143">
        <v>-9999</v>
      </c>
      <c r="AV143">
        <v>-0.501</v>
      </c>
      <c r="AW143">
        <v>-1.5960000000000001</v>
      </c>
      <c r="AX143">
        <v>-9999</v>
      </c>
      <c r="AY143">
        <v>1</v>
      </c>
      <c r="AZ143">
        <v>150</v>
      </c>
      <c r="BA143">
        <v>5.0000000000000001E-3</v>
      </c>
      <c r="BB143">
        <v>2</v>
      </c>
      <c r="BC143">
        <v>0</v>
      </c>
      <c r="BD143" t="s">
        <v>200</v>
      </c>
      <c r="BE143">
        <v>7000</v>
      </c>
      <c r="BF143">
        <v>500</v>
      </c>
      <c r="BG143">
        <v>5</v>
      </c>
      <c r="BH143">
        <v>2</v>
      </c>
      <c r="BI143">
        <v>300</v>
      </c>
      <c r="BJ143">
        <v>300</v>
      </c>
      <c r="BK143">
        <v>300</v>
      </c>
      <c r="BL143">
        <v>174.87681599999999</v>
      </c>
      <c r="BM143">
        <v>25</v>
      </c>
      <c r="BN143">
        <v>-10.859301</v>
      </c>
      <c r="BO143">
        <v>172.28686500000001</v>
      </c>
      <c r="BP143">
        <v>174.56359900000001</v>
      </c>
      <c r="BQ143">
        <v>-2.2767330000000001</v>
      </c>
      <c r="BR143">
        <v>2.4032249999999999</v>
      </c>
      <c r="BS143">
        <v>2.4718689999999999</v>
      </c>
      <c r="BT143">
        <v>1.588686</v>
      </c>
      <c r="BU143">
        <v>1.001995</v>
      </c>
      <c r="BV143">
        <v>0.198156</v>
      </c>
      <c r="BW143">
        <v>1.353E-2</v>
      </c>
      <c r="BX143">
        <v>0.23485200000000001</v>
      </c>
      <c r="BY143">
        <v>1.0247630000000001</v>
      </c>
      <c r="BZ143">
        <v>102.626328</v>
      </c>
      <c r="CA143">
        <v>3.4900000000000003E-4</v>
      </c>
      <c r="CB143">
        <v>2.3486280000000002</v>
      </c>
      <c r="CC143">
        <v>-5.1E-5</v>
      </c>
      <c r="CD143">
        <v>1</v>
      </c>
      <c r="CE143">
        <v>2.4109430000000001</v>
      </c>
      <c r="CF143">
        <v>-5.7000000000000003E-5</v>
      </c>
      <c r="CG143">
        <v>1</v>
      </c>
      <c r="CH143">
        <v>0.60051900000000002</v>
      </c>
      <c r="CI143">
        <v>0.60216099999999995</v>
      </c>
      <c r="CJ143">
        <v>0.107265</v>
      </c>
      <c r="CK143">
        <v>0</v>
      </c>
      <c r="CL143" t="s">
        <v>1504</v>
      </c>
      <c r="CM143" t="s">
        <v>201</v>
      </c>
      <c r="CN143" t="s">
        <v>202</v>
      </c>
      <c r="CO143" t="s">
        <v>203</v>
      </c>
      <c r="CP143" t="s">
        <v>204</v>
      </c>
      <c r="CQ143" t="s">
        <v>205</v>
      </c>
      <c r="CR143" t="s">
        <v>206</v>
      </c>
    </row>
    <row r="144" spans="1:96">
      <c r="A144">
        <v>16</v>
      </c>
      <c r="B144" s="3">
        <v>0.77337962962962958</v>
      </c>
      <c r="C144" s="1">
        <v>45176</v>
      </c>
      <c r="D144" t="s">
        <v>196</v>
      </c>
      <c r="E144" t="s">
        <v>197</v>
      </c>
      <c r="G144">
        <v>16</v>
      </c>
      <c r="J144">
        <v>4.4125999999999999E-2</v>
      </c>
      <c r="K144">
        <v>2.9198240000000002</v>
      </c>
      <c r="L144">
        <v>4.3469000000000001E-2</v>
      </c>
      <c r="M144">
        <v>1.432029</v>
      </c>
      <c r="N144">
        <v>1.8681669999999999</v>
      </c>
      <c r="O144">
        <v>1.8304309999999999</v>
      </c>
      <c r="P144">
        <v>4.8929159999999996</v>
      </c>
      <c r="Q144">
        <v>3.0247489999999999</v>
      </c>
      <c r="R144">
        <v>19.227824999999999</v>
      </c>
      <c r="S144">
        <v>19.624220000000001</v>
      </c>
      <c r="T144">
        <v>51.397799999999997</v>
      </c>
      <c r="U144">
        <v>0.44178600000000001</v>
      </c>
      <c r="V144" t="s">
        <v>1505</v>
      </c>
      <c r="W144">
        <v>0</v>
      </c>
      <c r="X144">
        <v>0</v>
      </c>
      <c r="Y144">
        <v>0</v>
      </c>
      <c r="Z144">
        <v>83.551529000000002</v>
      </c>
      <c r="AA144">
        <v>229.529526</v>
      </c>
      <c r="AB144">
        <v>0.635988</v>
      </c>
      <c r="AC144">
        <v>0.5</v>
      </c>
      <c r="AD144">
        <v>0.8</v>
      </c>
      <c r="AE144">
        <v>170.64961199999999</v>
      </c>
      <c r="AF144">
        <v>36.840000000000003</v>
      </c>
      <c r="AG144">
        <v>36.1</v>
      </c>
      <c r="AH144">
        <v>33.06</v>
      </c>
      <c r="AI144">
        <v>32.43</v>
      </c>
      <c r="AJ144">
        <v>95.2</v>
      </c>
      <c r="AK144">
        <v>156.5</v>
      </c>
      <c r="AL144">
        <v>157.9</v>
      </c>
      <c r="AM144">
        <v>-0.9</v>
      </c>
      <c r="AN144">
        <v>671</v>
      </c>
      <c r="AO144">
        <v>3.8119999999999998</v>
      </c>
      <c r="AP144" s="3">
        <v>0.77108796296296289</v>
      </c>
      <c r="AQ144" s="1">
        <v>45176</v>
      </c>
      <c r="AR144">
        <v>-0.55000000000000004</v>
      </c>
      <c r="AS144">
        <v>-1E-3</v>
      </c>
      <c r="AT144">
        <v>0</v>
      </c>
      <c r="AU144">
        <v>-9999</v>
      </c>
      <c r="AV144">
        <v>0.88700000000000001</v>
      </c>
      <c r="AW144">
        <v>1.704</v>
      </c>
      <c r="AX144">
        <v>-9999</v>
      </c>
      <c r="AY144">
        <v>1</v>
      </c>
      <c r="AZ144">
        <v>150</v>
      </c>
      <c r="BA144">
        <v>5.0000000000000001E-3</v>
      </c>
      <c r="BB144">
        <v>2</v>
      </c>
      <c r="BC144">
        <v>0</v>
      </c>
      <c r="BD144" t="s">
        <v>200</v>
      </c>
      <c r="BE144">
        <v>7000</v>
      </c>
      <c r="BF144">
        <v>500</v>
      </c>
      <c r="BG144">
        <v>5</v>
      </c>
      <c r="BH144">
        <v>2</v>
      </c>
      <c r="BI144">
        <v>300</v>
      </c>
      <c r="BJ144">
        <v>300</v>
      </c>
      <c r="BK144">
        <v>300</v>
      </c>
      <c r="BL144">
        <v>217.826492</v>
      </c>
      <c r="BM144">
        <v>25</v>
      </c>
      <c r="BN144">
        <v>-7.7729350000000004</v>
      </c>
      <c r="BO144">
        <v>220.534088</v>
      </c>
      <c r="BP144">
        <v>218.380753</v>
      </c>
      <c r="BQ144">
        <v>2.1533359999999999</v>
      </c>
      <c r="BR144">
        <v>2.402574</v>
      </c>
      <c r="BS144">
        <v>2.4706790000000001</v>
      </c>
      <c r="BT144">
        <v>1.5889180000000001</v>
      </c>
      <c r="BU144">
        <v>1.00366</v>
      </c>
      <c r="BV144">
        <v>0.198299</v>
      </c>
      <c r="BW144">
        <v>-8.4150000000000006E-3</v>
      </c>
      <c r="BX144">
        <v>0.23643600000000001</v>
      </c>
      <c r="BY144">
        <v>0.70218899999999995</v>
      </c>
      <c r="BZ144">
        <v>83.551529000000002</v>
      </c>
      <c r="CA144">
        <v>3.5199999999999999E-4</v>
      </c>
      <c r="CB144">
        <v>2.3486280000000002</v>
      </c>
      <c r="CC144">
        <v>-5.1E-5</v>
      </c>
      <c r="CD144">
        <v>1</v>
      </c>
      <c r="CE144">
        <v>2.4109430000000001</v>
      </c>
      <c r="CF144">
        <v>-5.7000000000000003E-5</v>
      </c>
      <c r="CG144">
        <v>1</v>
      </c>
      <c r="CH144">
        <v>0.60051900000000002</v>
      </c>
      <c r="CI144">
        <v>0.60216099999999995</v>
      </c>
      <c r="CJ144">
        <v>0.107265</v>
      </c>
      <c r="CK144">
        <v>0</v>
      </c>
      <c r="CL144" t="s">
        <v>1505</v>
      </c>
      <c r="CM144" t="s">
        <v>201</v>
      </c>
      <c r="CN144" t="s">
        <v>202</v>
      </c>
      <c r="CO144" t="s">
        <v>203</v>
      </c>
      <c r="CP144" t="s">
        <v>204</v>
      </c>
      <c r="CQ144" t="s">
        <v>205</v>
      </c>
      <c r="CR144" t="s">
        <v>206</v>
      </c>
    </row>
    <row r="145" spans="1:96">
      <c r="A145">
        <v>17</v>
      </c>
      <c r="B145" s="3">
        <v>0.77347222222222223</v>
      </c>
      <c r="C145" s="1">
        <v>45176</v>
      </c>
      <c r="D145" t="s">
        <v>196</v>
      </c>
      <c r="E145" t="s">
        <v>197</v>
      </c>
      <c r="G145">
        <v>17</v>
      </c>
      <c r="J145">
        <v>3.4431999999999997E-2</v>
      </c>
      <c r="K145">
        <v>2.9185699999999999</v>
      </c>
      <c r="L145">
        <v>3.4029999999999998E-2</v>
      </c>
      <c r="M145">
        <v>0.97916400000000003</v>
      </c>
      <c r="N145">
        <v>1.847008</v>
      </c>
      <c r="O145">
        <v>1.821177</v>
      </c>
      <c r="P145">
        <v>4.4946770000000003</v>
      </c>
      <c r="Q145">
        <v>2.6476690000000001</v>
      </c>
      <c r="R145">
        <v>19.132169999999999</v>
      </c>
      <c r="S145">
        <v>19.403538000000001</v>
      </c>
      <c r="T145">
        <v>47.218327000000002</v>
      </c>
      <c r="U145">
        <v>0.44178600000000001</v>
      </c>
      <c r="V145" t="s">
        <v>1506</v>
      </c>
      <c r="W145">
        <v>0</v>
      </c>
      <c r="X145">
        <v>0</v>
      </c>
      <c r="Y145">
        <v>0</v>
      </c>
      <c r="Z145">
        <v>83.711746000000005</v>
      </c>
      <c r="AA145">
        <v>294.28375199999999</v>
      </c>
      <c r="AB145">
        <v>0.71554099999999998</v>
      </c>
      <c r="AC145">
        <v>0.5</v>
      </c>
      <c r="AD145">
        <v>0.8</v>
      </c>
      <c r="AE145">
        <v>31.166951999999998</v>
      </c>
      <c r="AF145">
        <v>36.46</v>
      </c>
      <c r="AG145">
        <v>35.950000000000003</v>
      </c>
      <c r="AH145">
        <v>33.049999999999997</v>
      </c>
      <c r="AI145">
        <v>30.93</v>
      </c>
      <c r="AJ145">
        <v>95.19</v>
      </c>
      <c r="AK145">
        <v>156.30000000000001</v>
      </c>
      <c r="AL145">
        <v>157.6</v>
      </c>
      <c r="AM145">
        <v>-0.8</v>
      </c>
      <c r="AN145">
        <v>109</v>
      </c>
      <c r="AO145">
        <v>3.8039999999999998</v>
      </c>
      <c r="AP145" s="3">
        <v>0.77108796296296289</v>
      </c>
      <c r="AQ145" s="1">
        <v>45176</v>
      </c>
      <c r="AR145">
        <v>-0.55000000000000004</v>
      </c>
      <c r="AS145">
        <v>0</v>
      </c>
      <c r="AT145">
        <v>2E-3</v>
      </c>
      <c r="AU145">
        <v>-9999</v>
      </c>
      <c r="AV145">
        <v>0.45800000000000002</v>
      </c>
      <c r="AW145">
        <v>0.27100000000000002</v>
      </c>
      <c r="AX145">
        <v>-9999</v>
      </c>
      <c r="AY145">
        <v>1</v>
      </c>
      <c r="AZ145">
        <v>150</v>
      </c>
      <c r="BA145">
        <v>5.0000000000000001E-3</v>
      </c>
      <c r="BB145">
        <v>2</v>
      </c>
      <c r="BC145">
        <v>0</v>
      </c>
      <c r="BD145" t="s">
        <v>200</v>
      </c>
      <c r="BE145">
        <v>7000</v>
      </c>
      <c r="BF145">
        <v>500</v>
      </c>
      <c r="BG145">
        <v>5</v>
      </c>
      <c r="BH145">
        <v>2</v>
      </c>
      <c r="BI145">
        <v>300</v>
      </c>
      <c r="BJ145">
        <v>300</v>
      </c>
      <c r="BK145">
        <v>300</v>
      </c>
      <c r="BL145">
        <v>279.07669099999998</v>
      </c>
      <c r="BM145">
        <v>25</v>
      </c>
      <c r="BN145">
        <v>-10.457439000000001</v>
      </c>
      <c r="BO145">
        <v>281.91232300000001</v>
      </c>
      <c r="BP145">
        <v>279.28457600000002</v>
      </c>
      <c r="BQ145">
        <v>2.6277469999999998</v>
      </c>
      <c r="BR145">
        <v>2.4023850000000002</v>
      </c>
      <c r="BS145">
        <v>2.470148</v>
      </c>
      <c r="BT145">
        <v>1.5877049999999999</v>
      </c>
      <c r="BU145">
        <v>1.0027060000000001</v>
      </c>
      <c r="BV145">
        <v>0.198436</v>
      </c>
      <c r="BW145">
        <v>-2.7188E-2</v>
      </c>
      <c r="BX145">
        <v>0.237099</v>
      </c>
      <c r="BY145">
        <v>0.20383999999999999</v>
      </c>
      <c r="BZ145">
        <v>83.711746000000005</v>
      </c>
      <c r="CA145">
        <v>3.5199999999999999E-4</v>
      </c>
      <c r="CB145">
        <v>2.3486280000000002</v>
      </c>
      <c r="CC145">
        <v>-5.1E-5</v>
      </c>
      <c r="CD145">
        <v>1</v>
      </c>
      <c r="CE145">
        <v>2.4109430000000001</v>
      </c>
      <c r="CF145">
        <v>-5.7000000000000003E-5</v>
      </c>
      <c r="CG145">
        <v>1</v>
      </c>
      <c r="CH145">
        <v>0.60051900000000002</v>
      </c>
      <c r="CI145">
        <v>0.60216099999999995</v>
      </c>
      <c r="CJ145">
        <v>0.107265</v>
      </c>
      <c r="CK145">
        <v>0</v>
      </c>
      <c r="CL145" t="s">
        <v>1506</v>
      </c>
      <c r="CM145" t="s">
        <v>201</v>
      </c>
      <c r="CN145" t="s">
        <v>202</v>
      </c>
      <c r="CO145" t="s">
        <v>203</v>
      </c>
      <c r="CP145" t="s">
        <v>204</v>
      </c>
      <c r="CQ145" t="s">
        <v>205</v>
      </c>
      <c r="CR145" t="s">
        <v>206</v>
      </c>
    </row>
    <row r="146" spans="1:96">
      <c r="A146">
        <v>18</v>
      </c>
      <c r="B146" s="3">
        <v>0.77822916666666664</v>
      </c>
      <c r="C146" s="1">
        <v>45176</v>
      </c>
      <c r="D146" t="s">
        <v>196</v>
      </c>
      <c r="E146" t="s">
        <v>197</v>
      </c>
      <c r="G146">
        <v>18</v>
      </c>
      <c r="J146">
        <v>4.3517E-2</v>
      </c>
      <c r="K146">
        <v>2.9187919999999998</v>
      </c>
      <c r="L146">
        <v>4.2877999999999999E-2</v>
      </c>
      <c r="M146">
        <v>1.1847049999999999</v>
      </c>
      <c r="N146">
        <v>1.8698980000000001</v>
      </c>
      <c r="O146">
        <v>1.838652</v>
      </c>
      <c r="P146">
        <v>4.4136170000000003</v>
      </c>
      <c r="Q146">
        <v>2.5437189999999998</v>
      </c>
      <c r="R146">
        <v>19.312457999999999</v>
      </c>
      <c r="S146">
        <v>19.640654000000001</v>
      </c>
      <c r="T146">
        <v>46.358845000000002</v>
      </c>
      <c r="U146">
        <v>0.44178600000000001</v>
      </c>
      <c r="V146" t="s">
        <v>1507</v>
      </c>
      <c r="W146">
        <v>0</v>
      </c>
      <c r="X146">
        <v>0</v>
      </c>
      <c r="Y146">
        <v>0</v>
      </c>
      <c r="Z146">
        <v>92.354896999999994</v>
      </c>
      <c r="AA146">
        <v>321.95840500000003</v>
      </c>
      <c r="AB146">
        <v>0.71314699999999998</v>
      </c>
      <c r="AC146">
        <v>0.5</v>
      </c>
      <c r="AD146">
        <v>0.8</v>
      </c>
      <c r="AE146">
        <v>68.199607999999998</v>
      </c>
      <c r="AF146">
        <v>37.840000000000003</v>
      </c>
      <c r="AG146">
        <v>37.21</v>
      </c>
      <c r="AH146">
        <v>32.61</v>
      </c>
      <c r="AI146">
        <v>30.62</v>
      </c>
      <c r="AJ146">
        <v>95.21</v>
      </c>
      <c r="AK146">
        <v>156.30000000000001</v>
      </c>
      <c r="AL146">
        <v>157.69999999999999</v>
      </c>
      <c r="AM146">
        <v>-0.9</v>
      </c>
      <c r="AN146">
        <v>239</v>
      </c>
      <c r="AO146">
        <v>3.8029999999999999</v>
      </c>
      <c r="AP146" s="3">
        <v>0.77814814814814814</v>
      </c>
      <c r="AQ146" s="1">
        <v>45176</v>
      </c>
      <c r="AR146">
        <v>-0.51</v>
      </c>
      <c r="AS146">
        <v>2E-3</v>
      </c>
      <c r="AT146">
        <v>3.0000000000000001E-3</v>
      </c>
      <c r="AU146">
        <v>-9999</v>
      </c>
      <c r="AV146">
        <v>-1.2999999999999999E-2</v>
      </c>
      <c r="AW146">
        <v>0.14499999999999999</v>
      </c>
      <c r="AX146">
        <v>-9999</v>
      </c>
      <c r="AY146">
        <v>1</v>
      </c>
      <c r="AZ146">
        <v>150</v>
      </c>
      <c r="BA146">
        <v>5.0000000000000001E-3</v>
      </c>
      <c r="BB146">
        <v>2</v>
      </c>
      <c r="BC146">
        <v>0</v>
      </c>
      <c r="BD146" t="s">
        <v>200</v>
      </c>
      <c r="BE146">
        <v>7000</v>
      </c>
      <c r="BF146">
        <v>500</v>
      </c>
      <c r="BG146">
        <v>5</v>
      </c>
      <c r="BH146">
        <v>2</v>
      </c>
      <c r="BI146">
        <v>300</v>
      </c>
      <c r="BJ146">
        <v>300</v>
      </c>
      <c r="BK146">
        <v>300</v>
      </c>
      <c r="BL146">
        <v>295.98568699999998</v>
      </c>
      <c r="BM146">
        <v>25</v>
      </c>
      <c r="BN146">
        <v>-19.160809</v>
      </c>
      <c r="BO146">
        <v>292.94192500000003</v>
      </c>
      <c r="BP146">
        <v>294.47592200000003</v>
      </c>
      <c r="BQ146">
        <v>-1.5339970000000001</v>
      </c>
      <c r="BR146">
        <v>2.4041049999999999</v>
      </c>
      <c r="BS146">
        <v>2.4721109999999999</v>
      </c>
      <c r="BT146">
        <v>1.5879190000000001</v>
      </c>
      <c r="BU146">
        <v>1.002953</v>
      </c>
      <c r="BV146">
        <v>0.201878</v>
      </c>
      <c r="BW146">
        <v>-2.5548000000000001E-2</v>
      </c>
      <c r="BX146">
        <v>0.27331</v>
      </c>
      <c r="BY146">
        <v>0.31929999999999997</v>
      </c>
      <c r="BZ146">
        <v>92.354896999999994</v>
      </c>
      <c r="CA146">
        <v>3.4699999999999998E-4</v>
      </c>
      <c r="CB146">
        <v>2.3486280000000002</v>
      </c>
      <c r="CC146">
        <v>-5.1E-5</v>
      </c>
      <c r="CD146">
        <v>1</v>
      </c>
      <c r="CE146">
        <v>2.4109430000000001</v>
      </c>
      <c r="CF146">
        <v>-5.7000000000000003E-5</v>
      </c>
      <c r="CG146">
        <v>1</v>
      </c>
      <c r="CH146">
        <v>0.60051900000000002</v>
      </c>
      <c r="CI146">
        <v>0.60216099999999995</v>
      </c>
      <c r="CJ146">
        <v>0.107265</v>
      </c>
      <c r="CK146">
        <v>0</v>
      </c>
      <c r="CL146" t="s">
        <v>1507</v>
      </c>
      <c r="CM146" t="s">
        <v>201</v>
      </c>
      <c r="CN146" t="s">
        <v>202</v>
      </c>
      <c r="CO146" t="s">
        <v>203</v>
      </c>
      <c r="CP146" t="s">
        <v>204</v>
      </c>
      <c r="CQ146" t="s">
        <v>205</v>
      </c>
      <c r="CR146" t="s">
        <v>206</v>
      </c>
    </row>
    <row r="147" spans="1:96">
      <c r="A147">
        <v>19</v>
      </c>
      <c r="B147" s="3">
        <v>0.77834490740740747</v>
      </c>
      <c r="C147" s="1">
        <v>45176</v>
      </c>
      <c r="D147" t="s">
        <v>196</v>
      </c>
      <c r="E147" t="s">
        <v>197</v>
      </c>
      <c r="G147">
        <v>19</v>
      </c>
      <c r="J147">
        <v>2.2734000000000001E-2</v>
      </c>
      <c r="K147">
        <v>2.9191419999999999</v>
      </c>
      <c r="L147">
        <v>2.2558000000000002E-2</v>
      </c>
      <c r="M147">
        <v>0.59277599999999997</v>
      </c>
      <c r="N147">
        <v>1.849761</v>
      </c>
      <c r="O147">
        <v>1.8341289999999999</v>
      </c>
      <c r="P147">
        <v>4.270975</v>
      </c>
      <c r="Q147">
        <v>2.421214</v>
      </c>
      <c r="R147">
        <v>19.266058000000001</v>
      </c>
      <c r="S147">
        <v>19.430264000000001</v>
      </c>
      <c r="T147">
        <v>44.863177999999998</v>
      </c>
      <c r="U147">
        <v>0.44178600000000001</v>
      </c>
      <c r="V147" t="s">
        <v>1508</v>
      </c>
      <c r="W147">
        <v>0</v>
      </c>
      <c r="X147">
        <v>0</v>
      </c>
      <c r="Y147">
        <v>0</v>
      </c>
      <c r="Z147">
        <v>79.940558999999993</v>
      </c>
      <c r="AA147">
        <v>323.13443000000001</v>
      </c>
      <c r="AB147">
        <v>0.75260899999999997</v>
      </c>
      <c r="AC147">
        <v>0.5</v>
      </c>
      <c r="AD147">
        <v>0.8</v>
      </c>
      <c r="AE147">
        <v>59.546416999999998</v>
      </c>
      <c r="AF147">
        <v>37.46</v>
      </c>
      <c r="AG147">
        <v>37.14</v>
      </c>
      <c r="AH147">
        <v>32.6</v>
      </c>
      <c r="AI147">
        <v>30.04</v>
      </c>
      <c r="AJ147">
        <v>95.2</v>
      </c>
      <c r="AK147">
        <v>156.4</v>
      </c>
      <c r="AL147">
        <v>157.6</v>
      </c>
      <c r="AM147">
        <v>-0.8</v>
      </c>
      <c r="AN147">
        <v>198</v>
      </c>
      <c r="AO147">
        <v>3.8029999999999999</v>
      </c>
      <c r="AP147" s="3">
        <v>0.77814814814814814</v>
      </c>
      <c r="AQ147" s="1">
        <v>45176</v>
      </c>
      <c r="AR147">
        <v>-0.51</v>
      </c>
      <c r="AS147">
        <v>2E-3</v>
      </c>
      <c r="AT147">
        <v>3.0000000000000001E-3</v>
      </c>
      <c r="AU147">
        <v>-9999</v>
      </c>
      <c r="AV147">
        <v>5.2999999999999999E-2</v>
      </c>
      <c r="AW147">
        <v>0.248</v>
      </c>
      <c r="AX147">
        <v>-9999</v>
      </c>
      <c r="AY147">
        <v>1</v>
      </c>
      <c r="AZ147">
        <v>150</v>
      </c>
      <c r="BA147">
        <v>5.0000000000000001E-3</v>
      </c>
      <c r="BB147">
        <v>2</v>
      </c>
      <c r="BC147">
        <v>0</v>
      </c>
      <c r="BD147" t="s">
        <v>200</v>
      </c>
      <c r="BE147">
        <v>7000</v>
      </c>
      <c r="BF147">
        <v>500</v>
      </c>
      <c r="BG147">
        <v>5</v>
      </c>
      <c r="BH147">
        <v>2</v>
      </c>
      <c r="BI147">
        <v>300</v>
      </c>
      <c r="BJ147">
        <v>300</v>
      </c>
      <c r="BK147">
        <v>300</v>
      </c>
      <c r="BL147">
        <v>307.12365699999998</v>
      </c>
      <c r="BM147">
        <v>25</v>
      </c>
      <c r="BN147">
        <v>-11.092814000000001</v>
      </c>
      <c r="BO147">
        <v>309.75509599999998</v>
      </c>
      <c r="BP147">
        <v>307.223907</v>
      </c>
      <c r="BQ147">
        <v>2.5311889999999999</v>
      </c>
      <c r="BR147">
        <v>2.4040189999999999</v>
      </c>
      <c r="BS147">
        <v>2.4715780000000001</v>
      </c>
      <c r="BT147">
        <v>1.588257</v>
      </c>
      <c r="BU147">
        <v>1.0026539999999999</v>
      </c>
      <c r="BV147">
        <v>0.20196900000000001</v>
      </c>
      <c r="BW147">
        <v>-3.2578999999999997E-2</v>
      </c>
      <c r="BX147">
        <v>0.27406399999999997</v>
      </c>
      <c r="BY147">
        <v>0.28269</v>
      </c>
      <c r="BZ147">
        <v>79.940558999999993</v>
      </c>
      <c r="CA147">
        <v>3.5100000000000002E-4</v>
      </c>
      <c r="CB147">
        <v>2.3486280000000002</v>
      </c>
      <c r="CC147">
        <v>-5.1E-5</v>
      </c>
      <c r="CD147">
        <v>1</v>
      </c>
      <c r="CE147">
        <v>2.4109430000000001</v>
      </c>
      <c r="CF147">
        <v>-5.7000000000000003E-5</v>
      </c>
      <c r="CG147">
        <v>1</v>
      </c>
      <c r="CH147">
        <v>0.60051900000000002</v>
      </c>
      <c r="CI147">
        <v>0.60216099999999995</v>
      </c>
      <c r="CJ147">
        <v>0.107265</v>
      </c>
      <c r="CK147">
        <v>0</v>
      </c>
      <c r="CL147" t="s">
        <v>1508</v>
      </c>
      <c r="CM147" t="s">
        <v>201</v>
      </c>
      <c r="CN147" t="s">
        <v>202</v>
      </c>
      <c r="CO147" t="s">
        <v>203</v>
      </c>
      <c r="CP147" t="s">
        <v>204</v>
      </c>
      <c r="CQ147" t="s">
        <v>205</v>
      </c>
      <c r="CR147" t="s">
        <v>206</v>
      </c>
    </row>
    <row r="148" spans="1:96">
      <c r="A148">
        <v>20</v>
      </c>
      <c r="B148" s="3">
        <v>0.7784375</v>
      </c>
      <c r="C148" s="1">
        <v>45176</v>
      </c>
      <c r="D148" t="s">
        <v>196</v>
      </c>
      <c r="E148" t="s">
        <v>197</v>
      </c>
      <c r="G148">
        <v>20</v>
      </c>
      <c r="J148">
        <v>2.2395999999999999E-2</v>
      </c>
      <c r="K148">
        <v>2.9206080000000001</v>
      </c>
      <c r="L148">
        <v>2.2225000000000002E-2</v>
      </c>
      <c r="M148">
        <v>0.58486199999999999</v>
      </c>
      <c r="N148">
        <v>1.8492500000000001</v>
      </c>
      <c r="O148">
        <v>1.8338429999999999</v>
      </c>
      <c r="P148">
        <v>4.2740020000000003</v>
      </c>
      <c r="Q148">
        <v>2.4247519999999998</v>
      </c>
      <c r="R148">
        <v>19.262146000000001</v>
      </c>
      <c r="S148">
        <v>19.423973</v>
      </c>
      <c r="T148">
        <v>44.892859999999999</v>
      </c>
      <c r="U148">
        <v>0.44178600000000001</v>
      </c>
      <c r="V148" t="s">
        <v>1509</v>
      </c>
      <c r="W148">
        <v>0</v>
      </c>
      <c r="X148">
        <v>0</v>
      </c>
      <c r="Y148">
        <v>0</v>
      </c>
      <c r="Z148">
        <v>86.134674000000004</v>
      </c>
      <c r="AA148">
        <v>346.69735700000001</v>
      </c>
      <c r="AB148">
        <v>0.75155700000000003</v>
      </c>
      <c r="AC148">
        <v>0.5</v>
      </c>
      <c r="AD148">
        <v>0.8</v>
      </c>
      <c r="AE148">
        <v>62.270332000000003</v>
      </c>
      <c r="AF148">
        <v>37.479999999999997</v>
      </c>
      <c r="AG148">
        <v>37.17</v>
      </c>
      <c r="AH148">
        <v>32.58</v>
      </c>
      <c r="AI148">
        <v>30.06</v>
      </c>
      <c r="AJ148">
        <v>95.2</v>
      </c>
      <c r="AK148">
        <v>156.6</v>
      </c>
      <c r="AL148">
        <v>157.69999999999999</v>
      </c>
      <c r="AM148">
        <v>-0.7</v>
      </c>
      <c r="AN148">
        <v>207</v>
      </c>
      <c r="AO148">
        <v>3.802</v>
      </c>
      <c r="AP148" s="3">
        <v>0.77814814814814814</v>
      </c>
      <c r="AQ148" s="1">
        <v>45176</v>
      </c>
      <c r="AR148">
        <v>-0.51</v>
      </c>
      <c r="AS148">
        <v>1E-3</v>
      </c>
      <c r="AT148">
        <v>1E-3</v>
      </c>
      <c r="AU148">
        <v>-9999</v>
      </c>
      <c r="AV148">
        <v>3.7999999999999999E-2</v>
      </c>
      <c r="AW148">
        <v>0.25900000000000001</v>
      </c>
      <c r="AX148">
        <v>-9999</v>
      </c>
      <c r="AY148">
        <v>1</v>
      </c>
      <c r="AZ148">
        <v>150</v>
      </c>
      <c r="BA148">
        <v>5.0000000000000001E-3</v>
      </c>
      <c r="BB148">
        <v>2</v>
      </c>
      <c r="BC148">
        <v>0</v>
      </c>
      <c r="BD148" t="s">
        <v>200</v>
      </c>
      <c r="BE148">
        <v>7000</v>
      </c>
      <c r="BF148">
        <v>500</v>
      </c>
      <c r="BG148">
        <v>5</v>
      </c>
      <c r="BH148">
        <v>2</v>
      </c>
      <c r="BI148">
        <v>300</v>
      </c>
      <c r="BJ148">
        <v>300</v>
      </c>
      <c r="BK148">
        <v>300</v>
      </c>
      <c r="BL148">
        <v>334.316956</v>
      </c>
      <c r="BM148">
        <v>25</v>
      </c>
      <c r="BN148">
        <v>-8.5042500000000008</v>
      </c>
      <c r="BO148">
        <v>338.81521600000002</v>
      </c>
      <c r="BP148">
        <v>334.49963400000001</v>
      </c>
      <c r="BQ148">
        <v>4.315582</v>
      </c>
      <c r="BR148">
        <v>2.404064</v>
      </c>
      <c r="BS148">
        <v>2.4716200000000002</v>
      </c>
      <c r="BT148">
        <v>1.589677</v>
      </c>
      <c r="BU148">
        <v>1.002947</v>
      </c>
      <c r="BV148">
        <v>0.20211000000000001</v>
      </c>
      <c r="BW148">
        <v>-3.2197999999999997E-2</v>
      </c>
      <c r="BX148">
        <v>0.27460699999999999</v>
      </c>
      <c r="BY148">
        <v>0.29097099999999998</v>
      </c>
      <c r="BZ148">
        <v>86.134674000000004</v>
      </c>
      <c r="CA148">
        <v>3.5E-4</v>
      </c>
      <c r="CB148">
        <v>2.3486280000000002</v>
      </c>
      <c r="CC148">
        <v>-5.1E-5</v>
      </c>
      <c r="CD148">
        <v>1</v>
      </c>
      <c r="CE148">
        <v>2.4109430000000001</v>
      </c>
      <c r="CF148">
        <v>-5.7000000000000003E-5</v>
      </c>
      <c r="CG148">
        <v>1</v>
      </c>
      <c r="CH148">
        <v>0.60051900000000002</v>
      </c>
      <c r="CI148">
        <v>0.60216099999999995</v>
      </c>
      <c r="CJ148">
        <v>0.107265</v>
      </c>
      <c r="CK148">
        <v>0</v>
      </c>
      <c r="CL148" t="s">
        <v>1509</v>
      </c>
      <c r="CM148" t="s">
        <v>201</v>
      </c>
      <c r="CN148" t="s">
        <v>202</v>
      </c>
      <c r="CO148" t="s">
        <v>203</v>
      </c>
      <c r="CP148" t="s">
        <v>204</v>
      </c>
      <c r="CQ148" t="s">
        <v>205</v>
      </c>
      <c r="CR148" t="s">
        <v>206</v>
      </c>
    </row>
    <row r="149" spans="1:96">
      <c r="A149">
        <v>21</v>
      </c>
      <c r="B149" s="3">
        <v>0.77853009259259265</v>
      </c>
      <c r="C149" s="1">
        <v>45176</v>
      </c>
      <c r="D149" t="s">
        <v>196</v>
      </c>
      <c r="E149" t="s">
        <v>197</v>
      </c>
      <c r="G149">
        <v>21</v>
      </c>
      <c r="J149">
        <v>2.0344000000000001E-2</v>
      </c>
      <c r="K149">
        <v>2.919889</v>
      </c>
      <c r="L149">
        <v>2.0204E-2</v>
      </c>
      <c r="M149">
        <v>0.55426200000000003</v>
      </c>
      <c r="N149">
        <v>1.8391770000000001</v>
      </c>
      <c r="O149">
        <v>1.824567</v>
      </c>
      <c r="P149">
        <v>4.3656740000000003</v>
      </c>
      <c r="Q149">
        <v>2.526497</v>
      </c>
      <c r="R149">
        <v>19.166226999999999</v>
      </c>
      <c r="S149">
        <v>19.319690999999999</v>
      </c>
      <c r="T149">
        <v>45.859363999999999</v>
      </c>
      <c r="U149">
        <v>0.44178600000000001</v>
      </c>
      <c r="V149" t="s">
        <v>1510</v>
      </c>
      <c r="W149">
        <v>0</v>
      </c>
      <c r="X149">
        <v>0</v>
      </c>
      <c r="Y149">
        <v>0</v>
      </c>
      <c r="Z149">
        <v>83.320496000000006</v>
      </c>
      <c r="AA149">
        <v>332.50470000000001</v>
      </c>
      <c r="AB149">
        <v>0.74941599999999997</v>
      </c>
      <c r="AC149">
        <v>0.5</v>
      </c>
      <c r="AD149">
        <v>0.8</v>
      </c>
      <c r="AE149">
        <v>61.844287999999999</v>
      </c>
      <c r="AF149">
        <v>37.32</v>
      </c>
      <c r="AG149">
        <v>37.03</v>
      </c>
      <c r="AH149">
        <v>32.56</v>
      </c>
      <c r="AI149">
        <v>30.43</v>
      </c>
      <c r="AJ149">
        <v>95.2</v>
      </c>
      <c r="AK149">
        <v>156.5</v>
      </c>
      <c r="AL149">
        <v>158</v>
      </c>
      <c r="AM149">
        <v>-1</v>
      </c>
      <c r="AN149">
        <v>206</v>
      </c>
      <c r="AO149">
        <v>3.8010000000000002</v>
      </c>
      <c r="AP149" s="3">
        <v>0.77814814814814814</v>
      </c>
      <c r="AQ149" s="1">
        <v>45176</v>
      </c>
      <c r="AR149">
        <v>-0.51</v>
      </c>
      <c r="AS149">
        <v>1E-3</v>
      </c>
      <c r="AT149">
        <v>1E-3</v>
      </c>
      <c r="AU149">
        <v>-9999</v>
      </c>
      <c r="AV149">
        <v>0.17100000000000001</v>
      </c>
      <c r="AW149">
        <v>0.20300000000000001</v>
      </c>
      <c r="AX149">
        <v>-9999</v>
      </c>
      <c r="AY149">
        <v>1</v>
      </c>
      <c r="AZ149">
        <v>150</v>
      </c>
      <c r="BA149">
        <v>5.0000000000000001E-3</v>
      </c>
      <c r="BB149">
        <v>2</v>
      </c>
      <c r="BC149">
        <v>0</v>
      </c>
      <c r="BD149" t="s">
        <v>200</v>
      </c>
      <c r="BE149">
        <v>7000</v>
      </c>
      <c r="BF149">
        <v>500</v>
      </c>
      <c r="BG149">
        <v>5</v>
      </c>
      <c r="BH149">
        <v>2</v>
      </c>
      <c r="BI149">
        <v>300</v>
      </c>
      <c r="BJ149">
        <v>300</v>
      </c>
      <c r="BK149">
        <v>300</v>
      </c>
      <c r="BL149">
        <v>313.638214</v>
      </c>
      <c r="BM149">
        <v>25</v>
      </c>
      <c r="BN149">
        <v>-13.118411999999999</v>
      </c>
      <c r="BO149">
        <v>316.29361</v>
      </c>
      <c r="BP149">
        <v>313.688873</v>
      </c>
      <c r="BQ149">
        <v>2.6047359999999999</v>
      </c>
      <c r="BR149">
        <v>2.4038780000000002</v>
      </c>
      <c r="BS149">
        <v>2.4713980000000002</v>
      </c>
      <c r="BT149">
        <v>1.588981</v>
      </c>
      <c r="BU149">
        <v>1.0037959999999999</v>
      </c>
      <c r="BV149">
        <v>0.20227100000000001</v>
      </c>
      <c r="BW149">
        <v>-2.7306E-2</v>
      </c>
      <c r="BX149">
        <v>0.27515499999999998</v>
      </c>
      <c r="BY149">
        <v>0.29023599999999999</v>
      </c>
      <c r="BZ149">
        <v>83.320496000000006</v>
      </c>
      <c r="CA149">
        <v>3.5199999999999999E-4</v>
      </c>
      <c r="CB149">
        <v>2.3486280000000002</v>
      </c>
      <c r="CC149">
        <v>-5.1E-5</v>
      </c>
      <c r="CD149">
        <v>1</v>
      </c>
      <c r="CE149">
        <v>2.4109430000000001</v>
      </c>
      <c r="CF149">
        <v>-5.7000000000000003E-5</v>
      </c>
      <c r="CG149">
        <v>1</v>
      </c>
      <c r="CH149">
        <v>0.60051900000000002</v>
      </c>
      <c r="CI149">
        <v>0.60216099999999995</v>
      </c>
      <c r="CJ149">
        <v>0.107265</v>
      </c>
      <c r="CK149">
        <v>0</v>
      </c>
      <c r="CL149" t="s">
        <v>1510</v>
      </c>
      <c r="CM149" t="s">
        <v>201</v>
      </c>
      <c r="CN149" t="s">
        <v>202</v>
      </c>
      <c r="CO149" t="s">
        <v>203</v>
      </c>
      <c r="CP149" t="s">
        <v>204</v>
      </c>
      <c r="CQ149" t="s">
        <v>205</v>
      </c>
      <c r="CR149" t="s">
        <v>206</v>
      </c>
    </row>
    <row r="150" spans="1:96">
      <c r="A150">
        <v>22</v>
      </c>
      <c r="B150" s="3">
        <v>0.77984953703703708</v>
      </c>
      <c r="C150" s="1">
        <v>45176</v>
      </c>
      <c r="D150" t="s">
        <v>196</v>
      </c>
      <c r="E150" t="s">
        <v>197</v>
      </c>
      <c r="G150">
        <v>22</v>
      </c>
      <c r="J150">
        <v>-3.3089999999999999E-3</v>
      </c>
      <c r="K150">
        <v>2.919206</v>
      </c>
      <c r="L150">
        <v>-3.313E-3</v>
      </c>
      <c r="M150">
        <v>-9.6599000000000004E-2</v>
      </c>
      <c r="N150">
        <v>1.839121</v>
      </c>
      <c r="O150">
        <v>1.841669</v>
      </c>
      <c r="P150">
        <v>4.5227300000000001</v>
      </c>
      <c r="Q150">
        <v>2.6836090000000001</v>
      </c>
      <c r="R150">
        <v>19.342928000000001</v>
      </c>
      <c r="S150">
        <v>19.316165999999999</v>
      </c>
      <c r="T150">
        <v>47.501930000000002</v>
      </c>
      <c r="U150">
        <v>0.44178600000000001</v>
      </c>
      <c r="V150" t="s">
        <v>1511</v>
      </c>
      <c r="W150">
        <v>0</v>
      </c>
      <c r="X150">
        <v>0</v>
      </c>
      <c r="Y150">
        <v>0</v>
      </c>
      <c r="Z150">
        <v>201.72822600000001</v>
      </c>
      <c r="AA150">
        <v>366.89437900000001</v>
      </c>
      <c r="AB150">
        <v>0.45017400000000002</v>
      </c>
      <c r="AC150">
        <v>0.5</v>
      </c>
      <c r="AD150">
        <v>0.8</v>
      </c>
      <c r="AE150">
        <v>38.027565000000003</v>
      </c>
      <c r="AF150">
        <v>37.74</v>
      </c>
      <c r="AG150">
        <v>37.79</v>
      </c>
      <c r="AH150">
        <v>32.36</v>
      </c>
      <c r="AI150">
        <v>31.04</v>
      </c>
      <c r="AJ150">
        <v>95.21</v>
      </c>
      <c r="AK150">
        <v>156.4</v>
      </c>
      <c r="AL150">
        <v>157.6</v>
      </c>
      <c r="AM150">
        <v>-0.8</v>
      </c>
      <c r="AN150">
        <v>211</v>
      </c>
      <c r="AO150">
        <v>3.8</v>
      </c>
      <c r="AP150" s="3">
        <v>0.77814814814814814</v>
      </c>
      <c r="AQ150" s="1">
        <v>45176</v>
      </c>
      <c r="AR150">
        <v>-0.51</v>
      </c>
      <c r="AS150">
        <v>-1E-3</v>
      </c>
      <c r="AT150">
        <v>2E-3</v>
      </c>
      <c r="AU150">
        <v>-9999</v>
      </c>
      <c r="AV150">
        <v>-7.9720000000000004</v>
      </c>
      <c r="AW150">
        <v>2.7549999999999999</v>
      </c>
      <c r="AX150">
        <v>-9999</v>
      </c>
      <c r="AY150">
        <v>1</v>
      </c>
      <c r="AZ150">
        <v>150</v>
      </c>
      <c r="BA150">
        <v>5.0000000000000001E-3</v>
      </c>
      <c r="BB150">
        <v>2</v>
      </c>
      <c r="BC150">
        <v>0</v>
      </c>
      <c r="BD150" t="s">
        <v>200</v>
      </c>
      <c r="BE150">
        <v>7000</v>
      </c>
      <c r="BF150">
        <v>500</v>
      </c>
      <c r="BG150">
        <v>5</v>
      </c>
      <c r="BH150">
        <v>2</v>
      </c>
      <c r="BI150">
        <v>300</v>
      </c>
      <c r="BJ150">
        <v>300</v>
      </c>
      <c r="BK150">
        <v>300</v>
      </c>
      <c r="BL150">
        <v>353.51693699999998</v>
      </c>
      <c r="BM150">
        <v>25</v>
      </c>
      <c r="BN150">
        <v>-11.445800999999999</v>
      </c>
      <c r="BO150">
        <v>345.56399499999998</v>
      </c>
      <c r="BP150">
        <v>350.47757000000001</v>
      </c>
      <c r="BQ150">
        <v>-4.9135739999999997</v>
      </c>
      <c r="BR150">
        <v>2.4049100000000001</v>
      </c>
      <c r="BS150">
        <v>2.4720170000000001</v>
      </c>
      <c r="BT150">
        <v>1.588319</v>
      </c>
      <c r="BU150">
        <v>1.0027159999999999</v>
      </c>
      <c r="BV150">
        <v>0.20383200000000001</v>
      </c>
      <c r="BW150">
        <v>-1.7011999999999999E-2</v>
      </c>
      <c r="BX150">
        <v>0.28419299999999997</v>
      </c>
      <c r="BY150">
        <v>0.29455900000000002</v>
      </c>
      <c r="BZ150">
        <v>201.72822600000001</v>
      </c>
      <c r="CA150">
        <v>3.5E-4</v>
      </c>
      <c r="CB150">
        <v>2.3486280000000002</v>
      </c>
      <c r="CC150">
        <v>-5.1E-5</v>
      </c>
      <c r="CD150">
        <v>1</v>
      </c>
      <c r="CE150">
        <v>2.4109430000000001</v>
      </c>
      <c r="CF150">
        <v>-5.7000000000000003E-5</v>
      </c>
      <c r="CG150">
        <v>1</v>
      </c>
      <c r="CH150">
        <v>0.60051900000000002</v>
      </c>
      <c r="CI150">
        <v>0.60216099999999995</v>
      </c>
      <c r="CJ150">
        <v>0.107265</v>
      </c>
      <c r="CK150">
        <v>0</v>
      </c>
      <c r="CL150" t="s">
        <v>1511</v>
      </c>
      <c r="CM150" t="s">
        <v>201</v>
      </c>
      <c r="CN150" t="s">
        <v>202</v>
      </c>
      <c r="CO150" t="s">
        <v>203</v>
      </c>
      <c r="CP150" t="s">
        <v>204</v>
      </c>
      <c r="CQ150" t="s">
        <v>205</v>
      </c>
      <c r="CR150" t="s">
        <v>206</v>
      </c>
    </row>
    <row r="151" spans="1:96">
      <c r="A151">
        <v>23</v>
      </c>
      <c r="B151" s="3">
        <v>0.77997685185185184</v>
      </c>
      <c r="C151" s="1">
        <v>45176</v>
      </c>
      <c r="D151" t="s">
        <v>196</v>
      </c>
      <c r="E151" t="s">
        <v>197</v>
      </c>
      <c r="G151">
        <v>23</v>
      </c>
      <c r="J151">
        <v>4.4234999999999997E-2</v>
      </c>
      <c r="K151">
        <v>2.920452</v>
      </c>
      <c r="L151">
        <v>4.3575000000000003E-2</v>
      </c>
      <c r="M151">
        <v>1.1648270000000001</v>
      </c>
      <c r="N151">
        <v>1.855234</v>
      </c>
      <c r="O151">
        <v>1.824546</v>
      </c>
      <c r="P151">
        <v>4.3178089999999996</v>
      </c>
      <c r="Q151">
        <v>2.4625750000000002</v>
      </c>
      <c r="R151">
        <v>19.163537999999999</v>
      </c>
      <c r="S151">
        <v>19.485855000000001</v>
      </c>
      <c r="T151">
        <v>45.350726999999999</v>
      </c>
      <c r="U151">
        <v>0.44178600000000001</v>
      </c>
      <c r="V151" t="s">
        <v>1512</v>
      </c>
      <c r="W151">
        <v>0</v>
      </c>
      <c r="X151">
        <v>0</v>
      </c>
      <c r="Y151">
        <v>0</v>
      </c>
      <c r="Z151">
        <v>97.395660000000007</v>
      </c>
      <c r="AA151">
        <v>362.54608200000001</v>
      </c>
      <c r="AB151">
        <v>0.73135600000000001</v>
      </c>
      <c r="AC151">
        <v>0.5</v>
      </c>
      <c r="AD151">
        <v>0.8</v>
      </c>
      <c r="AE151">
        <v>52.703094</v>
      </c>
      <c r="AF151">
        <v>38.119999999999997</v>
      </c>
      <c r="AG151">
        <v>37.49</v>
      </c>
      <c r="AH151">
        <v>32.340000000000003</v>
      </c>
      <c r="AI151">
        <v>30.23</v>
      </c>
      <c r="AJ151">
        <v>95.21</v>
      </c>
      <c r="AK151">
        <v>156.5</v>
      </c>
      <c r="AL151">
        <v>157.9</v>
      </c>
      <c r="AM151">
        <v>-0.9</v>
      </c>
      <c r="AN151">
        <v>180</v>
      </c>
      <c r="AO151">
        <v>3.8</v>
      </c>
      <c r="AP151" s="3">
        <v>0.77814814814814814</v>
      </c>
      <c r="AQ151" s="1">
        <v>45176</v>
      </c>
      <c r="AR151">
        <v>-0.51</v>
      </c>
      <c r="AS151">
        <v>0</v>
      </c>
      <c r="AT151">
        <v>1E-3</v>
      </c>
      <c r="AU151">
        <v>-9999</v>
      </c>
      <c r="AV151">
        <v>-0.38400000000000001</v>
      </c>
      <c r="AW151">
        <v>3.3000000000000002E-2</v>
      </c>
      <c r="AX151">
        <v>-9999</v>
      </c>
      <c r="AY151">
        <v>1</v>
      </c>
      <c r="AZ151">
        <v>150</v>
      </c>
      <c r="BA151">
        <v>5.0000000000000001E-3</v>
      </c>
      <c r="BB151">
        <v>2</v>
      </c>
      <c r="BC151">
        <v>0</v>
      </c>
      <c r="BD151" t="s">
        <v>200</v>
      </c>
      <c r="BE151">
        <v>7000</v>
      </c>
      <c r="BF151">
        <v>500</v>
      </c>
      <c r="BG151">
        <v>5</v>
      </c>
      <c r="BH151">
        <v>2</v>
      </c>
      <c r="BI151">
        <v>300</v>
      </c>
      <c r="BJ151">
        <v>300</v>
      </c>
      <c r="BK151">
        <v>300</v>
      </c>
      <c r="BL151">
        <v>341.59863300000001</v>
      </c>
      <c r="BM151">
        <v>25</v>
      </c>
      <c r="BN151">
        <v>-14.718616000000001</v>
      </c>
      <c r="BO151">
        <v>342.72729500000003</v>
      </c>
      <c r="BP151">
        <v>341.43505900000002</v>
      </c>
      <c r="BQ151">
        <v>1.2922359999999999</v>
      </c>
      <c r="BR151">
        <v>2.4045230000000002</v>
      </c>
      <c r="BS151">
        <v>2.4725570000000001</v>
      </c>
      <c r="BT151">
        <v>1.589526</v>
      </c>
      <c r="BU151">
        <v>1.003647</v>
      </c>
      <c r="BV151">
        <v>0.20402600000000001</v>
      </c>
      <c r="BW151">
        <v>-2.6893E-2</v>
      </c>
      <c r="BX151">
        <v>0.28501199999999999</v>
      </c>
      <c r="BY151">
        <v>0.26704099999999997</v>
      </c>
      <c r="BZ151">
        <v>97.395660000000007</v>
      </c>
      <c r="CA151">
        <v>3.5300000000000002E-4</v>
      </c>
      <c r="CB151">
        <v>2.3486280000000002</v>
      </c>
      <c r="CC151">
        <v>-5.1E-5</v>
      </c>
      <c r="CD151">
        <v>1</v>
      </c>
      <c r="CE151">
        <v>2.4109430000000001</v>
      </c>
      <c r="CF151">
        <v>-5.7000000000000003E-5</v>
      </c>
      <c r="CG151">
        <v>1</v>
      </c>
      <c r="CH151">
        <v>0.60051900000000002</v>
      </c>
      <c r="CI151">
        <v>0.60216099999999995</v>
      </c>
      <c r="CJ151">
        <v>0.107265</v>
      </c>
      <c r="CK151">
        <v>0</v>
      </c>
      <c r="CL151" t="s">
        <v>1512</v>
      </c>
      <c r="CM151" t="s">
        <v>201</v>
      </c>
      <c r="CN151" t="s">
        <v>202</v>
      </c>
      <c r="CO151" t="s">
        <v>203</v>
      </c>
      <c r="CP151" t="s">
        <v>204</v>
      </c>
      <c r="CQ151" t="s">
        <v>205</v>
      </c>
      <c r="CR151" t="s">
        <v>206</v>
      </c>
    </row>
    <row r="152" spans="1:96">
      <c r="A152">
        <v>24</v>
      </c>
      <c r="B152" s="3">
        <v>0.78008101851851863</v>
      </c>
      <c r="C152" s="1">
        <v>45176</v>
      </c>
      <c r="D152" t="s">
        <v>196</v>
      </c>
      <c r="E152" t="s">
        <v>197</v>
      </c>
      <c r="G152">
        <v>24</v>
      </c>
      <c r="J152">
        <v>4.9766999999999999E-2</v>
      </c>
      <c r="K152">
        <v>2.9179569999999999</v>
      </c>
      <c r="L152">
        <v>4.8932999999999997E-2</v>
      </c>
      <c r="M152">
        <v>1.326047</v>
      </c>
      <c r="N152">
        <v>1.8714949999999999</v>
      </c>
      <c r="O152">
        <v>1.836497</v>
      </c>
      <c r="P152">
        <v>4.3670640000000001</v>
      </c>
      <c r="Q152">
        <v>2.4955690000000001</v>
      </c>
      <c r="R152">
        <v>19.289166999999999</v>
      </c>
      <c r="S152">
        <v>19.656755</v>
      </c>
      <c r="T152">
        <v>45.868301000000002</v>
      </c>
      <c r="U152">
        <v>0.44178600000000001</v>
      </c>
      <c r="V152" t="s">
        <v>1513</v>
      </c>
      <c r="W152">
        <v>0</v>
      </c>
      <c r="X152">
        <v>0</v>
      </c>
      <c r="Y152">
        <v>0</v>
      </c>
      <c r="Z152">
        <v>99.623322000000002</v>
      </c>
      <c r="AA152">
        <v>339.194366</v>
      </c>
      <c r="AB152">
        <v>0.70629399999999998</v>
      </c>
      <c r="AC152">
        <v>0.5</v>
      </c>
      <c r="AD152">
        <v>0.8</v>
      </c>
      <c r="AE152">
        <v>101.677307</v>
      </c>
      <c r="AF152">
        <v>38.5</v>
      </c>
      <c r="AG152">
        <v>37.78</v>
      </c>
      <c r="AH152">
        <v>32.32</v>
      </c>
      <c r="AI152">
        <v>30.43</v>
      </c>
      <c r="AJ152">
        <v>95.21</v>
      </c>
      <c r="AK152">
        <v>156.19999999999999</v>
      </c>
      <c r="AL152">
        <v>157.9</v>
      </c>
      <c r="AM152">
        <v>-1</v>
      </c>
      <c r="AN152">
        <v>360</v>
      </c>
      <c r="AO152">
        <v>3.8</v>
      </c>
      <c r="AP152" s="3">
        <v>0.77814814814814814</v>
      </c>
      <c r="AQ152" s="1">
        <v>45176</v>
      </c>
      <c r="AR152">
        <v>-0.51</v>
      </c>
      <c r="AS152">
        <v>3.0000000000000001E-3</v>
      </c>
      <c r="AT152">
        <v>2E-3</v>
      </c>
      <c r="AU152">
        <v>-9999</v>
      </c>
      <c r="AV152">
        <v>-0.86099999999999999</v>
      </c>
      <c r="AW152">
        <v>-0.19</v>
      </c>
      <c r="AX152">
        <v>-9999</v>
      </c>
      <c r="AY152">
        <v>1</v>
      </c>
      <c r="AZ152">
        <v>150</v>
      </c>
      <c r="BA152">
        <v>5.0000000000000001E-3</v>
      </c>
      <c r="BB152">
        <v>2</v>
      </c>
      <c r="BC152">
        <v>0</v>
      </c>
      <c r="BD152" t="s">
        <v>200</v>
      </c>
      <c r="BE152">
        <v>7000</v>
      </c>
      <c r="BF152">
        <v>500</v>
      </c>
      <c r="BG152">
        <v>5</v>
      </c>
      <c r="BH152">
        <v>2</v>
      </c>
      <c r="BI152">
        <v>300</v>
      </c>
      <c r="BJ152">
        <v>300</v>
      </c>
      <c r="BK152">
        <v>300</v>
      </c>
      <c r="BL152">
        <v>321.19381700000002</v>
      </c>
      <c r="BM152">
        <v>25</v>
      </c>
      <c r="BN152">
        <v>-12.426921</v>
      </c>
      <c r="BO152">
        <v>322.70907599999998</v>
      </c>
      <c r="BP152">
        <v>321.37033100000002</v>
      </c>
      <c r="BQ152">
        <v>1.3387450000000001</v>
      </c>
      <c r="BR152">
        <v>2.4049079999999998</v>
      </c>
      <c r="BS152">
        <v>2.4730940000000001</v>
      </c>
      <c r="BT152">
        <v>1.587113</v>
      </c>
      <c r="BU152">
        <v>1.003471</v>
      </c>
      <c r="BV152">
        <v>0.20420099999999999</v>
      </c>
      <c r="BW152">
        <v>-2.4133999999999999E-2</v>
      </c>
      <c r="BX152">
        <v>0.28562900000000002</v>
      </c>
      <c r="BY152">
        <v>0.42645</v>
      </c>
      <c r="BZ152">
        <v>99.623322000000002</v>
      </c>
      <c r="CA152">
        <v>3.4400000000000001E-4</v>
      </c>
      <c r="CB152">
        <v>2.3486280000000002</v>
      </c>
      <c r="CC152">
        <v>-5.1E-5</v>
      </c>
      <c r="CD152">
        <v>1</v>
      </c>
      <c r="CE152">
        <v>2.4109430000000001</v>
      </c>
      <c r="CF152">
        <v>-5.7000000000000003E-5</v>
      </c>
      <c r="CG152">
        <v>1</v>
      </c>
      <c r="CH152">
        <v>0.60051900000000002</v>
      </c>
      <c r="CI152">
        <v>0.60216099999999995</v>
      </c>
      <c r="CJ152">
        <v>0.107265</v>
      </c>
      <c r="CK152">
        <v>0</v>
      </c>
      <c r="CL152" t="s">
        <v>1513</v>
      </c>
      <c r="CM152" t="s">
        <v>201</v>
      </c>
      <c r="CN152" t="s">
        <v>202</v>
      </c>
      <c r="CO152" t="s">
        <v>203</v>
      </c>
      <c r="CP152" t="s">
        <v>204</v>
      </c>
      <c r="CQ152" t="s">
        <v>205</v>
      </c>
      <c r="CR152" t="s">
        <v>206</v>
      </c>
    </row>
    <row r="153" spans="1:96">
      <c r="A153">
        <v>25</v>
      </c>
      <c r="B153" s="3">
        <v>0.7801851851851852</v>
      </c>
      <c r="C153" s="1">
        <v>45176</v>
      </c>
      <c r="D153" t="s">
        <v>196</v>
      </c>
      <c r="E153" t="s">
        <v>197</v>
      </c>
      <c r="G153">
        <v>25</v>
      </c>
      <c r="J153">
        <v>4.4150000000000002E-2</v>
      </c>
      <c r="K153">
        <v>2.9193090000000002</v>
      </c>
      <c r="L153">
        <v>4.3492000000000003E-2</v>
      </c>
      <c r="M153">
        <v>1.2728109999999999</v>
      </c>
      <c r="N153">
        <v>1.858768</v>
      </c>
      <c r="O153">
        <v>1.8252090000000001</v>
      </c>
      <c r="P153">
        <v>4.551107</v>
      </c>
      <c r="Q153">
        <v>2.692339</v>
      </c>
      <c r="R153">
        <v>19.171807999999999</v>
      </c>
      <c r="S153">
        <v>19.524308999999999</v>
      </c>
      <c r="T153">
        <v>47.804366999999999</v>
      </c>
      <c r="U153">
        <v>0.44178600000000001</v>
      </c>
      <c r="V153" t="s">
        <v>1514</v>
      </c>
      <c r="W153">
        <v>0</v>
      </c>
      <c r="X153">
        <v>0</v>
      </c>
      <c r="Y153">
        <v>0</v>
      </c>
      <c r="Z153">
        <v>105.007408</v>
      </c>
      <c r="AA153">
        <v>265.934753</v>
      </c>
      <c r="AB153">
        <v>0.60513799999999995</v>
      </c>
      <c r="AC153">
        <v>0.5</v>
      </c>
      <c r="AD153">
        <v>0.8</v>
      </c>
      <c r="AE153">
        <v>91.886062999999993</v>
      </c>
      <c r="AF153">
        <v>38.29</v>
      </c>
      <c r="AG153">
        <v>37.6</v>
      </c>
      <c r="AH153">
        <v>32.29</v>
      </c>
      <c r="AI153">
        <v>31.15</v>
      </c>
      <c r="AJ153">
        <v>95.2</v>
      </c>
      <c r="AK153">
        <v>156.4</v>
      </c>
      <c r="AL153">
        <v>158.1</v>
      </c>
      <c r="AM153">
        <v>-1.1000000000000001</v>
      </c>
      <c r="AN153">
        <v>380</v>
      </c>
      <c r="AO153">
        <v>3.7989999999999999</v>
      </c>
      <c r="AP153" s="3">
        <v>0.77814814814814814</v>
      </c>
      <c r="AQ153" s="1">
        <v>45176</v>
      </c>
      <c r="AR153">
        <v>-0.51</v>
      </c>
      <c r="AS153">
        <v>1E-3</v>
      </c>
      <c r="AT153">
        <v>-2E-3</v>
      </c>
      <c r="AU153">
        <v>-9999</v>
      </c>
      <c r="AV153">
        <v>1.2709999999999999</v>
      </c>
      <c r="AW153">
        <v>2.8050000000000002</v>
      </c>
      <c r="AX153">
        <v>-9999</v>
      </c>
      <c r="AY153">
        <v>1</v>
      </c>
      <c r="AZ153">
        <v>150</v>
      </c>
      <c r="BA153">
        <v>5.0000000000000001E-3</v>
      </c>
      <c r="BB153">
        <v>2</v>
      </c>
      <c r="BC153">
        <v>0</v>
      </c>
      <c r="BD153" t="s">
        <v>200</v>
      </c>
      <c r="BE153">
        <v>7000</v>
      </c>
      <c r="BF153">
        <v>500</v>
      </c>
      <c r="BG153">
        <v>5</v>
      </c>
      <c r="BH153">
        <v>2</v>
      </c>
      <c r="BI153">
        <v>300</v>
      </c>
      <c r="BJ153">
        <v>300</v>
      </c>
      <c r="BK153">
        <v>300</v>
      </c>
      <c r="BL153">
        <v>246.55938699999999</v>
      </c>
      <c r="BM153">
        <v>25</v>
      </c>
      <c r="BN153">
        <v>-13.279517999999999</v>
      </c>
      <c r="BO153">
        <v>245.92459099999999</v>
      </c>
      <c r="BP153">
        <v>246.887833</v>
      </c>
      <c r="BQ153">
        <v>-0.96324200000000004</v>
      </c>
      <c r="BR153">
        <v>2.4046699999999999</v>
      </c>
      <c r="BS153">
        <v>2.4727990000000002</v>
      </c>
      <c r="BT153">
        <v>1.588419</v>
      </c>
      <c r="BU153">
        <v>1.004065</v>
      </c>
      <c r="BV153">
        <v>0.204376</v>
      </c>
      <c r="BW153">
        <v>-1.4756E-2</v>
      </c>
      <c r="BX153">
        <v>0.286242</v>
      </c>
      <c r="BY153">
        <v>0.44393100000000002</v>
      </c>
      <c r="BZ153">
        <v>105.007408</v>
      </c>
      <c r="CA153">
        <v>3.5300000000000002E-4</v>
      </c>
      <c r="CB153">
        <v>2.3486280000000002</v>
      </c>
      <c r="CC153">
        <v>-5.1E-5</v>
      </c>
      <c r="CD153">
        <v>1</v>
      </c>
      <c r="CE153">
        <v>2.4109430000000001</v>
      </c>
      <c r="CF153">
        <v>-5.7000000000000003E-5</v>
      </c>
      <c r="CG153">
        <v>1</v>
      </c>
      <c r="CH153">
        <v>0.60051900000000002</v>
      </c>
      <c r="CI153">
        <v>0.60216099999999995</v>
      </c>
      <c r="CJ153">
        <v>0.107265</v>
      </c>
      <c r="CK153">
        <v>0</v>
      </c>
      <c r="CL153" t="s">
        <v>1514</v>
      </c>
      <c r="CM153" t="s">
        <v>201</v>
      </c>
      <c r="CN153" t="s">
        <v>202</v>
      </c>
      <c r="CO153" t="s">
        <v>203</v>
      </c>
      <c r="CP153" t="s">
        <v>204</v>
      </c>
      <c r="CQ153" t="s">
        <v>205</v>
      </c>
      <c r="CR153" t="s">
        <v>206</v>
      </c>
    </row>
    <row r="154" spans="1:96">
      <c r="A154">
        <v>26</v>
      </c>
      <c r="B154" s="3">
        <v>0.78033564814814815</v>
      </c>
      <c r="C154" s="1">
        <v>45176</v>
      </c>
      <c r="D154" t="s">
        <v>196</v>
      </c>
      <c r="E154" t="s">
        <v>197</v>
      </c>
      <c r="G154">
        <v>26</v>
      </c>
      <c r="J154">
        <v>3.1415999999999999E-2</v>
      </c>
      <c r="K154">
        <v>2.9182100000000002</v>
      </c>
      <c r="L154">
        <v>3.1081000000000001E-2</v>
      </c>
      <c r="M154">
        <v>0.86966299999999996</v>
      </c>
      <c r="N154">
        <v>1.846597</v>
      </c>
      <c r="O154">
        <v>1.823644</v>
      </c>
      <c r="P154">
        <v>4.422739</v>
      </c>
      <c r="Q154">
        <v>2.5761419999999999</v>
      </c>
      <c r="R154">
        <v>19.15522</v>
      </c>
      <c r="S154">
        <v>19.396311000000001</v>
      </c>
      <c r="T154">
        <v>46.455627</v>
      </c>
      <c r="U154">
        <v>0.44178600000000001</v>
      </c>
      <c r="V154" t="s">
        <v>1515</v>
      </c>
      <c r="W154">
        <v>0</v>
      </c>
      <c r="X154">
        <v>0</v>
      </c>
      <c r="Y154">
        <v>0</v>
      </c>
      <c r="Z154">
        <v>130.56707800000001</v>
      </c>
      <c r="AA154">
        <v>334.03070100000002</v>
      </c>
      <c r="AB154">
        <v>0.60911700000000002</v>
      </c>
      <c r="AC154">
        <v>0.5</v>
      </c>
      <c r="AD154">
        <v>0.8</v>
      </c>
      <c r="AE154">
        <v>84.845078000000001</v>
      </c>
      <c r="AF154">
        <v>38.11</v>
      </c>
      <c r="AG154">
        <v>37.630000000000003</v>
      </c>
      <c r="AH154">
        <v>32.26</v>
      </c>
      <c r="AI154">
        <v>30.65</v>
      </c>
      <c r="AJ154">
        <v>95.2</v>
      </c>
      <c r="AK154">
        <v>156.30000000000001</v>
      </c>
      <c r="AL154">
        <v>157.5</v>
      </c>
      <c r="AM154">
        <v>-0.8</v>
      </c>
      <c r="AN154">
        <v>348</v>
      </c>
      <c r="AO154">
        <v>3.7919999999999998</v>
      </c>
      <c r="AP154" s="3">
        <v>0.77814814814814814</v>
      </c>
      <c r="AQ154" s="1">
        <v>45176</v>
      </c>
      <c r="AR154">
        <v>-0.51</v>
      </c>
      <c r="AS154">
        <v>1E-3</v>
      </c>
      <c r="AT154">
        <v>-1E-3</v>
      </c>
      <c r="AU154">
        <v>-9999</v>
      </c>
      <c r="AV154">
        <v>-0.25900000000000001</v>
      </c>
      <c r="AW154">
        <v>0.68</v>
      </c>
      <c r="AX154">
        <v>-9999</v>
      </c>
      <c r="AY154">
        <v>1</v>
      </c>
      <c r="AZ154">
        <v>150</v>
      </c>
      <c r="BA154">
        <v>5.0000000000000001E-3</v>
      </c>
      <c r="BB154">
        <v>2</v>
      </c>
      <c r="BC154">
        <v>0</v>
      </c>
      <c r="BD154" t="s">
        <v>200</v>
      </c>
      <c r="BE154">
        <v>7000</v>
      </c>
      <c r="BF154">
        <v>500</v>
      </c>
      <c r="BG154">
        <v>5</v>
      </c>
      <c r="BH154">
        <v>2</v>
      </c>
      <c r="BI154">
        <v>300</v>
      </c>
      <c r="BJ154">
        <v>300</v>
      </c>
      <c r="BK154">
        <v>300</v>
      </c>
      <c r="BL154">
        <v>317.43301400000001</v>
      </c>
      <c r="BM154">
        <v>25</v>
      </c>
      <c r="BN154">
        <v>-11.483814000000001</v>
      </c>
      <c r="BO154">
        <v>314.98144500000001</v>
      </c>
      <c r="BP154">
        <v>317.55938700000002</v>
      </c>
      <c r="BQ154">
        <v>-2.5779420000000002</v>
      </c>
      <c r="BR154">
        <v>2.404725</v>
      </c>
      <c r="BS154">
        <v>2.4725540000000001</v>
      </c>
      <c r="BT154">
        <v>1.5873569999999999</v>
      </c>
      <c r="BU154">
        <v>1.002318</v>
      </c>
      <c r="BV154">
        <v>0.20463799999999999</v>
      </c>
      <c r="BW154">
        <v>-2.0656000000000001E-2</v>
      </c>
      <c r="BX154">
        <v>0.28714699999999999</v>
      </c>
      <c r="BY154">
        <v>0.416103</v>
      </c>
      <c r="BZ154">
        <v>130.56707800000001</v>
      </c>
      <c r="CA154">
        <v>3.5E-4</v>
      </c>
      <c r="CB154">
        <v>2.3486280000000002</v>
      </c>
      <c r="CC154">
        <v>-5.1E-5</v>
      </c>
      <c r="CD154">
        <v>1</v>
      </c>
      <c r="CE154">
        <v>2.4109430000000001</v>
      </c>
      <c r="CF154">
        <v>-5.7000000000000003E-5</v>
      </c>
      <c r="CG154">
        <v>1</v>
      </c>
      <c r="CH154">
        <v>0.60051900000000002</v>
      </c>
      <c r="CI154">
        <v>0.60216099999999995</v>
      </c>
      <c r="CJ154">
        <v>0.107265</v>
      </c>
      <c r="CK154">
        <v>0</v>
      </c>
      <c r="CL154" t="s">
        <v>1515</v>
      </c>
      <c r="CM154" t="s">
        <v>201</v>
      </c>
      <c r="CN154" t="s">
        <v>202</v>
      </c>
      <c r="CO154" t="s">
        <v>203</v>
      </c>
      <c r="CP154" t="s">
        <v>204</v>
      </c>
      <c r="CQ154" t="s">
        <v>205</v>
      </c>
      <c r="CR154" t="s">
        <v>206</v>
      </c>
    </row>
    <row r="155" spans="1:96">
      <c r="A155">
        <v>27</v>
      </c>
      <c r="B155" s="3">
        <v>0.78468749999999998</v>
      </c>
      <c r="C155" s="1">
        <v>45176</v>
      </c>
      <c r="D155" t="s">
        <v>196</v>
      </c>
      <c r="E155" t="s">
        <v>197</v>
      </c>
      <c r="G155">
        <v>27</v>
      </c>
      <c r="J155">
        <v>2.5780999999999998E-2</v>
      </c>
      <c r="K155">
        <v>2.9183020000000002</v>
      </c>
      <c r="L155">
        <v>2.5555000000000001E-2</v>
      </c>
      <c r="M155">
        <v>0.68157800000000002</v>
      </c>
      <c r="N155">
        <v>1.885019</v>
      </c>
      <c r="O155">
        <v>1.867043</v>
      </c>
      <c r="P155">
        <v>4.3405360000000002</v>
      </c>
      <c r="Q155">
        <v>2.4555169999999999</v>
      </c>
      <c r="R155">
        <v>19.615713</v>
      </c>
      <c r="S155">
        <v>19.804570999999999</v>
      </c>
      <c r="T155">
        <v>45.602969999999999</v>
      </c>
      <c r="U155">
        <v>0.44178600000000001</v>
      </c>
      <c r="V155" t="s">
        <v>1516</v>
      </c>
      <c r="W155">
        <v>0</v>
      </c>
      <c r="X155">
        <v>0</v>
      </c>
      <c r="Y155">
        <v>0</v>
      </c>
      <c r="Z155">
        <v>101.02486399999999</v>
      </c>
      <c r="AA155">
        <v>355.65460200000001</v>
      </c>
      <c r="AB155">
        <v>0.715947</v>
      </c>
      <c r="AC155">
        <v>0.5</v>
      </c>
      <c r="AD155">
        <v>0.8</v>
      </c>
      <c r="AE155">
        <v>58.519592000000003</v>
      </c>
      <c r="AF155">
        <v>39.31</v>
      </c>
      <c r="AG155">
        <v>38.93</v>
      </c>
      <c r="AH155">
        <v>32.08</v>
      </c>
      <c r="AI155">
        <v>30.32</v>
      </c>
      <c r="AJ155">
        <v>95.18</v>
      </c>
      <c r="AK155">
        <v>156.30000000000001</v>
      </c>
      <c r="AL155">
        <v>157.80000000000001</v>
      </c>
      <c r="AM155">
        <v>-1</v>
      </c>
      <c r="AN155">
        <v>204</v>
      </c>
      <c r="AO155">
        <v>3.7909999999999999</v>
      </c>
      <c r="AP155" s="3">
        <v>0.77814814814814814</v>
      </c>
      <c r="AQ155" s="1">
        <v>45176</v>
      </c>
      <c r="AR155">
        <v>-0.51</v>
      </c>
      <c r="AS155">
        <v>1E-3</v>
      </c>
      <c r="AT155">
        <v>3.0000000000000001E-3</v>
      </c>
      <c r="AU155">
        <v>-9999</v>
      </c>
      <c r="AV155">
        <v>-0.24</v>
      </c>
      <c r="AW155">
        <v>0.34799999999999998</v>
      </c>
      <c r="AX155">
        <v>-9999</v>
      </c>
      <c r="AY155">
        <v>1</v>
      </c>
      <c r="AZ155">
        <v>150</v>
      </c>
      <c r="BA155">
        <v>5.0000000000000001E-3</v>
      </c>
      <c r="BB155">
        <v>2</v>
      </c>
      <c r="BC155">
        <v>0</v>
      </c>
      <c r="BD155" t="s">
        <v>200</v>
      </c>
      <c r="BE155">
        <v>7000</v>
      </c>
      <c r="BF155">
        <v>500</v>
      </c>
      <c r="BG155">
        <v>5</v>
      </c>
      <c r="BH155">
        <v>2</v>
      </c>
      <c r="BI155">
        <v>300</v>
      </c>
      <c r="BJ155">
        <v>300</v>
      </c>
      <c r="BK155">
        <v>300</v>
      </c>
      <c r="BL155">
        <v>336.90976000000001</v>
      </c>
      <c r="BM155">
        <v>25</v>
      </c>
      <c r="BN155">
        <v>-13.026092999999999</v>
      </c>
      <c r="BO155">
        <v>336.98092700000001</v>
      </c>
      <c r="BP155">
        <v>336.97119099999998</v>
      </c>
      <c r="BQ155">
        <v>9.7350000000000006E-3</v>
      </c>
      <c r="BR155">
        <v>2.4064510000000001</v>
      </c>
      <c r="BS155">
        <v>2.4742670000000002</v>
      </c>
      <c r="BT155">
        <v>1.587445</v>
      </c>
      <c r="BU155">
        <v>1.003182</v>
      </c>
      <c r="BV155">
        <v>0.20613000000000001</v>
      </c>
      <c r="BW155">
        <v>-2.2404E-2</v>
      </c>
      <c r="BX155">
        <v>0.31703900000000002</v>
      </c>
      <c r="BY155">
        <v>0.288493</v>
      </c>
      <c r="BZ155">
        <v>101.02486399999999</v>
      </c>
      <c r="CA155">
        <v>3.4699999999999998E-4</v>
      </c>
      <c r="CB155">
        <v>2.3486280000000002</v>
      </c>
      <c r="CC155">
        <v>-5.1E-5</v>
      </c>
      <c r="CD155">
        <v>1</v>
      </c>
      <c r="CE155">
        <v>2.4109430000000001</v>
      </c>
      <c r="CF155">
        <v>-5.7000000000000003E-5</v>
      </c>
      <c r="CG155">
        <v>1</v>
      </c>
      <c r="CH155">
        <v>0.60051900000000002</v>
      </c>
      <c r="CI155">
        <v>0.60216099999999995</v>
      </c>
      <c r="CJ155">
        <v>0.107265</v>
      </c>
      <c r="CK155">
        <v>0</v>
      </c>
      <c r="CL155" t="s">
        <v>1516</v>
      </c>
      <c r="CM155" t="s">
        <v>201</v>
      </c>
      <c r="CN155" t="s">
        <v>202</v>
      </c>
      <c r="CO155" t="s">
        <v>203</v>
      </c>
      <c r="CP155" t="s">
        <v>204</v>
      </c>
      <c r="CQ155" t="s">
        <v>205</v>
      </c>
      <c r="CR155" t="s">
        <v>206</v>
      </c>
    </row>
    <row r="156" spans="1:96">
      <c r="A156">
        <v>28</v>
      </c>
      <c r="B156" s="3">
        <v>0.78478009259259263</v>
      </c>
      <c r="C156" s="1">
        <v>45176</v>
      </c>
      <c r="D156" t="s">
        <v>196</v>
      </c>
      <c r="E156" t="s">
        <v>197</v>
      </c>
      <c r="G156">
        <v>28</v>
      </c>
      <c r="J156">
        <v>4.8232999999999998E-2</v>
      </c>
      <c r="K156">
        <v>2.9193069999999999</v>
      </c>
      <c r="L156">
        <v>4.7448999999999998E-2</v>
      </c>
      <c r="M156">
        <v>1.259018</v>
      </c>
      <c r="N156">
        <v>1.8854930000000001</v>
      </c>
      <c r="O156">
        <v>1.852314</v>
      </c>
      <c r="P156">
        <v>4.3286090000000002</v>
      </c>
      <c r="Q156">
        <v>2.4431150000000001</v>
      </c>
      <c r="R156">
        <v>19.460867</v>
      </c>
      <c r="S156">
        <v>19.809446000000001</v>
      </c>
      <c r="T156">
        <v>45.477412999999999</v>
      </c>
      <c r="U156">
        <v>0.44178600000000001</v>
      </c>
      <c r="V156" t="s">
        <v>1517</v>
      </c>
      <c r="W156">
        <v>0</v>
      </c>
      <c r="X156">
        <v>0</v>
      </c>
      <c r="Y156">
        <v>0</v>
      </c>
      <c r="Z156">
        <v>101.283073</v>
      </c>
      <c r="AA156">
        <v>330.57034299999998</v>
      </c>
      <c r="AB156">
        <v>0.69361099999999998</v>
      </c>
      <c r="AC156">
        <v>0.5</v>
      </c>
      <c r="AD156">
        <v>0.8</v>
      </c>
      <c r="AE156">
        <v>64.919051999999994</v>
      </c>
      <c r="AF156">
        <v>39.33</v>
      </c>
      <c r="AG156">
        <v>38.64</v>
      </c>
      <c r="AH156">
        <v>32.07</v>
      </c>
      <c r="AI156">
        <v>30.28</v>
      </c>
      <c r="AJ156">
        <v>95.18</v>
      </c>
      <c r="AK156">
        <v>156.4</v>
      </c>
      <c r="AL156">
        <v>157.69999999999999</v>
      </c>
      <c r="AM156">
        <v>-0.8</v>
      </c>
      <c r="AN156">
        <v>234</v>
      </c>
      <c r="AO156">
        <v>3.75</v>
      </c>
      <c r="AP156" s="3">
        <v>0.77814814814814814</v>
      </c>
      <c r="AQ156" s="1">
        <v>45176</v>
      </c>
      <c r="AR156">
        <v>-0.51</v>
      </c>
      <c r="AS156">
        <v>2E-3</v>
      </c>
      <c r="AT156">
        <v>4.0000000000000001E-3</v>
      </c>
      <c r="AU156">
        <v>-9999</v>
      </c>
      <c r="AV156">
        <v>0.28499999999999998</v>
      </c>
      <c r="AW156">
        <v>-0.33800000000000002</v>
      </c>
      <c r="AX156">
        <v>-9999</v>
      </c>
      <c r="AY156">
        <v>1</v>
      </c>
      <c r="AZ156">
        <v>150</v>
      </c>
      <c r="BA156">
        <v>5.0000000000000001E-3</v>
      </c>
      <c r="BB156">
        <v>2</v>
      </c>
      <c r="BC156">
        <v>0</v>
      </c>
      <c r="BD156" t="s">
        <v>200</v>
      </c>
      <c r="BE156">
        <v>7000</v>
      </c>
      <c r="BF156">
        <v>500</v>
      </c>
      <c r="BG156">
        <v>5</v>
      </c>
      <c r="BH156">
        <v>2</v>
      </c>
      <c r="BI156">
        <v>300</v>
      </c>
      <c r="BJ156">
        <v>300</v>
      </c>
      <c r="BK156">
        <v>300</v>
      </c>
      <c r="BL156">
        <v>302.846069</v>
      </c>
      <c r="BM156">
        <v>25</v>
      </c>
      <c r="BN156">
        <v>-19.975393</v>
      </c>
      <c r="BO156">
        <v>299.16037</v>
      </c>
      <c r="BP156">
        <v>301.91949499999998</v>
      </c>
      <c r="BQ156">
        <v>-2.759125</v>
      </c>
      <c r="BR156">
        <v>2.4060709999999998</v>
      </c>
      <c r="BS156">
        <v>2.4742999999999999</v>
      </c>
      <c r="BT156">
        <v>1.588417</v>
      </c>
      <c r="BU156">
        <v>1.00299</v>
      </c>
      <c r="BV156">
        <v>0.206178</v>
      </c>
      <c r="BW156">
        <v>-2.2929000000000001E-2</v>
      </c>
      <c r="BX156">
        <v>0.31755100000000003</v>
      </c>
      <c r="BY156">
        <v>0.31478499999999998</v>
      </c>
      <c r="BZ156">
        <v>101.283073</v>
      </c>
      <c r="CA156">
        <v>3.4699999999999998E-4</v>
      </c>
      <c r="CB156">
        <v>2.3486280000000002</v>
      </c>
      <c r="CC156">
        <v>-5.1E-5</v>
      </c>
      <c r="CD156">
        <v>1</v>
      </c>
      <c r="CE156">
        <v>2.4109430000000001</v>
      </c>
      <c r="CF156">
        <v>-5.7000000000000003E-5</v>
      </c>
      <c r="CG156">
        <v>1</v>
      </c>
      <c r="CH156">
        <v>0.60051900000000002</v>
      </c>
      <c r="CI156">
        <v>0.60216099999999995</v>
      </c>
      <c r="CJ156">
        <v>0.107265</v>
      </c>
      <c r="CK156">
        <v>0</v>
      </c>
      <c r="CL156" t="s">
        <v>1517</v>
      </c>
      <c r="CM156" t="s">
        <v>201</v>
      </c>
      <c r="CN156" t="s">
        <v>202</v>
      </c>
      <c r="CO156" t="s">
        <v>203</v>
      </c>
      <c r="CP156" t="s">
        <v>204</v>
      </c>
      <c r="CQ156" t="s">
        <v>205</v>
      </c>
      <c r="CR156" t="s">
        <v>206</v>
      </c>
    </row>
    <row r="157" spans="1:96">
      <c r="A157">
        <v>29</v>
      </c>
      <c r="B157" s="3">
        <v>0.78491898148148154</v>
      </c>
      <c r="C157" s="1">
        <v>45176</v>
      </c>
      <c r="D157" t="s">
        <v>196</v>
      </c>
      <c r="E157" t="s">
        <v>197</v>
      </c>
      <c r="G157">
        <v>29</v>
      </c>
      <c r="J157">
        <v>4.4069999999999998E-2</v>
      </c>
      <c r="K157">
        <v>2.9191989999999999</v>
      </c>
      <c r="L157">
        <v>4.3414000000000001E-2</v>
      </c>
      <c r="M157">
        <v>1.297469</v>
      </c>
      <c r="N157">
        <v>1.8839539999999999</v>
      </c>
      <c r="O157">
        <v>1.8497589999999999</v>
      </c>
      <c r="P157">
        <v>4.6311790000000004</v>
      </c>
      <c r="Q157">
        <v>2.7472249999999998</v>
      </c>
      <c r="R157">
        <v>19.433966000000002</v>
      </c>
      <c r="S157">
        <v>19.793230000000001</v>
      </c>
      <c r="T157">
        <v>48.656165999999999</v>
      </c>
      <c r="U157">
        <v>0.44178600000000001</v>
      </c>
      <c r="V157" t="s">
        <v>1518</v>
      </c>
      <c r="W157">
        <v>0</v>
      </c>
      <c r="X157">
        <v>0</v>
      </c>
      <c r="Y157">
        <v>0</v>
      </c>
      <c r="Z157">
        <v>120.68581399999999</v>
      </c>
      <c r="AA157">
        <v>302.07260100000002</v>
      </c>
      <c r="AB157">
        <v>0.60047399999999995</v>
      </c>
      <c r="AC157">
        <v>0.5</v>
      </c>
      <c r="AD157">
        <v>0.8</v>
      </c>
      <c r="AE157">
        <v>111.832565</v>
      </c>
      <c r="AF157">
        <v>39.33</v>
      </c>
      <c r="AG157">
        <v>38.61</v>
      </c>
      <c r="AH157">
        <v>32.06</v>
      </c>
      <c r="AI157">
        <v>31.46</v>
      </c>
      <c r="AJ157">
        <v>95.18</v>
      </c>
      <c r="AK157">
        <v>156.4</v>
      </c>
      <c r="AL157">
        <v>158</v>
      </c>
      <c r="AM157">
        <v>-1</v>
      </c>
      <c r="AN157">
        <v>466</v>
      </c>
      <c r="AO157">
        <v>3.7909999999999999</v>
      </c>
      <c r="AP157" s="3">
        <v>0.77814814814814814</v>
      </c>
      <c r="AQ157" s="1">
        <v>45176</v>
      </c>
      <c r="AR157">
        <v>-0.51</v>
      </c>
      <c r="AS157">
        <v>1E-3</v>
      </c>
      <c r="AT157">
        <v>2E-3</v>
      </c>
      <c r="AU157">
        <v>0</v>
      </c>
      <c r="AV157">
        <v>1.9359999999999999</v>
      </c>
      <c r="AW157">
        <v>1.4770000000000001</v>
      </c>
      <c r="AX157">
        <v>11.500999999999999</v>
      </c>
      <c r="AY157">
        <v>1</v>
      </c>
      <c r="AZ157">
        <v>150</v>
      </c>
      <c r="BA157">
        <v>5.0000000000000001E-3</v>
      </c>
      <c r="BB157">
        <v>2</v>
      </c>
      <c r="BC157">
        <v>0</v>
      </c>
      <c r="BD157" t="s">
        <v>200</v>
      </c>
      <c r="BE157">
        <v>7000</v>
      </c>
      <c r="BF157">
        <v>500</v>
      </c>
      <c r="BG157">
        <v>5</v>
      </c>
      <c r="BH157">
        <v>2</v>
      </c>
      <c r="BI157">
        <v>300</v>
      </c>
      <c r="BJ157">
        <v>300</v>
      </c>
      <c r="BK157">
        <v>300</v>
      </c>
      <c r="BL157">
        <v>271.70669600000002</v>
      </c>
      <c r="BM157">
        <v>25</v>
      </c>
      <c r="BN157">
        <v>-22.048055999999999</v>
      </c>
      <c r="BO157">
        <v>263.827789</v>
      </c>
      <c r="BP157">
        <v>270.448914</v>
      </c>
      <c r="BQ157">
        <v>-6.621124</v>
      </c>
      <c r="BR157">
        <v>2.406037</v>
      </c>
      <c r="BS157">
        <v>2.474294</v>
      </c>
      <c r="BT157">
        <v>1.5883130000000001</v>
      </c>
      <c r="BU157">
        <v>1.0037400000000001</v>
      </c>
      <c r="BV157">
        <v>0.20627200000000001</v>
      </c>
      <c r="BW157">
        <v>-7.8639999999999995E-3</v>
      </c>
      <c r="BX157">
        <v>0.31829800000000003</v>
      </c>
      <c r="BY157">
        <v>0.52019700000000002</v>
      </c>
      <c r="BZ157">
        <v>120.68581399999999</v>
      </c>
      <c r="CA157">
        <v>3.5300000000000002E-4</v>
      </c>
      <c r="CB157">
        <v>2.3486280000000002</v>
      </c>
      <c r="CC157">
        <v>-5.1E-5</v>
      </c>
      <c r="CD157">
        <v>1</v>
      </c>
      <c r="CE157">
        <v>2.4109430000000001</v>
      </c>
      <c r="CF157">
        <v>-5.7000000000000003E-5</v>
      </c>
      <c r="CG157">
        <v>1</v>
      </c>
      <c r="CH157">
        <v>0.60051900000000002</v>
      </c>
      <c r="CI157">
        <v>0.60216099999999995</v>
      </c>
      <c r="CJ157">
        <v>0.107265</v>
      </c>
      <c r="CK157">
        <v>0</v>
      </c>
      <c r="CL157" t="s">
        <v>1518</v>
      </c>
      <c r="CM157" t="s">
        <v>201</v>
      </c>
      <c r="CN157" t="s">
        <v>202</v>
      </c>
      <c r="CO157" t="s">
        <v>203</v>
      </c>
      <c r="CP157" t="s">
        <v>204</v>
      </c>
      <c r="CQ157" t="s">
        <v>205</v>
      </c>
      <c r="CR157" t="s">
        <v>206</v>
      </c>
    </row>
    <row r="158" spans="1:96">
      <c r="A158">
        <v>30</v>
      </c>
      <c r="B158" s="3">
        <v>0.78500000000000003</v>
      </c>
      <c r="C158" s="1">
        <v>45176</v>
      </c>
      <c r="D158" t="s">
        <v>196</v>
      </c>
      <c r="E158" t="s">
        <v>197</v>
      </c>
      <c r="G158">
        <v>30</v>
      </c>
      <c r="J158">
        <v>3.7655000000000001E-2</v>
      </c>
      <c r="K158">
        <v>2.9185650000000001</v>
      </c>
      <c r="L158">
        <v>3.7175E-2</v>
      </c>
      <c r="M158">
        <v>1.1260509999999999</v>
      </c>
      <c r="N158">
        <v>1.8868849999999999</v>
      </c>
      <c r="O158">
        <v>1.857194</v>
      </c>
      <c r="P158">
        <v>4.6706079999999996</v>
      </c>
      <c r="Q158">
        <v>2.7837230000000002</v>
      </c>
      <c r="R158">
        <v>19.512335</v>
      </c>
      <c r="S158">
        <v>19.824280000000002</v>
      </c>
      <c r="T158">
        <v>49.071060000000003</v>
      </c>
      <c r="U158">
        <v>0.44178600000000001</v>
      </c>
      <c r="V158" t="s">
        <v>1519</v>
      </c>
      <c r="W158">
        <v>0</v>
      </c>
      <c r="X158">
        <v>0</v>
      </c>
      <c r="Y158">
        <v>0</v>
      </c>
      <c r="Z158">
        <v>107.281921</v>
      </c>
      <c r="AA158">
        <v>253.11715699999999</v>
      </c>
      <c r="AB158">
        <v>0.57615700000000003</v>
      </c>
      <c r="AC158">
        <v>0.5</v>
      </c>
      <c r="AD158">
        <v>0.8</v>
      </c>
      <c r="AE158">
        <v>179.95275899999999</v>
      </c>
      <c r="AF158">
        <v>39.409999999999997</v>
      </c>
      <c r="AG158">
        <v>38.79</v>
      </c>
      <c r="AH158">
        <v>32.049999999999997</v>
      </c>
      <c r="AI158">
        <v>31.61</v>
      </c>
      <c r="AJ158">
        <v>95.18</v>
      </c>
      <c r="AK158">
        <v>156.30000000000001</v>
      </c>
      <c r="AL158">
        <v>157.6</v>
      </c>
      <c r="AM158">
        <v>-0.8</v>
      </c>
      <c r="AN158">
        <v>781</v>
      </c>
      <c r="AO158">
        <v>3.7879999999999998</v>
      </c>
      <c r="AP158" s="3">
        <v>0.77814814814814814</v>
      </c>
      <c r="AQ158" s="1">
        <v>45176</v>
      </c>
      <c r="AR158">
        <v>-0.51</v>
      </c>
      <c r="AS158">
        <v>2E-3</v>
      </c>
      <c r="AT158">
        <v>3.0000000000000001E-3</v>
      </c>
      <c r="AU158">
        <v>-9999</v>
      </c>
      <c r="AV158">
        <v>-1.38</v>
      </c>
      <c r="AW158">
        <v>-0.20399999999999999</v>
      </c>
      <c r="AX158">
        <v>-9999</v>
      </c>
      <c r="AY158">
        <v>1</v>
      </c>
      <c r="AZ158">
        <v>150</v>
      </c>
      <c r="BA158">
        <v>5.0000000000000001E-3</v>
      </c>
      <c r="BB158">
        <v>2</v>
      </c>
      <c r="BC158">
        <v>0</v>
      </c>
      <c r="BD158" t="s">
        <v>200</v>
      </c>
      <c r="BE158">
        <v>7000</v>
      </c>
      <c r="BF158">
        <v>500</v>
      </c>
      <c r="BG158">
        <v>5</v>
      </c>
      <c r="BH158">
        <v>2</v>
      </c>
      <c r="BI158">
        <v>300</v>
      </c>
      <c r="BJ158">
        <v>300</v>
      </c>
      <c r="BK158">
        <v>300</v>
      </c>
      <c r="BL158">
        <v>235.01443499999999</v>
      </c>
      <c r="BM158">
        <v>25</v>
      </c>
      <c r="BN158">
        <v>-12.378045999999999</v>
      </c>
      <c r="BO158">
        <v>233.02709999999999</v>
      </c>
      <c r="BP158">
        <v>235.363235</v>
      </c>
      <c r="BQ158">
        <v>-2.3361360000000002</v>
      </c>
      <c r="BR158">
        <v>2.4062640000000002</v>
      </c>
      <c r="BS158">
        <v>2.4744069999999998</v>
      </c>
      <c r="BT158">
        <v>1.5876999999999999</v>
      </c>
      <c r="BU158">
        <v>1.0024979999999999</v>
      </c>
      <c r="BV158">
        <v>0.20633899999999999</v>
      </c>
      <c r="BW158">
        <v>-5.8630000000000002E-3</v>
      </c>
      <c r="BX158">
        <v>0.31876199999999999</v>
      </c>
      <c r="BY158">
        <v>0.79976899999999995</v>
      </c>
      <c r="BZ158">
        <v>107.281921</v>
      </c>
      <c r="CA158">
        <v>3.5300000000000002E-4</v>
      </c>
      <c r="CB158">
        <v>2.3486280000000002</v>
      </c>
      <c r="CC158">
        <v>-5.1E-5</v>
      </c>
      <c r="CD158">
        <v>1</v>
      </c>
      <c r="CE158">
        <v>2.4109430000000001</v>
      </c>
      <c r="CF158">
        <v>-5.7000000000000003E-5</v>
      </c>
      <c r="CG158">
        <v>1</v>
      </c>
      <c r="CH158">
        <v>0.60051900000000002</v>
      </c>
      <c r="CI158">
        <v>0.60216099999999995</v>
      </c>
      <c r="CJ158">
        <v>0.107265</v>
      </c>
      <c r="CK158">
        <v>0</v>
      </c>
      <c r="CL158" t="s">
        <v>1519</v>
      </c>
      <c r="CM158" t="s">
        <v>201</v>
      </c>
      <c r="CN158" t="s">
        <v>202</v>
      </c>
      <c r="CO158" t="s">
        <v>203</v>
      </c>
      <c r="CP158" t="s">
        <v>204</v>
      </c>
      <c r="CQ158" t="s">
        <v>205</v>
      </c>
      <c r="CR158" t="s">
        <v>206</v>
      </c>
    </row>
    <row r="159" spans="1:96">
      <c r="A159">
        <v>31</v>
      </c>
      <c r="B159" s="3">
        <v>0.78728009259259257</v>
      </c>
      <c r="C159" s="1">
        <v>45176</v>
      </c>
      <c r="D159" t="s">
        <v>196</v>
      </c>
      <c r="E159" t="s">
        <v>197</v>
      </c>
      <c r="G159">
        <v>31</v>
      </c>
      <c r="J159">
        <v>1.1296E-2</v>
      </c>
      <c r="K159">
        <v>2.9197479999999998</v>
      </c>
      <c r="L159">
        <v>1.1252E-2</v>
      </c>
      <c r="M159">
        <v>0.29833999999999999</v>
      </c>
      <c r="N159">
        <v>1.842587</v>
      </c>
      <c r="O159">
        <v>1.834722</v>
      </c>
      <c r="P159">
        <v>4.2854850000000004</v>
      </c>
      <c r="Q159">
        <v>2.4428990000000002</v>
      </c>
      <c r="R159">
        <v>19.271833000000001</v>
      </c>
      <c r="S159">
        <v>19.354444999999998</v>
      </c>
      <c r="T159">
        <v>45.014538000000002</v>
      </c>
      <c r="U159">
        <v>0.44178600000000001</v>
      </c>
      <c r="V159" t="s">
        <v>1520</v>
      </c>
      <c r="W159">
        <v>0</v>
      </c>
      <c r="X159">
        <v>0</v>
      </c>
      <c r="Y159">
        <v>0</v>
      </c>
      <c r="Z159">
        <v>80.893638999999993</v>
      </c>
      <c r="AA159">
        <v>348.39532500000001</v>
      </c>
      <c r="AB159">
        <v>0.76781100000000002</v>
      </c>
      <c r="AC159">
        <v>0.5</v>
      </c>
      <c r="AD159">
        <v>0.8</v>
      </c>
      <c r="AE159">
        <v>87.506027000000003</v>
      </c>
      <c r="AF159">
        <v>39.01</v>
      </c>
      <c r="AG159">
        <v>38.85</v>
      </c>
      <c r="AH159">
        <v>31.81</v>
      </c>
      <c r="AI159">
        <v>30.1</v>
      </c>
      <c r="AJ159">
        <v>95.2</v>
      </c>
      <c r="AK159">
        <v>156.5</v>
      </c>
      <c r="AL159">
        <v>157.9</v>
      </c>
      <c r="AM159">
        <v>-0.9</v>
      </c>
      <c r="AN159">
        <v>285</v>
      </c>
      <c r="AO159">
        <v>3.7850000000000001</v>
      </c>
      <c r="AP159" s="3">
        <v>0.78722222222222227</v>
      </c>
      <c r="AQ159" s="1">
        <v>45176</v>
      </c>
      <c r="AR159">
        <v>-0.51</v>
      </c>
      <c r="AS159">
        <v>1E-3</v>
      </c>
      <c r="AT159">
        <v>1E-3</v>
      </c>
      <c r="AU159">
        <v>-9999</v>
      </c>
      <c r="AV159">
        <v>-8.5000000000000006E-2</v>
      </c>
      <c r="AW159">
        <v>0.86</v>
      </c>
      <c r="AX159">
        <v>-9999</v>
      </c>
      <c r="AY159">
        <v>1</v>
      </c>
      <c r="AZ159">
        <v>150</v>
      </c>
      <c r="BA159">
        <v>5.0000000000000001E-3</v>
      </c>
      <c r="BB159">
        <v>2</v>
      </c>
      <c r="BC159">
        <v>0</v>
      </c>
      <c r="BD159" t="s">
        <v>200</v>
      </c>
      <c r="BE159">
        <v>7000</v>
      </c>
      <c r="BF159">
        <v>500</v>
      </c>
      <c r="BG159">
        <v>5</v>
      </c>
      <c r="BH159">
        <v>2</v>
      </c>
      <c r="BI159">
        <v>300</v>
      </c>
      <c r="BJ159">
        <v>300</v>
      </c>
      <c r="BK159">
        <v>300</v>
      </c>
      <c r="BL159">
        <v>340.48104899999998</v>
      </c>
      <c r="BM159">
        <v>25</v>
      </c>
      <c r="BN159">
        <v>-5.3599579999999998</v>
      </c>
      <c r="BO159">
        <v>348.06597900000003</v>
      </c>
      <c r="BP159">
        <v>340.70748900000001</v>
      </c>
      <c r="BQ159">
        <v>7.3584899999999998</v>
      </c>
      <c r="BR159">
        <v>2.40639</v>
      </c>
      <c r="BS159">
        <v>2.4739119999999999</v>
      </c>
      <c r="BT159">
        <v>1.5888439999999999</v>
      </c>
      <c r="BU159">
        <v>1.0034920000000001</v>
      </c>
      <c r="BV159">
        <v>0.208312</v>
      </c>
      <c r="BW159">
        <v>-2.1767000000000002E-2</v>
      </c>
      <c r="BX159">
        <v>0.33168199999999998</v>
      </c>
      <c r="BY159">
        <v>0.35995500000000002</v>
      </c>
      <c r="BZ159">
        <v>80.893638999999993</v>
      </c>
      <c r="CA159">
        <v>3.5399999999999999E-4</v>
      </c>
      <c r="CB159">
        <v>2.3486280000000002</v>
      </c>
      <c r="CC159">
        <v>-5.1E-5</v>
      </c>
      <c r="CD159">
        <v>1</v>
      </c>
      <c r="CE159">
        <v>2.4109430000000001</v>
      </c>
      <c r="CF159">
        <v>-5.7000000000000003E-5</v>
      </c>
      <c r="CG159">
        <v>1</v>
      </c>
      <c r="CH159">
        <v>0.60051900000000002</v>
      </c>
      <c r="CI159">
        <v>0.60216099999999995</v>
      </c>
      <c r="CJ159">
        <v>0.107265</v>
      </c>
      <c r="CK159">
        <v>0</v>
      </c>
      <c r="CL159" t="s">
        <v>1520</v>
      </c>
      <c r="CM159" t="s">
        <v>201</v>
      </c>
      <c r="CN159" t="s">
        <v>202</v>
      </c>
      <c r="CO159" t="s">
        <v>203</v>
      </c>
      <c r="CP159" t="s">
        <v>204</v>
      </c>
      <c r="CQ159" t="s">
        <v>205</v>
      </c>
      <c r="CR159" t="s">
        <v>206</v>
      </c>
    </row>
    <row r="160" spans="1:96">
      <c r="A160">
        <v>32</v>
      </c>
      <c r="B160" s="3">
        <v>0.78738425925925926</v>
      </c>
      <c r="C160" s="1">
        <v>45176</v>
      </c>
      <c r="D160" t="s">
        <v>196</v>
      </c>
      <c r="E160" t="s">
        <v>197</v>
      </c>
      <c r="G160">
        <v>32</v>
      </c>
      <c r="J160">
        <v>5.9658999999999997E-2</v>
      </c>
      <c r="K160">
        <v>2.9201169999999999</v>
      </c>
      <c r="L160">
        <v>5.8464000000000002E-2</v>
      </c>
      <c r="M160">
        <v>1.552905</v>
      </c>
      <c r="N160">
        <v>1.888012</v>
      </c>
      <c r="O160">
        <v>1.8471089999999999</v>
      </c>
      <c r="P160">
        <v>4.3339629999999998</v>
      </c>
      <c r="Q160">
        <v>2.445951</v>
      </c>
      <c r="R160">
        <v>19.40307</v>
      </c>
      <c r="S160">
        <v>19.832733000000001</v>
      </c>
      <c r="T160">
        <v>45.526378999999999</v>
      </c>
      <c r="U160">
        <v>0.44178600000000001</v>
      </c>
      <c r="V160" t="s">
        <v>1521</v>
      </c>
      <c r="W160">
        <v>0</v>
      </c>
      <c r="X160">
        <v>0</v>
      </c>
      <c r="Y160">
        <v>0</v>
      </c>
      <c r="Z160">
        <v>83.819389000000001</v>
      </c>
      <c r="AA160">
        <v>297.85998499999999</v>
      </c>
      <c r="AB160">
        <v>0.71859499999999998</v>
      </c>
      <c r="AC160">
        <v>0.5</v>
      </c>
      <c r="AD160">
        <v>0.8</v>
      </c>
      <c r="AE160">
        <v>160.44032300000001</v>
      </c>
      <c r="AF160">
        <v>39.99</v>
      </c>
      <c r="AG160">
        <v>39.130000000000003</v>
      </c>
      <c r="AH160">
        <v>31.8</v>
      </c>
      <c r="AI160">
        <v>30.3</v>
      </c>
      <c r="AJ160">
        <v>95.2</v>
      </c>
      <c r="AK160">
        <v>156.5</v>
      </c>
      <c r="AL160">
        <v>157.9</v>
      </c>
      <c r="AM160">
        <v>-0.9</v>
      </c>
      <c r="AN160">
        <v>558</v>
      </c>
      <c r="AO160">
        <v>3.7869999999999999</v>
      </c>
      <c r="AP160" s="3">
        <v>0.78722222222222227</v>
      </c>
      <c r="AQ160" s="1">
        <v>45176</v>
      </c>
      <c r="AR160">
        <v>-0.51</v>
      </c>
      <c r="AS160">
        <v>1E-3</v>
      </c>
      <c r="AT160">
        <v>4.0000000000000001E-3</v>
      </c>
      <c r="AU160">
        <v>-9999</v>
      </c>
      <c r="AV160">
        <v>-0.63400000000000001</v>
      </c>
      <c r="AW160">
        <v>-1.4390000000000001</v>
      </c>
      <c r="AX160">
        <v>-9999</v>
      </c>
      <c r="AY160">
        <v>1</v>
      </c>
      <c r="AZ160">
        <v>150</v>
      </c>
      <c r="BA160">
        <v>5.0000000000000001E-3</v>
      </c>
      <c r="BB160">
        <v>2</v>
      </c>
      <c r="BC160">
        <v>0</v>
      </c>
      <c r="BD160" t="s">
        <v>200</v>
      </c>
      <c r="BE160">
        <v>7000</v>
      </c>
      <c r="BF160">
        <v>500</v>
      </c>
      <c r="BG160">
        <v>5</v>
      </c>
      <c r="BH160">
        <v>2</v>
      </c>
      <c r="BI160">
        <v>300</v>
      </c>
      <c r="BJ160">
        <v>300</v>
      </c>
      <c r="BK160">
        <v>300</v>
      </c>
      <c r="BL160">
        <v>275.15493800000002</v>
      </c>
      <c r="BM160">
        <v>25</v>
      </c>
      <c r="BN160">
        <v>-15.743180000000001</v>
      </c>
      <c r="BO160">
        <v>276.51678500000003</v>
      </c>
      <c r="BP160">
        <v>275.27941900000002</v>
      </c>
      <c r="BQ160">
        <v>1.237366</v>
      </c>
      <c r="BR160">
        <v>2.406755</v>
      </c>
      <c r="BS160">
        <v>2.475276</v>
      </c>
      <c r="BT160">
        <v>1.5892010000000001</v>
      </c>
      <c r="BU160">
        <v>1.003447</v>
      </c>
      <c r="BV160">
        <v>0.20838000000000001</v>
      </c>
      <c r="BW160">
        <v>-1.9206999999999998E-2</v>
      </c>
      <c r="BX160">
        <v>0.33216200000000001</v>
      </c>
      <c r="BY160">
        <v>0.602298</v>
      </c>
      <c r="BZ160">
        <v>83.819389000000001</v>
      </c>
      <c r="CA160">
        <v>3.5399999999999999E-4</v>
      </c>
      <c r="CB160">
        <v>2.3486280000000002</v>
      </c>
      <c r="CC160">
        <v>-5.1E-5</v>
      </c>
      <c r="CD160">
        <v>1</v>
      </c>
      <c r="CE160">
        <v>2.4109430000000001</v>
      </c>
      <c r="CF160">
        <v>-5.7000000000000003E-5</v>
      </c>
      <c r="CG160">
        <v>1</v>
      </c>
      <c r="CH160">
        <v>0.60051900000000002</v>
      </c>
      <c r="CI160">
        <v>0.60216099999999995</v>
      </c>
      <c r="CJ160">
        <v>0.107265</v>
      </c>
      <c r="CK160">
        <v>0</v>
      </c>
      <c r="CL160" t="s">
        <v>1521</v>
      </c>
      <c r="CM160" t="s">
        <v>201</v>
      </c>
      <c r="CN160" t="s">
        <v>202</v>
      </c>
      <c r="CO160" t="s">
        <v>203</v>
      </c>
      <c r="CP160" t="s">
        <v>204</v>
      </c>
      <c r="CQ160" t="s">
        <v>205</v>
      </c>
      <c r="CR160" t="s">
        <v>206</v>
      </c>
    </row>
    <row r="161" spans="1:96">
      <c r="A161">
        <v>33</v>
      </c>
      <c r="B161" s="3">
        <v>0.7874768518518519</v>
      </c>
      <c r="C161" s="1">
        <v>45176</v>
      </c>
      <c r="D161" t="s">
        <v>196</v>
      </c>
      <c r="E161" t="s">
        <v>197</v>
      </c>
      <c r="G161">
        <v>33</v>
      </c>
      <c r="J161">
        <v>5.4099000000000001E-2</v>
      </c>
      <c r="K161">
        <v>2.9188399999999999</v>
      </c>
      <c r="L161">
        <v>5.3115000000000002E-2</v>
      </c>
      <c r="M161">
        <v>1.4093370000000001</v>
      </c>
      <c r="N161">
        <v>1.863659</v>
      </c>
      <c r="O161">
        <v>1.826489</v>
      </c>
      <c r="P161">
        <v>4.3078779999999997</v>
      </c>
      <c r="Q161">
        <v>2.4442189999999999</v>
      </c>
      <c r="R161">
        <v>19.185199999999998</v>
      </c>
      <c r="S161">
        <v>19.575635999999999</v>
      </c>
      <c r="T161">
        <v>45.249389999999998</v>
      </c>
      <c r="U161">
        <v>0.44178600000000001</v>
      </c>
      <c r="V161" t="s">
        <v>1522</v>
      </c>
      <c r="W161">
        <v>0</v>
      </c>
      <c r="X161">
        <v>0</v>
      </c>
      <c r="Y161">
        <v>0</v>
      </c>
      <c r="Z161">
        <v>90.473411999999996</v>
      </c>
      <c r="AA161">
        <v>290.568085</v>
      </c>
      <c r="AB161">
        <v>0.68863300000000005</v>
      </c>
      <c r="AC161">
        <v>0.5</v>
      </c>
      <c r="AD161">
        <v>0.8</v>
      </c>
      <c r="AE161">
        <v>54.973553000000003</v>
      </c>
      <c r="AF161">
        <v>39.51</v>
      </c>
      <c r="AG161">
        <v>38.72</v>
      </c>
      <c r="AH161">
        <v>31.78</v>
      </c>
      <c r="AI161">
        <v>30.19</v>
      </c>
      <c r="AJ161">
        <v>95.2</v>
      </c>
      <c r="AK161">
        <v>156.30000000000001</v>
      </c>
      <c r="AL161">
        <v>157.9</v>
      </c>
      <c r="AM161">
        <v>-1</v>
      </c>
      <c r="AN161">
        <v>200</v>
      </c>
      <c r="AO161">
        <v>3.7869999999999999</v>
      </c>
      <c r="AP161" s="3">
        <v>0.78722222222222227</v>
      </c>
      <c r="AQ161" s="1">
        <v>45176</v>
      </c>
      <c r="AR161">
        <v>-0.51</v>
      </c>
      <c r="AS161">
        <v>0</v>
      </c>
      <c r="AT161">
        <v>2E-3</v>
      </c>
      <c r="AU161">
        <v>-9999</v>
      </c>
      <c r="AV161">
        <v>0.59199999999999997</v>
      </c>
      <c r="AW161">
        <v>1.2030000000000001</v>
      </c>
      <c r="AX161">
        <v>-9999</v>
      </c>
      <c r="AY161">
        <v>1</v>
      </c>
      <c r="AZ161">
        <v>150</v>
      </c>
      <c r="BA161">
        <v>5.0000000000000001E-3</v>
      </c>
      <c r="BB161">
        <v>2</v>
      </c>
      <c r="BC161">
        <v>0</v>
      </c>
      <c r="BD161" t="s">
        <v>200</v>
      </c>
      <c r="BE161">
        <v>7000</v>
      </c>
      <c r="BF161">
        <v>500</v>
      </c>
      <c r="BG161">
        <v>5</v>
      </c>
      <c r="BH161">
        <v>2</v>
      </c>
      <c r="BI161">
        <v>300</v>
      </c>
      <c r="BJ161">
        <v>300</v>
      </c>
      <c r="BK161">
        <v>300</v>
      </c>
      <c r="BL161">
        <v>275.13848899999999</v>
      </c>
      <c r="BM161">
        <v>25</v>
      </c>
      <c r="BN161">
        <v>-10.768791</v>
      </c>
      <c r="BO161">
        <v>276.70849600000003</v>
      </c>
      <c r="BP161">
        <v>275.12231400000002</v>
      </c>
      <c r="BQ161">
        <v>1.586182</v>
      </c>
      <c r="BR161">
        <v>2.4062350000000001</v>
      </c>
      <c r="BS161">
        <v>2.4746100000000002</v>
      </c>
      <c r="BT161">
        <v>1.587966</v>
      </c>
      <c r="BU161">
        <v>1.003504</v>
      </c>
      <c r="BV161">
        <v>0.208505</v>
      </c>
      <c r="BW161">
        <v>-2.0330999999999998E-2</v>
      </c>
      <c r="BX161">
        <v>0.33268900000000001</v>
      </c>
      <c r="BY161">
        <v>0.28426400000000002</v>
      </c>
      <c r="BZ161">
        <v>90.473411999999996</v>
      </c>
      <c r="CA161">
        <v>3.5300000000000002E-4</v>
      </c>
      <c r="CB161">
        <v>2.3486280000000002</v>
      </c>
      <c r="CC161">
        <v>-5.1E-5</v>
      </c>
      <c r="CD161">
        <v>1</v>
      </c>
      <c r="CE161">
        <v>2.4109430000000001</v>
      </c>
      <c r="CF161">
        <v>-5.7000000000000003E-5</v>
      </c>
      <c r="CG161">
        <v>1</v>
      </c>
      <c r="CH161">
        <v>0.60051900000000002</v>
      </c>
      <c r="CI161">
        <v>0.60216099999999995</v>
      </c>
      <c r="CJ161">
        <v>0.107265</v>
      </c>
      <c r="CK161">
        <v>0</v>
      </c>
      <c r="CL161" t="s">
        <v>1522</v>
      </c>
      <c r="CM161" t="s">
        <v>201</v>
      </c>
      <c r="CN161" t="s">
        <v>202</v>
      </c>
      <c r="CO161" t="s">
        <v>203</v>
      </c>
      <c r="CP161" t="s">
        <v>204</v>
      </c>
      <c r="CQ161" t="s">
        <v>205</v>
      </c>
      <c r="CR161" t="s">
        <v>206</v>
      </c>
    </row>
    <row r="162" spans="1:96">
      <c r="A162">
        <v>34</v>
      </c>
      <c r="B162" s="3">
        <v>0.78756944444444443</v>
      </c>
      <c r="C162" s="1">
        <v>45176</v>
      </c>
      <c r="D162" t="s">
        <v>196</v>
      </c>
      <c r="E162" t="s">
        <v>197</v>
      </c>
      <c r="G162">
        <v>34</v>
      </c>
      <c r="J162">
        <v>3.2541E-2</v>
      </c>
      <c r="K162">
        <v>2.918393</v>
      </c>
      <c r="L162">
        <v>3.2182000000000002E-2</v>
      </c>
      <c r="M162">
        <v>0.82437300000000002</v>
      </c>
      <c r="N162">
        <v>1.845459</v>
      </c>
      <c r="O162">
        <v>1.8237049999999999</v>
      </c>
      <c r="P162">
        <v>4.2066059999999998</v>
      </c>
      <c r="Q162">
        <v>2.361148</v>
      </c>
      <c r="R162">
        <v>19.156361</v>
      </c>
      <c r="S162">
        <v>19.384867</v>
      </c>
      <c r="T162">
        <v>44.186580999999997</v>
      </c>
      <c r="U162">
        <v>0.44178600000000001</v>
      </c>
      <c r="V162" t="s">
        <v>1523</v>
      </c>
      <c r="W162">
        <v>0</v>
      </c>
      <c r="X162">
        <v>0</v>
      </c>
      <c r="Y162">
        <v>0</v>
      </c>
      <c r="Z162">
        <v>87.487938</v>
      </c>
      <c r="AA162">
        <v>332.73007200000001</v>
      </c>
      <c r="AB162">
        <v>0.73706000000000005</v>
      </c>
      <c r="AC162">
        <v>0.5</v>
      </c>
      <c r="AD162">
        <v>0.8</v>
      </c>
      <c r="AE162">
        <v>40.574534999999997</v>
      </c>
      <c r="AF162">
        <v>39.17</v>
      </c>
      <c r="AG162">
        <v>38.71</v>
      </c>
      <c r="AH162">
        <v>31.76</v>
      </c>
      <c r="AI162">
        <v>29.78</v>
      </c>
      <c r="AJ162">
        <v>95.2</v>
      </c>
      <c r="AK162">
        <v>156.30000000000001</v>
      </c>
      <c r="AL162">
        <v>157.69999999999999</v>
      </c>
      <c r="AM162">
        <v>-0.9</v>
      </c>
      <c r="AN162">
        <v>138</v>
      </c>
      <c r="AO162">
        <v>3.7869999999999999</v>
      </c>
      <c r="AP162" s="3">
        <v>0.78722222222222227</v>
      </c>
      <c r="AQ162" s="1">
        <v>45176</v>
      </c>
      <c r="AR162">
        <v>-0.51</v>
      </c>
      <c r="AS162">
        <v>1E-3</v>
      </c>
      <c r="AT162">
        <v>4.0000000000000001E-3</v>
      </c>
      <c r="AU162">
        <v>-9999</v>
      </c>
      <c r="AV162">
        <v>-0.27100000000000002</v>
      </c>
      <c r="AW162">
        <v>-0.72799999999999998</v>
      </c>
      <c r="AX162">
        <v>-9999</v>
      </c>
      <c r="AY162">
        <v>1</v>
      </c>
      <c r="AZ162">
        <v>150</v>
      </c>
      <c r="BA162">
        <v>5.0000000000000001E-3</v>
      </c>
      <c r="BB162">
        <v>2</v>
      </c>
      <c r="BC162">
        <v>0</v>
      </c>
      <c r="BD162" t="s">
        <v>200</v>
      </c>
      <c r="BE162">
        <v>7000</v>
      </c>
      <c r="BF162">
        <v>500</v>
      </c>
      <c r="BG162">
        <v>5</v>
      </c>
      <c r="BH162">
        <v>2</v>
      </c>
      <c r="BI162">
        <v>300</v>
      </c>
      <c r="BJ162">
        <v>300</v>
      </c>
      <c r="BK162">
        <v>300</v>
      </c>
      <c r="BL162">
        <v>311.08154300000001</v>
      </c>
      <c r="BM162">
        <v>25</v>
      </c>
      <c r="BN162">
        <v>-15.299685</v>
      </c>
      <c r="BO162">
        <v>311.349762</v>
      </c>
      <c r="BP162">
        <v>310.78561400000001</v>
      </c>
      <c r="BQ162">
        <v>0.56414799999999998</v>
      </c>
      <c r="BR162">
        <v>2.406218</v>
      </c>
      <c r="BS162">
        <v>2.4741379999999999</v>
      </c>
      <c r="BT162">
        <v>1.587534</v>
      </c>
      <c r="BU162">
        <v>1.002839</v>
      </c>
      <c r="BV162">
        <v>0.20866499999999999</v>
      </c>
      <c r="BW162">
        <v>-2.5253000000000001E-2</v>
      </c>
      <c r="BX162">
        <v>0.33321600000000001</v>
      </c>
      <c r="BY162">
        <v>0.22932</v>
      </c>
      <c r="BZ162">
        <v>87.487938</v>
      </c>
      <c r="CA162">
        <v>3.4099999999999999E-4</v>
      </c>
      <c r="CB162">
        <v>2.3486280000000002</v>
      </c>
      <c r="CC162">
        <v>-5.1E-5</v>
      </c>
      <c r="CD162">
        <v>1</v>
      </c>
      <c r="CE162">
        <v>2.4109430000000001</v>
      </c>
      <c r="CF162">
        <v>-5.7000000000000003E-5</v>
      </c>
      <c r="CG162">
        <v>1</v>
      </c>
      <c r="CH162">
        <v>0.60051900000000002</v>
      </c>
      <c r="CI162">
        <v>0.60216099999999995</v>
      </c>
      <c r="CJ162">
        <v>0.107265</v>
      </c>
      <c r="CK162">
        <v>0</v>
      </c>
      <c r="CL162" t="s">
        <v>1523</v>
      </c>
      <c r="CM162" t="s">
        <v>201</v>
      </c>
      <c r="CN162" t="s">
        <v>202</v>
      </c>
      <c r="CO162" t="s">
        <v>203</v>
      </c>
      <c r="CP162" t="s">
        <v>204</v>
      </c>
      <c r="CQ162" t="s">
        <v>205</v>
      </c>
      <c r="CR162" t="s">
        <v>206</v>
      </c>
    </row>
    <row r="163" spans="1:96">
      <c r="A163">
        <v>35</v>
      </c>
      <c r="B163" s="3">
        <v>0.78768518518518515</v>
      </c>
      <c r="C163" s="1">
        <v>45176</v>
      </c>
      <c r="D163" t="s">
        <v>196</v>
      </c>
      <c r="E163" t="s">
        <v>197</v>
      </c>
      <c r="G163">
        <v>35</v>
      </c>
      <c r="J163">
        <v>3.4188999999999997E-2</v>
      </c>
      <c r="K163">
        <v>2.9190450000000001</v>
      </c>
      <c r="L163">
        <v>3.3793999999999998E-2</v>
      </c>
      <c r="M163">
        <v>0.88979299999999995</v>
      </c>
      <c r="N163">
        <v>1.8520019999999999</v>
      </c>
      <c r="O163">
        <v>1.8285359999999999</v>
      </c>
      <c r="P163">
        <v>4.2778600000000004</v>
      </c>
      <c r="Q163">
        <v>2.4258579999999998</v>
      </c>
      <c r="R163">
        <v>19.20797</v>
      </c>
      <c r="S163">
        <v>19.454464000000002</v>
      </c>
      <c r="T163">
        <v>44.937041999999998</v>
      </c>
      <c r="U163">
        <v>0.44178600000000001</v>
      </c>
      <c r="V163" t="s">
        <v>1524</v>
      </c>
      <c r="W163">
        <v>0</v>
      </c>
      <c r="X163">
        <v>0</v>
      </c>
      <c r="Y163">
        <v>0</v>
      </c>
      <c r="Z163">
        <v>87.634567000000004</v>
      </c>
      <c r="AA163">
        <v>329.030823</v>
      </c>
      <c r="AB163">
        <v>0.73365800000000003</v>
      </c>
      <c r="AC163">
        <v>0.5</v>
      </c>
      <c r="AD163">
        <v>0.8</v>
      </c>
      <c r="AE163">
        <v>161.907623</v>
      </c>
      <c r="AF163">
        <v>39.36</v>
      </c>
      <c r="AG163">
        <v>38.86</v>
      </c>
      <c r="AH163">
        <v>31.74</v>
      </c>
      <c r="AI163">
        <v>30.07</v>
      </c>
      <c r="AJ163">
        <v>95.2</v>
      </c>
      <c r="AK163">
        <v>156.4</v>
      </c>
      <c r="AL163">
        <v>157.80000000000001</v>
      </c>
      <c r="AM163">
        <v>-0.9</v>
      </c>
      <c r="AN163">
        <v>552</v>
      </c>
      <c r="AO163">
        <v>3.7869999999999999</v>
      </c>
      <c r="AP163" s="3">
        <v>0.78722222222222227</v>
      </c>
      <c r="AQ163" s="1">
        <v>45176</v>
      </c>
      <c r="AR163">
        <v>-0.51</v>
      </c>
      <c r="AS163">
        <v>0</v>
      </c>
      <c r="AT163">
        <v>1E-3</v>
      </c>
      <c r="AU163">
        <v>-9999</v>
      </c>
      <c r="AV163">
        <v>-0.42499999999999999</v>
      </c>
      <c r="AW163">
        <v>-0.86599999999999999</v>
      </c>
      <c r="AX163">
        <v>-9999</v>
      </c>
      <c r="AY163">
        <v>1</v>
      </c>
      <c r="AZ163">
        <v>150</v>
      </c>
      <c r="BA163">
        <v>5.0000000000000001E-3</v>
      </c>
      <c r="BB163">
        <v>2</v>
      </c>
      <c r="BC163">
        <v>0</v>
      </c>
      <c r="BD163" t="s">
        <v>200</v>
      </c>
      <c r="BE163">
        <v>7000</v>
      </c>
      <c r="BF163">
        <v>500</v>
      </c>
      <c r="BG163">
        <v>5</v>
      </c>
      <c r="BH163">
        <v>2</v>
      </c>
      <c r="BI163">
        <v>300</v>
      </c>
      <c r="BJ163">
        <v>300</v>
      </c>
      <c r="BK163">
        <v>300</v>
      </c>
      <c r="BL163">
        <v>308.998718</v>
      </c>
      <c r="BM163">
        <v>25</v>
      </c>
      <c r="BN163">
        <v>-13.866018</v>
      </c>
      <c r="BO163">
        <v>311.127655</v>
      </c>
      <c r="BP163">
        <v>309.14269999999999</v>
      </c>
      <c r="BQ163">
        <v>1.984955</v>
      </c>
      <c r="BR163">
        <v>2.4064260000000002</v>
      </c>
      <c r="BS163">
        <v>2.4744130000000002</v>
      </c>
      <c r="BT163">
        <v>1.588163</v>
      </c>
      <c r="BU163">
        <v>1.0031479999999999</v>
      </c>
      <c r="BV163">
        <v>0.208866</v>
      </c>
      <c r="BW163">
        <v>-2.1292999999999999E-2</v>
      </c>
      <c r="BX163">
        <v>0.333841</v>
      </c>
      <c r="BY163">
        <v>0.59656799999999999</v>
      </c>
      <c r="BZ163">
        <v>87.634567000000004</v>
      </c>
      <c r="CA163">
        <v>3.4400000000000001E-4</v>
      </c>
      <c r="CB163">
        <v>2.3486280000000002</v>
      </c>
      <c r="CC163">
        <v>-5.1E-5</v>
      </c>
      <c r="CD163">
        <v>1</v>
      </c>
      <c r="CE163">
        <v>2.4109430000000001</v>
      </c>
      <c r="CF163">
        <v>-5.7000000000000003E-5</v>
      </c>
      <c r="CG163">
        <v>1</v>
      </c>
      <c r="CH163">
        <v>0.60051900000000002</v>
      </c>
      <c r="CI163">
        <v>0.60216099999999995</v>
      </c>
      <c r="CJ163">
        <v>0.107265</v>
      </c>
      <c r="CK163">
        <v>0</v>
      </c>
      <c r="CL163" t="s">
        <v>1524</v>
      </c>
      <c r="CM163" t="s">
        <v>201</v>
      </c>
      <c r="CN163" t="s">
        <v>202</v>
      </c>
      <c r="CO163" t="s">
        <v>203</v>
      </c>
      <c r="CP163" t="s">
        <v>204</v>
      </c>
      <c r="CQ163" t="s">
        <v>205</v>
      </c>
      <c r="CR163" t="s">
        <v>206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0"/>
  <sheetViews>
    <sheetView zoomScale="85" zoomScaleNormal="85" workbookViewId="0">
      <pane ySplit="1" topLeftCell="A11" activePane="bottomLeft" state="frozen"/>
      <selection pane="bottomLeft" activeCell="M45" sqref="M45"/>
    </sheetView>
  </sheetViews>
  <sheetFormatPr defaultColWidth="11.42578125" defaultRowHeight="15"/>
  <sheetData>
    <row r="1" spans="1:23">
      <c r="A1" t="s">
        <v>806</v>
      </c>
      <c r="B1" t="s">
        <v>488</v>
      </c>
      <c r="C1" t="s">
        <v>447</v>
      </c>
      <c r="D1" t="s">
        <v>449</v>
      </c>
      <c r="E1" t="s">
        <v>450</v>
      </c>
      <c r="F1" t="s">
        <v>448</v>
      </c>
      <c r="I1" t="s">
        <v>453</v>
      </c>
      <c r="J1" t="s">
        <v>454</v>
      </c>
      <c r="K1" t="s">
        <v>455</v>
      </c>
      <c r="L1" t="s">
        <v>456</v>
      </c>
      <c r="M1" t="s">
        <v>457</v>
      </c>
      <c r="N1" t="s">
        <v>458</v>
      </c>
      <c r="P1" t="s">
        <v>460</v>
      </c>
      <c r="Q1" t="s">
        <v>461</v>
      </c>
      <c r="R1" t="s">
        <v>462</v>
      </c>
      <c r="S1" t="s">
        <v>463</v>
      </c>
      <c r="T1" t="s">
        <v>464</v>
      </c>
      <c r="U1" t="s">
        <v>465</v>
      </c>
    </row>
    <row r="2" spans="1:23">
      <c r="A2">
        <v>2.1</v>
      </c>
      <c r="B2">
        <v>1</v>
      </c>
      <c r="C2">
        <v>6.8</v>
      </c>
      <c r="D2">
        <v>7.5</v>
      </c>
      <c r="E2">
        <v>6</v>
      </c>
      <c r="F2" s="2">
        <v>0.34791666666666665</v>
      </c>
      <c r="I2" t="s">
        <v>1525</v>
      </c>
    </row>
    <row r="3" spans="1:23">
      <c r="A3">
        <v>1.2</v>
      </c>
      <c r="B3">
        <v>1</v>
      </c>
      <c r="C3">
        <v>7</v>
      </c>
      <c r="D3">
        <v>7</v>
      </c>
      <c r="E3">
        <v>7.5</v>
      </c>
      <c r="F3" s="2">
        <v>0.35069444444444442</v>
      </c>
    </row>
    <row r="4" spans="1:23">
      <c r="A4">
        <v>1.1000000000000001</v>
      </c>
      <c r="B4">
        <v>1</v>
      </c>
      <c r="C4">
        <v>6.5</v>
      </c>
      <c r="D4">
        <v>6.8</v>
      </c>
      <c r="E4">
        <v>7</v>
      </c>
      <c r="F4" s="2">
        <v>0.3756944444444445</v>
      </c>
    </row>
    <row r="5" spans="1:23">
      <c r="A5">
        <v>2.2000000000000002</v>
      </c>
      <c r="B5">
        <v>1</v>
      </c>
      <c r="C5">
        <v>6.5</v>
      </c>
      <c r="D5">
        <v>6.5</v>
      </c>
      <c r="E5">
        <v>8</v>
      </c>
      <c r="F5" s="2">
        <v>0.37152777777777773</v>
      </c>
    </row>
    <row r="6" spans="1:23">
      <c r="A6">
        <v>4.2</v>
      </c>
      <c r="B6">
        <v>1</v>
      </c>
      <c r="C6">
        <v>6.5</v>
      </c>
      <c r="D6">
        <v>6.2</v>
      </c>
      <c r="E6">
        <v>6</v>
      </c>
      <c r="F6" s="2">
        <v>0.36805555555555558</v>
      </c>
    </row>
    <row r="7" spans="1:23">
      <c r="A7">
        <v>3.2</v>
      </c>
      <c r="B7">
        <v>1</v>
      </c>
      <c r="C7">
        <v>6.2</v>
      </c>
      <c r="D7">
        <v>4.5</v>
      </c>
      <c r="E7">
        <v>5.5</v>
      </c>
      <c r="F7" s="2">
        <v>0.36527777777777781</v>
      </c>
    </row>
    <row r="8" spans="1:23">
      <c r="A8">
        <v>3.1</v>
      </c>
      <c r="B8">
        <v>1</v>
      </c>
      <c r="C8">
        <v>4.5</v>
      </c>
      <c r="D8">
        <v>5.5</v>
      </c>
      <c r="E8">
        <v>6</v>
      </c>
      <c r="F8" s="2">
        <v>0.35555555555555557</v>
      </c>
    </row>
    <row r="9" spans="1:23">
      <c r="A9">
        <v>4.0999999999999996</v>
      </c>
      <c r="B9">
        <v>1</v>
      </c>
      <c r="C9">
        <v>6</v>
      </c>
      <c r="D9">
        <v>5.5</v>
      </c>
      <c r="E9">
        <v>7</v>
      </c>
      <c r="F9" s="2">
        <v>0.35972222222222222</v>
      </c>
    </row>
    <row r="10" spans="1:23">
      <c r="A10" t="s">
        <v>807</v>
      </c>
      <c r="B10">
        <v>1</v>
      </c>
      <c r="C10">
        <v>5.5</v>
      </c>
      <c r="D10">
        <v>7.5</v>
      </c>
      <c r="E10">
        <v>7.5</v>
      </c>
      <c r="F10" s="2">
        <v>0.38055555555555554</v>
      </c>
    </row>
    <row r="12" spans="1:23">
      <c r="A12">
        <v>2.1</v>
      </c>
      <c r="B12">
        <v>2</v>
      </c>
      <c r="C12">
        <v>12.5</v>
      </c>
      <c r="D12">
        <v>12.5</v>
      </c>
      <c r="F12" s="2">
        <v>0.44305555555555554</v>
      </c>
      <c r="I12">
        <v>9.2143000000000003E-2</v>
      </c>
      <c r="J12">
        <v>0.108546</v>
      </c>
      <c r="K12">
        <v>0.36915199999999998</v>
      </c>
      <c r="L12">
        <v>0.120972</v>
      </c>
      <c r="M12">
        <v>0.13331200000000001</v>
      </c>
      <c r="P12">
        <v>1.0059819999999999</v>
      </c>
      <c r="Q12">
        <v>0.96673900000000001</v>
      </c>
      <c r="R12">
        <v>0.98757499999999998</v>
      </c>
      <c r="S12">
        <v>0.92222300000000001</v>
      </c>
      <c r="T12">
        <v>0.93452999999999997</v>
      </c>
      <c r="W12" s="11">
        <f>AVERAGE(P12:U12)</f>
        <v>0.96340979999999998</v>
      </c>
    </row>
    <row r="13" spans="1:23">
      <c r="A13">
        <v>1.2</v>
      </c>
      <c r="B13">
        <v>2</v>
      </c>
      <c r="C13">
        <v>16.5</v>
      </c>
      <c r="D13">
        <v>16.5</v>
      </c>
      <c r="E13">
        <v>16</v>
      </c>
      <c r="F13" s="2">
        <v>0.44791666666666669</v>
      </c>
      <c r="I13">
        <v>1.8145999999999999E-2</v>
      </c>
      <c r="J13">
        <v>3.2865999999999999E-2</v>
      </c>
      <c r="K13">
        <v>6.2686000000000006E-2</v>
      </c>
      <c r="L13">
        <v>0.10925799999999999</v>
      </c>
      <c r="P13">
        <v>1.280564</v>
      </c>
      <c r="Q13">
        <v>1.525104</v>
      </c>
      <c r="R13">
        <v>1.2509220000000001</v>
      </c>
      <c r="S13">
        <v>1.2305120000000001</v>
      </c>
      <c r="W13" s="11">
        <f t="shared" ref="W13:W20" si="0">AVERAGE(P13:U13)</f>
        <v>1.3217755</v>
      </c>
    </row>
    <row r="14" spans="1:23">
      <c r="A14">
        <v>1.1000000000000001</v>
      </c>
      <c r="B14">
        <v>2</v>
      </c>
      <c r="C14">
        <v>15</v>
      </c>
      <c r="D14">
        <v>15</v>
      </c>
      <c r="E14">
        <v>15</v>
      </c>
      <c r="F14" s="2">
        <v>0.45277777777777778</v>
      </c>
      <c r="I14">
        <v>5.0180000000000002E-2</v>
      </c>
      <c r="J14">
        <v>0.10272000000000001</v>
      </c>
      <c r="K14">
        <v>8.6733000000000005E-2</v>
      </c>
      <c r="L14">
        <v>0.160689</v>
      </c>
      <c r="M14">
        <v>4.3186000000000002E-2</v>
      </c>
      <c r="P14">
        <v>1.5750189999999999</v>
      </c>
      <c r="Q14">
        <v>1.542675</v>
      </c>
      <c r="R14">
        <v>1.3998550000000001</v>
      </c>
      <c r="S14">
        <v>1.348338</v>
      </c>
      <c r="T14">
        <v>1.4830209999999999</v>
      </c>
      <c r="W14" s="11">
        <f t="shared" si="0"/>
        <v>1.4697816000000001</v>
      </c>
    </row>
    <row r="15" spans="1:23">
      <c r="A15">
        <v>2.2000000000000002</v>
      </c>
      <c r="B15">
        <v>2</v>
      </c>
      <c r="C15">
        <v>17.5</v>
      </c>
      <c r="D15">
        <v>16.5</v>
      </c>
      <c r="E15">
        <v>17.5</v>
      </c>
      <c r="F15" s="2">
        <v>0.45694444444444443</v>
      </c>
      <c r="I15">
        <v>4.0468999999999998E-2</v>
      </c>
      <c r="J15">
        <v>1.1924000000000001E-2</v>
      </c>
      <c r="K15">
        <v>6.6870000000000002E-3</v>
      </c>
      <c r="L15">
        <v>3.1371999999999997E-2</v>
      </c>
      <c r="P15">
        <v>1.732953</v>
      </c>
      <c r="Q15">
        <v>1.5477000000000001</v>
      </c>
      <c r="R15">
        <v>1.7775160000000001</v>
      </c>
      <c r="S15">
        <v>1.5648089999999999</v>
      </c>
      <c r="W15" s="11">
        <f t="shared" si="0"/>
        <v>1.6557445</v>
      </c>
    </row>
    <row r="16" spans="1:23">
      <c r="A16">
        <v>4.2</v>
      </c>
      <c r="B16">
        <v>2</v>
      </c>
      <c r="C16">
        <v>13</v>
      </c>
      <c r="D16">
        <v>13.5</v>
      </c>
      <c r="E16">
        <v>13</v>
      </c>
      <c r="F16" s="2">
        <v>0.46180555555555558</v>
      </c>
      <c r="I16">
        <v>5.8358E-2</v>
      </c>
      <c r="J16">
        <v>9.4670000000000004E-2</v>
      </c>
      <c r="K16">
        <v>0.10523299999999999</v>
      </c>
      <c r="L16">
        <v>6.6894999999999996E-2</v>
      </c>
      <c r="P16">
        <v>2.626207</v>
      </c>
      <c r="Q16">
        <v>1.816479</v>
      </c>
      <c r="R16">
        <v>1.5528729999999999</v>
      </c>
      <c r="S16">
        <v>1.6857960000000001</v>
      </c>
      <c r="W16" s="11">
        <f t="shared" si="0"/>
        <v>1.92033875</v>
      </c>
    </row>
    <row r="17" spans="1:23">
      <c r="A17">
        <v>3.2</v>
      </c>
      <c r="B17">
        <v>2</v>
      </c>
      <c r="C17">
        <v>14</v>
      </c>
      <c r="D17">
        <v>14.5</v>
      </c>
      <c r="E17">
        <v>15</v>
      </c>
      <c r="F17" s="2">
        <v>0.46597222222222223</v>
      </c>
      <c r="I17">
        <v>8.5129999999999997E-2</v>
      </c>
      <c r="J17">
        <v>7.0524000000000003E-2</v>
      </c>
      <c r="K17">
        <v>0.109791</v>
      </c>
      <c r="L17">
        <v>0.18510799999999999</v>
      </c>
      <c r="P17">
        <v>2.2868979999999999</v>
      </c>
      <c r="Q17">
        <v>2.5485639999999998</v>
      </c>
      <c r="R17">
        <v>2.4007510000000001</v>
      </c>
      <c r="S17">
        <v>2.1070579999999999</v>
      </c>
      <c r="W17" s="11">
        <f t="shared" si="0"/>
        <v>2.3358177499999999</v>
      </c>
    </row>
    <row r="18" spans="1:23">
      <c r="A18">
        <v>3.1</v>
      </c>
      <c r="B18">
        <v>2</v>
      </c>
      <c r="C18">
        <v>15.5</v>
      </c>
      <c r="D18">
        <v>15</v>
      </c>
      <c r="E18">
        <v>16</v>
      </c>
      <c r="F18" s="2">
        <v>0.47916666666666669</v>
      </c>
      <c r="I18">
        <v>6.1407999999999997E-2</v>
      </c>
      <c r="J18">
        <v>3.0780999999999999E-2</v>
      </c>
      <c r="K18">
        <v>6.7039000000000001E-2</v>
      </c>
      <c r="L18">
        <v>5.3095000000000003E-2</v>
      </c>
      <c r="P18">
        <v>3.0016729999999998</v>
      </c>
      <c r="Q18">
        <v>2.3323520000000002</v>
      </c>
      <c r="R18">
        <v>3.1101200000000002</v>
      </c>
      <c r="S18">
        <v>2.434104</v>
      </c>
      <c r="T18">
        <v>3.4630939999999999</v>
      </c>
      <c r="W18" s="11">
        <f t="shared" si="0"/>
        <v>2.8682685999999999</v>
      </c>
    </row>
    <row r="19" spans="1:23">
      <c r="A19">
        <v>4.0999999999999996</v>
      </c>
      <c r="B19">
        <v>2</v>
      </c>
      <c r="C19">
        <v>16</v>
      </c>
      <c r="D19">
        <v>17</v>
      </c>
      <c r="E19">
        <v>16</v>
      </c>
      <c r="F19" s="2">
        <v>0.49305555555555558</v>
      </c>
      <c r="I19">
        <v>1.9581000000000001E-2</v>
      </c>
      <c r="J19">
        <v>6.3062000000000007E-2</v>
      </c>
      <c r="K19">
        <v>1.9708E-2</v>
      </c>
      <c r="L19">
        <v>1.8724000000000001E-2</v>
      </c>
      <c r="M19">
        <v>2.8747999999999999E-2</v>
      </c>
      <c r="P19">
        <v>3.1006369999999999</v>
      </c>
      <c r="Q19">
        <v>3.047412</v>
      </c>
      <c r="R19">
        <v>3.0340340000000001</v>
      </c>
      <c r="S19">
        <v>2.528594</v>
      </c>
      <c r="W19" s="11">
        <f t="shared" si="0"/>
        <v>2.9276692500000001</v>
      </c>
    </row>
    <row r="20" spans="1:23">
      <c r="A20" t="s">
        <v>807</v>
      </c>
      <c r="B20">
        <v>2</v>
      </c>
      <c r="C20">
        <v>17</v>
      </c>
      <c r="D20">
        <v>17</v>
      </c>
      <c r="E20">
        <v>17</v>
      </c>
      <c r="F20" s="2">
        <v>0.47291666666666665</v>
      </c>
      <c r="I20">
        <v>4.7182000000000002E-2</v>
      </c>
      <c r="J20">
        <v>0.1178</v>
      </c>
      <c r="K20">
        <v>8.2975999999999994E-2</v>
      </c>
      <c r="L20">
        <v>4.3393000000000001E-2</v>
      </c>
      <c r="P20">
        <v>3.3314520000000001</v>
      </c>
      <c r="Q20">
        <v>3.4202750000000002</v>
      </c>
      <c r="R20">
        <v>2.8305229999999999</v>
      </c>
      <c r="S20">
        <v>3.3537780000000001</v>
      </c>
      <c r="W20" s="11">
        <f t="shared" si="0"/>
        <v>3.2340070000000001</v>
      </c>
    </row>
    <row r="22" spans="1:23">
      <c r="A22">
        <v>2.1</v>
      </c>
      <c r="B22">
        <v>3</v>
      </c>
      <c r="C22">
        <v>19.2</v>
      </c>
      <c r="D22">
        <v>19.5</v>
      </c>
      <c r="F22" s="2">
        <v>0.54861111111111105</v>
      </c>
      <c r="I22">
        <v>1.3395000000000001E-2</v>
      </c>
      <c r="J22">
        <v>2.1163999999999999E-2</v>
      </c>
      <c r="K22">
        <v>1.4798E-2</v>
      </c>
      <c r="L22">
        <v>5.2742999999999998E-2</v>
      </c>
      <c r="P22">
        <v>3.26633</v>
      </c>
      <c r="Q22">
        <v>3.1033529999999998</v>
      </c>
      <c r="R22">
        <v>3.9256009999999999</v>
      </c>
      <c r="S22">
        <v>3.6542240000000001</v>
      </c>
      <c r="W22" s="11">
        <f>AVERAGE(P22:U22)</f>
        <v>3.4873770000000004</v>
      </c>
    </row>
    <row r="23" spans="1:23">
      <c r="A23">
        <v>1.2</v>
      </c>
      <c r="B23">
        <v>3</v>
      </c>
      <c r="C23">
        <v>19.8</v>
      </c>
      <c r="D23">
        <v>20</v>
      </c>
      <c r="F23" s="2">
        <v>0.55138888888888882</v>
      </c>
      <c r="I23">
        <v>3.3189999999999999E-3</v>
      </c>
      <c r="J23">
        <v>4.9016999999999998E-2</v>
      </c>
      <c r="K23">
        <v>4.9967999999999999E-2</v>
      </c>
      <c r="L23">
        <v>5.6156999999999999E-2</v>
      </c>
      <c r="P23">
        <v>4.1871580000000002</v>
      </c>
      <c r="Q23">
        <v>3.1949320000000001</v>
      </c>
      <c r="R23">
        <v>3.1313599999999999</v>
      </c>
      <c r="S23">
        <v>3.1353240000000002</v>
      </c>
      <c r="W23" s="11">
        <f t="shared" ref="W23:W30" si="1">AVERAGE(P23:U23)</f>
        <v>3.4121934999999999</v>
      </c>
    </row>
    <row r="24" spans="1:23">
      <c r="A24">
        <v>1.1000000000000001</v>
      </c>
      <c r="B24">
        <v>3</v>
      </c>
      <c r="C24">
        <v>19.5</v>
      </c>
      <c r="D24">
        <v>18.5</v>
      </c>
      <c r="E24">
        <v>18</v>
      </c>
      <c r="F24" s="2">
        <v>0.55763888888888891</v>
      </c>
      <c r="I24">
        <v>3.7629999999999999E-3</v>
      </c>
      <c r="J24">
        <v>2.9256999999999998E-2</v>
      </c>
      <c r="K24">
        <v>2.4677999999999999E-2</v>
      </c>
      <c r="L24">
        <v>1.2659999999999999E-2</v>
      </c>
      <c r="N24">
        <v>1.0817E-2</v>
      </c>
      <c r="P24">
        <v>4.698766</v>
      </c>
      <c r="Q24">
        <v>3.1825839999999999</v>
      </c>
      <c r="R24">
        <v>3.4645480000000002</v>
      </c>
      <c r="S24">
        <v>3.8952640000000001</v>
      </c>
      <c r="T24">
        <v>4.7039249999999999</v>
      </c>
      <c r="U24">
        <v>4.7843859999999996</v>
      </c>
      <c r="W24" s="11">
        <f t="shared" si="1"/>
        <v>4.1215788333333334</v>
      </c>
    </row>
    <row r="25" spans="1:23">
      <c r="A25">
        <v>2.2000000000000002</v>
      </c>
      <c r="B25">
        <v>3</v>
      </c>
      <c r="C25">
        <v>22</v>
      </c>
      <c r="D25">
        <v>22.5</v>
      </c>
      <c r="F25" s="2">
        <v>0.56041666666666667</v>
      </c>
      <c r="J25">
        <v>1.4448000000000001E-2</v>
      </c>
      <c r="K25">
        <v>1.0322E-2</v>
      </c>
      <c r="L25">
        <v>1.1287999999999999E-2</v>
      </c>
      <c r="N25">
        <v>2.5890000000000002E-3</v>
      </c>
      <c r="P25">
        <v>1.050362</v>
      </c>
      <c r="Q25">
        <v>4.2004440000000001</v>
      </c>
      <c r="R25">
        <v>3.6001479999999999</v>
      </c>
      <c r="S25">
        <v>4.4754649999999998</v>
      </c>
      <c r="T25">
        <v>2.1649590000000001</v>
      </c>
      <c r="U25">
        <v>5.1626479999999999</v>
      </c>
      <c r="W25" s="11">
        <f t="shared" si="1"/>
        <v>3.4423376666666665</v>
      </c>
    </row>
    <row r="26" spans="1:23">
      <c r="A26">
        <v>4.2</v>
      </c>
      <c r="B26">
        <v>3</v>
      </c>
      <c r="C26">
        <v>16.5</v>
      </c>
      <c r="D26">
        <v>17</v>
      </c>
      <c r="F26" s="2">
        <v>0.56388888888888888</v>
      </c>
      <c r="I26">
        <v>2.0669999999999998E-3</v>
      </c>
      <c r="J26">
        <v>1.5277000000000001E-2</v>
      </c>
      <c r="K26">
        <v>1.1416000000000001E-2</v>
      </c>
      <c r="P26">
        <v>4.3195870000000003</v>
      </c>
      <c r="Q26">
        <v>3.2867009999999999</v>
      </c>
      <c r="R26">
        <v>3.35642</v>
      </c>
      <c r="S26">
        <v>3.9871370000000002</v>
      </c>
      <c r="W26" s="11">
        <f t="shared" si="1"/>
        <v>3.73746125</v>
      </c>
    </row>
    <row r="27" spans="1:23">
      <c r="A27">
        <v>3.2</v>
      </c>
      <c r="B27">
        <v>3</v>
      </c>
      <c r="C27">
        <v>17</v>
      </c>
      <c r="D27">
        <v>18</v>
      </c>
      <c r="F27" s="2">
        <v>0.56944444444444442</v>
      </c>
      <c r="K27">
        <v>8.3171999999999996E-2</v>
      </c>
      <c r="L27">
        <v>9.5991999999999994E-2</v>
      </c>
      <c r="M27">
        <v>4.2571999999999999E-2</v>
      </c>
      <c r="N27">
        <v>5.0455E-2</v>
      </c>
      <c r="P27">
        <v>4.1745369999999999</v>
      </c>
      <c r="Q27">
        <v>4.8094390000000002</v>
      </c>
      <c r="R27">
        <v>3.5928070000000001</v>
      </c>
      <c r="S27">
        <v>3.0895549999999998</v>
      </c>
      <c r="T27">
        <v>3.4904860000000002</v>
      </c>
      <c r="U27">
        <v>3.8744640000000001</v>
      </c>
      <c r="W27" s="11">
        <f t="shared" si="1"/>
        <v>3.8385479999999998</v>
      </c>
    </row>
    <row r="28" spans="1:23">
      <c r="A28">
        <v>3.1</v>
      </c>
      <c r="B28">
        <v>3</v>
      </c>
      <c r="C28">
        <v>18.8</v>
      </c>
      <c r="D28">
        <v>17</v>
      </c>
      <c r="E28">
        <v>18</v>
      </c>
      <c r="F28" s="2">
        <v>0.57222222222222219</v>
      </c>
      <c r="I28">
        <v>2.1580000000000002E-3</v>
      </c>
      <c r="J28">
        <v>9.9946999999999994E-2</v>
      </c>
      <c r="K28">
        <v>3.9220999999999999E-2</v>
      </c>
      <c r="L28">
        <v>6.0262000000000003E-2</v>
      </c>
      <c r="P28">
        <v>4.8123990000000001</v>
      </c>
      <c r="Q28">
        <v>3.170563</v>
      </c>
      <c r="R28">
        <v>4.3914280000000003</v>
      </c>
      <c r="S28">
        <v>4.1463229999999998</v>
      </c>
      <c r="W28" s="11">
        <f t="shared" si="1"/>
        <v>4.1301782500000002</v>
      </c>
    </row>
    <row r="29" spans="1:23">
      <c r="A29">
        <v>4.0999999999999996</v>
      </c>
      <c r="B29">
        <v>3</v>
      </c>
      <c r="C29">
        <v>19.5</v>
      </c>
      <c r="D29">
        <v>18</v>
      </c>
      <c r="E29">
        <v>20.5</v>
      </c>
      <c r="F29" s="2">
        <v>0.57986111111111105</v>
      </c>
      <c r="I29">
        <v>3.9947000000000003E-2</v>
      </c>
      <c r="J29">
        <v>4.6074999999999998E-2</v>
      </c>
      <c r="K29">
        <v>7.3145000000000002E-2</v>
      </c>
      <c r="L29">
        <v>2.5534000000000001E-2</v>
      </c>
      <c r="P29">
        <v>4.066173</v>
      </c>
      <c r="Q29">
        <v>3.8418869999999998</v>
      </c>
      <c r="R29">
        <v>3.1407880000000001</v>
      </c>
      <c r="S29">
        <v>3.9655330000000002</v>
      </c>
      <c r="W29" s="11">
        <f t="shared" si="1"/>
        <v>3.75359525</v>
      </c>
    </row>
    <row r="30" spans="1:23">
      <c r="A30" t="s">
        <v>807</v>
      </c>
      <c r="B30">
        <v>3</v>
      </c>
      <c r="C30">
        <v>14.5</v>
      </c>
      <c r="D30">
        <v>13</v>
      </c>
      <c r="F30" s="2">
        <v>0.58263888888888882</v>
      </c>
      <c r="I30">
        <v>1.0815999999999999E-2</v>
      </c>
      <c r="J30">
        <v>1.9649E-2</v>
      </c>
      <c r="K30">
        <v>7.3786000000000004E-2</v>
      </c>
      <c r="L30">
        <v>9.5189999999999997E-2</v>
      </c>
      <c r="P30">
        <v>4.9159980000000001</v>
      </c>
      <c r="Q30">
        <v>4.367534</v>
      </c>
      <c r="R30">
        <v>4.3891010000000001</v>
      </c>
      <c r="S30">
        <v>4.5827059999999999</v>
      </c>
      <c r="W30" s="11">
        <f t="shared" si="1"/>
        <v>4.5638347499999998</v>
      </c>
    </row>
    <row r="32" spans="1:23">
      <c r="A32">
        <v>2.1</v>
      </c>
      <c r="B32">
        <v>4</v>
      </c>
      <c r="C32">
        <v>19</v>
      </c>
      <c r="D32">
        <v>19.5</v>
      </c>
      <c r="F32" s="2">
        <v>0.65972222222222221</v>
      </c>
      <c r="I32">
        <v>3.3509999999999998E-3</v>
      </c>
      <c r="J32">
        <v>3.5611999999999998E-2</v>
      </c>
      <c r="K32">
        <v>2.3476E-2</v>
      </c>
      <c r="L32">
        <v>2.7321999999999999E-2</v>
      </c>
      <c r="P32">
        <v>3.5463580000000001</v>
      </c>
      <c r="Q32">
        <v>3.6890309999999999</v>
      </c>
      <c r="R32">
        <v>4.5917500000000002</v>
      </c>
      <c r="S32">
        <v>4.2587979999999996</v>
      </c>
      <c r="W32" s="11">
        <f>AVERAGE(P32:U32)</f>
        <v>4.0214842499999994</v>
      </c>
    </row>
    <row r="33" spans="1:23">
      <c r="A33">
        <v>1.2</v>
      </c>
      <c r="B33">
        <v>4</v>
      </c>
      <c r="C33">
        <v>21</v>
      </c>
      <c r="D33">
        <v>19</v>
      </c>
      <c r="E33">
        <v>21</v>
      </c>
      <c r="F33" s="2">
        <v>0.66319444444444442</v>
      </c>
      <c r="I33">
        <v>8.8500000000000002E-3</v>
      </c>
      <c r="J33">
        <v>1.0158E-2</v>
      </c>
      <c r="K33">
        <v>4.4560000000000002E-2</v>
      </c>
      <c r="L33">
        <v>1.6910000000000001E-2</v>
      </c>
      <c r="P33">
        <v>5.2406730000000001</v>
      </c>
      <c r="Q33">
        <v>4.1309469999999999</v>
      </c>
      <c r="R33">
        <v>4.7464230000000001</v>
      </c>
      <c r="S33">
        <v>4.9063790000000003</v>
      </c>
      <c r="W33" s="11">
        <f t="shared" ref="W33:W40" si="2">AVERAGE(P33:U33)</f>
        <v>4.7561055000000003</v>
      </c>
    </row>
    <row r="34" spans="1:23">
      <c r="A34">
        <v>1.1000000000000001</v>
      </c>
      <c r="B34">
        <v>4</v>
      </c>
      <c r="C34">
        <v>18</v>
      </c>
      <c r="D34">
        <v>18</v>
      </c>
      <c r="F34" s="2">
        <v>0.66666666666666663</v>
      </c>
      <c r="J34">
        <v>1.6900000000000001E-3</v>
      </c>
      <c r="K34">
        <v>3.5364E-2</v>
      </c>
      <c r="L34">
        <v>3.2839E-2</v>
      </c>
      <c r="M34">
        <v>2.9263000000000001E-2</v>
      </c>
      <c r="N34">
        <v>4.0239999999999998E-3</v>
      </c>
      <c r="P34">
        <v>5.4278829999999996</v>
      </c>
      <c r="Q34">
        <v>5.3430660000000003</v>
      </c>
      <c r="R34">
        <v>3.6753809999999998</v>
      </c>
      <c r="S34">
        <v>3.5343490000000002</v>
      </c>
      <c r="T34">
        <v>5.0454030000000003</v>
      </c>
      <c r="U34">
        <v>5.3405100000000001</v>
      </c>
      <c r="W34" s="11">
        <f t="shared" si="2"/>
        <v>4.7277653333333332</v>
      </c>
    </row>
    <row r="35" spans="1:23">
      <c r="A35">
        <v>2.2000000000000002</v>
      </c>
      <c r="B35">
        <v>4</v>
      </c>
      <c r="C35">
        <v>22.5</v>
      </c>
      <c r="D35">
        <v>23</v>
      </c>
      <c r="F35" s="2">
        <v>0.6694444444444444</v>
      </c>
      <c r="I35">
        <v>1.3516E-2</v>
      </c>
      <c r="J35">
        <v>5.9329999999999999E-3</v>
      </c>
      <c r="K35">
        <v>3.0289E-2</v>
      </c>
      <c r="L35">
        <v>1.8541999999999999E-2</v>
      </c>
      <c r="P35">
        <v>5.3961269999999999</v>
      </c>
      <c r="Q35">
        <v>4.8752019999999998</v>
      </c>
      <c r="R35">
        <v>3.5209839999999999</v>
      </c>
      <c r="S35">
        <v>4.8192339999999998</v>
      </c>
      <c r="W35" s="11">
        <f t="shared" si="2"/>
        <v>4.6528867500000004</v>
      </c>
    </row>
    <row r="36" spans="1:23">
      <c r="A36">
        <v>4.2</v>
      </c>
      <c r="B36">
        <v>4</v>
      </c>
      <c r="C36">
        <v>17</v>
      </c>
      <c r="D36">
        <v>17.5</v>
      </c>
      <c r="F36" s="2">
        <v>0.67291666666666661</v>
      </c>
      <c r="I36">
        <v>1.9119000000000001E-2</v>
      </c>
      <c r="J36">
        <v>2.9300000000000002E-4</v>
      </c>
      <c r="K36">
        <v>2.5774999999999999E-2</v>
      </c>
      <c r="L36">
        <v>1.1674E-2</v>
      </c>
      <c r="M36">
        <v>3.1994000000000002E-2</v>
      </c>
      <c r="P36">
        <v>3.6847059999999998</v>
      </c>
      <c r="Q36">
        <v>4.4639540000000002</v>
      </c>
      <c r="R36">
        <v>4.1814359999999997</v>
      </c>
      <c r="S36">
        <v>3.732812</v>
      </c>
      <c r="T36">
        <v>3.3281670000000001</v>
      </c>
      <c r="W36" s="11">
        <f t="shared" si="2"/>
        <v>3.878215</v>
      </c>
    </row>
    <row r="37" spans="1:23">
      <c r="A37">
        <v>3.2</v>
      </c>
      <c r="B37">
        <v>4</v>
      </c>
      <c r="C37">
        <v>19</v>
      </c>
      <c r="D37">
        <v>18</v>
      </c>
      <c r="F37" s="2">
        <v>0.67638888888888893</v>
      </c>
      <c r="I37">
        <v>3.8816000000000003E-2</v>
      </c>
      <c r="J37">
        <v>3.0391000000000001E-2</v>
      </c>
      <c r="K37">
        <v>3.9322000000000003E-2</v>
      </c>
      <c r="L37">
        <v>3.9058000000000002E-2</v>
      </c>
      <c r="P37">
        <v>4.1647069999999999</v>
      </c>
      <c r="Q37">
        <v>4.185079</v>
      </c>
      <c r="R37">
        <v>3.6049470000000001</v>
      </c>
      <c r="S37">
        <v>3.7812540000000001</v>
      </c>
      <c r="W37" s="11">
        <f t="shared" si="2"/>
        <v>3.9339967500000004</v>
      </c>
    </row>
    <row r="38" spans="1:23">
      <c r="A38">
        <v>3.1</v>
      </c>
      <c r="B38">
        <v>4</v>
      </c>
      <c r="C38">
        <v>21</v>
      </c>
      <c r="D38">
        <v>20.5</v>
      </c>
      <c r="F38" s="2">
        <v>0.68125000000000002</v>
      </c>
      <c r="I38">
        <v>1.5613E-2</v>
      </c>
      <c r="J38">
        <v>2.3859999999999999E-2</v>
      </c>
      <c r="K38">
        <v>2.5652000000000001E-2</v>
      </c>
      <c r="L38">
        <v>1.3879000000000001E-2</v>
      </c>
      <c r="P38">
        <v>5.2833509999999997</v>
      </c>
      <c r="Q38">
        <v>5.1319039999999996</v>
      </c>
      <c r="R38">
        <v>4.0722480000000001</v>
      </c>
      <c r="S38">
        <v>4.8089839999999997</v>
      </c>
      <c r="W38" s="11">
        <f t="shared" si="2"/>
        <v>4.8241217499999998</v>
      </c>
    </row>
    <row r="39" spans="1:23">
      <c r="A39">
        <v>4.0999999999999996</v>
      </c>
      <c r="B39">
        <v>4</v>
      </c>
      <c r="C39">
        <v>18.5</v>
      </c>
      <c r="D39">
        <v>20</v>
      </c>
      <c r="E39">
        <v>18</v>
      </c>
      <c r="F39" s="2">
        <v>0.68541666666666667</v>
      </c>
      <c r="I39">
        <v>5.4567999999999998E-2</v>
      </c>
      <c r="J39">
        <v>2.3421000000000001E-2</v>
      </c>
      <c r="K39">
        <v>5.2178000000000002E-2</v>
      </c>
      <c r="L39">
        <v>6.4420000000000005E-2</v>
      </c>
      <c r="P39">
        <v>3.6314540000000002</v>
      </c>
      <c r="Q39">
        <v>3.554268</v>
      </c>
      <c r="R39">
        <v>3.246464</v>
      </c>
      <c r="S39">
        <v>3.6114449999999998</v>
      </c>
      <c r="W39" s="11">
        <f t="shared" si="2"/>
        <v>3.5109077499999999</v>
      </c>
    </row>
    <row r="40" spans="1:23">
      <c r="A40" t="s">
        <v>807</v>
      </c>
      <c r="B40">
        <v>4</v>
      </c>
      <c r="C40">
        <v>14</v>
      </c>
      <c r="D40">
        <v>14</v>
      </c>
      <c r="F40" s="2">
        <v>0.69305555555555554</v>
      </c>
      <c r="I40">
        <v>8.9730000000000004E-2</v>
      </c>
      <c r="J40">
        <v>9.0973999999999999E-2</v>
      </c>
      <c r="K40">
        <v>7.8450000000000006E-2</v>
      </c>
      <c r="L40">
        <v>3.6616999999999997E-2</v>
      </c>
      <c r="M40">
        <v>8.4541000000000005E-2</v>
      </c>
      <c r="P40">
        <v>3.4795919999999998</v>
      </c>
      <c r="Q40">
        <v>3.822597</v>
      </c>
      <c r="R40">
        <v>4.6321649999999996</v>
      </c>
      <c r="S40">
        <v>4.5277190000000003</v>
      </c>
      <c r="T40">
        <v>3.473106</v>
      </c>
      <c r="W40" s="11">
        <f t="shared" si="2"/>
        <v>3.9870358000000001</v>
      </c>
    </row>
    <row r="42" spans="1:23">
      <c r="A42">
        <v>2.1</v>
      </c>
      <c r="B42">
        <v>5</v>
      </c>
      <c r="C42">
        <v>18.5</v>
      </c>
      <c r="D42">
        <v>18</v>
      </c>
      <c r="F42" s="2">
        <v>0.76458333333333339</v>
      </c>
      <c r="I42">
        <v>6.5240000000000006E-2</v>
      </c>
      <c r="J42">
        <v>5.9683E-2</v>
      </c>
      <c r="K42">
        <v>1.9786000000000002E-2</v>
      </c>
      <c r="L42">
        <v>1.6912E-2</v>
      </c>
      <c r="P42">
        <v>3.0906389999999999</v>
      </c>
      <c r="Q42">
        <v>2.9351959999999999</v>
      </c>
      <c r="R42">
        <v>3.4958969999999998</v>
      </c>
      <c r="S42">
        <v>3.1871399999999999</v>
      </c>
      <c r="W42" s="11">
        <f>AVERAGE(P42:U42)</f>
        <v>3.1772179999999999</v>
      </c>
    </row>
    <row r="43" spans="1:23">
      <c r="A43">
        <v>1.2</v>
      </c>
      <c r="B43">
        <v>5</v>
      </c>
      <c r="C43">
        <v>18.2</v>
      </c>
      <c r="D43">
        <v>21</v>
      </c>
      <c r="E43">
        <v>20</v>
      </c>
      <c r="F43" s="2">
        <v>0.7680555555555556</v>
      </c>
      <c r="J43">
        <v>1.6313000000000001E-2</v>
      </c>
      <c r="K43">
        <v>1.5554999999999999E-2</v>
      </c>
      <c r="M43">
        <v>1.2289E-2</v>
      </c>
      <c r="P43">
        <v>3.700895</v>
      </c>
      <c r="Q43">
        <v>3.6234799999999998</v>
      </c>
      <c r="R43">
        <v>3.0285150000000001</v>
      </c>
      <c r="S43">
        <v>3.6729509999999999</v>
      </c>
      <c r="T43">
        <v>3.708205</v>
      </c>
      <c r="W43" s="11">
        <f t="shared" ref="W43:W50" si="3">AVERAGE(P43:U43)</f>
        <v>3.5468091999999998</v>
      </c>
    </row>
    <row r="44" spans="1:23">
      <c r="A44">
        <v>1.1000000000000001</v>
      </c>
      <c r="B44">
        <v>5</v>
      </c>
      <c r="C44">
        <v>18.2</v>
      </c>
      <c r="D44">
        <v>19</v>
      </c>
      <c r="E44">
        <v>22.5</v>
      </c>
      <c r="F44" s="2">
        <v>0.77361111111111114</v>
      </c>
      <c r="I44">
        <v>2.9982000000000002E-2</v>
      </c>
      <c r="J44">
        <v>3.5222999999999997E-2</v>
      </c>
      <c r="K44">
        <v>3.4270000000000002E-2</v>
      </c>
      <c r="L44">
        <v>3.4020000000000002E-2</v>
      </c>
      <c r="P44">
        <v>2.909675</v>
      </c>
      <c r="Q44">
        <v>2.7365379999999999</v>
      </c>
      <c r="R44">
        <v>3.2116959999999999</v>
      </c>
      <c r="S44">
        <v>2.6299800000000002</v>
      </c>
      <c r="W44" s="11">
        <f t="shared" si="3"/>
        <v>2.8719722499999998</v>
      </c>
    </row>
    <row r="45" spans="1:23">
      <c r="A45">
        <v>2.2000000000000002</v>
      </c>
      <c r="B45">
        <v>5</v>
      </c>
      <c r="C45">
        <v>22</v>
      </c>
      <c r="D45">
        <v>22.5</v>
      </c>
      <c r="F45" s="2">
        <v>0.77500000000000002</v>
      </c>
      <c r="I45">
        <v>3.2815999999999998E-2</v>
      </c>
      <c r="J45">
        <v>5.6814999999999997E-2</v>
      </c>
      <c r="K45">
        <v>4.4125999999999999E-2</v>
      </c>
      <c r="L45">
        <v>3.4431999999999997E-2</v>
      </c>
      <c r="P45">
        <v>3.5125690000000001</v>
      </c>
      <c r="Q45">
        <v>3.473954</v>
      </c>
      <c r="R45">
        <v>3.0247489999999999</v>
      </c>
      <c r="S45">
        <v>2.6476690000000001</v>
      </c>
      <c r="W45" s="11">
        <f t="shared" si="3"/>
        <v>3.1647352500000001</v>
      </c>
    </row>
    <row r="46" spans="1:23">
      <c r="A46">
        <v>4.2</v>
      </c>
      <c r="B46">
        <v>5</v>
      </c>
      <c r="C46">
        <v>17</v>
      </c>
      <c r="D46">
        <v>17</v>
      </c>
      <c r="F46" s="2">
        <v>0.77847222222222223</v>
      </c>
      <c r="I46">
        <v>4.3517E-2</v>
      </c>
      <c r="J46">
        <v>2.2734000000000001E-2</v>
      </c>
      <c r="K46">
        <v>2.2395999999999999E-2</v>
      </c>
      <c r="L46">
        <v>2.0344000000000001E-2</v>
      </c>
      <c r="P46">
        <v>2.5437189999999998</v>
      </c>
      <c r="Q46">
        <v>2.421214</v>
      </c>
      <c r="R46">
        <v>2.4247519999999998</v>
      </c>
      <c r="S46">
        <v>2.526497</v>
      </c>
      <c r="W46" s="11">
        <f t="shared" si="3"/>
        <v>2.4790454999999998</v>
      </c>
    </row>
    <row r="47" spans="1:23">
      <c r="A47">
        <v>3.2</v>
      </c>
      <c r="B47">
        <v>5</v>
      </c>
      <c r="C47">
        <v>17.8</v>
      </c>
      <c r="D47">
        <v>19</v>
      </c>
      <c r="E47">
        <v>18</v>
      </c>
      <c r="F47" s="2">
        <v>0.78194444444444444</v>
      </c>
      <c r="J47">
        <v>4.4234999999999997E-2</v>
      </c>
      <c r="K47">
        <v>4.9766999999999999E-2</v>
      </c>
      <c r="L47">
        <v>4.4150000000000002E-2</v>
      </c>
      <c r="M47">
        <v>3.1415999999999999E-2</v>
      </c>
      <c r="P47">
        <v>2.6836090000000001</v>
      </c>
      <c r="Q47">
        <v>2.4625750000000002</v>
      </c>
      <c r="R47">
        <v>2.4955690000000001</v>
      </c>
      <c r="S47">
        <v>2.692339</v>
      </c>
      <c r="T47">
        <v>2.5761419999999999</v>
      </c>
      <c r="W47" s="11">
        <f t="shared" si="3"/>
        <v>2.5820467999999996</v>
      </c>
    </row>
    <row r="48" spans="1:23">
      <c r="A48">
        <v>3.1</v>
      </c>
      <c r="B48">
        <v>5</v>
      </c>
      <c r="C48">
        <v>19</v>
      </c>
      <c r="D48">
        <v>19</v>
      </c>
      <c r="F48" s="2">
        <v>0.78611111111111109</v>
      </c>
      <c r="I48">
        <v>2.5780999999999998E-2</v>
      </c>
      <c r="J48">
        <v>4.8232999999999998E-2</v>
      </c>
      <c r="K48">
        <v>4.4069999999999998E-2</v>
      </c>
      <c r="L48">
        <v>3.7655000000000001E-2</v>
      </c>
      <c r="P48">
        <v>2.4555169999999999</v>
      </c>
      <c r="Q48">
        <v>2.4431150000000001</v>
      </c>
      <c r="R48">
        <v>2.7472249999999998</v>
      </c>
      <c r="S48">
        <v>2.7837230000000002</v>
      </c>
      <c r="W48" s="11">
        <f t="shared" si="3"/>
        <v>2.6073949999999999</v>
      </c>
    </row>
    <row r="49" spans="1:23">
      <c r="A49">
        <v>4.0999999999999996</v>
      </c>
      <c r="B49">
        <v>5</v>
      </c>
      <c r="C49">
        <v>18.8</v>
      </c>
      <c r="D49">
        <v>18.5</v>
      </c>
      <c r="F49" s="2">
        <v>0.78888888888888886</v>
      </c>
      <c r="I49">
        <v>1.1296E-2</v>
      </c>
      <c r="J49">
        <v>5.9658999999999997E-2</v>
      </c>
      <c r="K49">
        <v>5.4099000000000001E-2</v>
      </c>
      <c r="L49">
        <v>3.2541E-2</v>
      </c>
      <c r="M49">
        <v>3.4188999999999997E-2</v>
      </c>
      <c r="P49">
        <v>2.4428990000000002</v>
      </c>
      <c r="Q49">
        <v>2.445951</v>
      </c>
      <c r="R49">
        <v>2.4442189999999999</v>
      </c>
      <c r="S49">
        <v>2.361148</v>
      </c>
      <c r="T49">
        <v>2.4258579999999998</v>
      </c>
      <c r="W49" s="11">
        <f t="shared" si="3"/>
        <v>2.4240149999999998</v>
      </c>
    </row>
    <row r="50" spans="1:23">
      <c r="A50" t="s">
        <v>807</v>
      </c>
      <c r="B50">
        <v>5</v>
      </c>
      <c r="C50">
        <v>13</v>
      </c>
      <c r="D50">
        <v>13</v>
      </c>
      <c r="F50" s="2">
        <v>0.7597222222222223</v>
      </c>
      <c r="I50">
        <v>3.1182999999999999E-2</v>
      </c>
      <c r="J50">
        <v>4.8022000000000002E-2</v>
      </c>
      <c r="K50">
        <v>4.3262000000000002E-2</v>
      </c>
      <c r="L50">
        <v>3.0841E-2</v>
      </c>
      <c r="P50">
        <v>3.0973869999999999</v>
      </c>
      <c r="Q50">
        <v>3.3159550000000002</v>
      </c>
      <c r="R50">
        <v>2.9844409999999999</v>
      </c>
      <c r="S50">
        <v>3.0379670000000001</v>
      </c>
      <c r="W50" s="11">
        <f t="shared" si="3"/>
        <v>3.1089375000000001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83"/>
  <sheetViews>
    <sheetView workbookViewId="0">
      <pane xSplit="1" ySplit="1" topLeftCell="B133" activePane="bottomRight" state="frozen"/>
      <selection pane="bottomRight" activeCell="N145" sqref="N145"/>
      <selection pane="bottomLeft" activeCell="A2" sqref="A2"/>
      <selection pane="topRight" activeCell="B1" sqref="B1"/>
    </sheetView>
  </sheetViews>
  <sheetFormatPr defaultColWidth="11.42578125" defaultRowHeight="15"/>
  <cols>
    <col min="1" max="1" width="17.140625" customWidth="1"/>
    <col min="2" max="2" width="20.28515625" bestFit="1" customWidth="1"/>
    <col min="3" max="7" width="16.140625" bestFit="1" customWidth="1"/>
    <col min="8" max="8" width="16.140625" style="4" bestFit="1" customWidth="1"/>
    <col min="9" max="10" width="16.140625" bestFit="1" customWidth="1"/>
  </cols>
  <sheetData>
    <row r="1" spans="1:10">
      <c r="B1" t="s">
        <v>478</v>
      </c>
      <c r="C1" t="s">
        <v>479</v>
      </c>
      <c r="D1" t="s">
        <v>480</v>
      </c>
      <c r="E1" t="s">
        <v>481</v>
      </c>
      <c r="F1" t="s">
        <v>482</v>
      </c>
      <c r="G1" t="s">
        <v>483</v>
      </c>
      <c r="H1" s="4" t="s">
        <v>484</v>
      </c>
      <c r="I1" t="s">
        <v>485</v>
      </c>
      <c r="J1" t="s">
        <v>486</v>
      </c>
    </row>
    <row r="2" spans="1:10">
      <c r="A2" s="10">
        <v>45176</v>
      </c>
      <c r="B2">
        <v>-13</v>
      </c>
      <c r="C2">
        <v>-9.25</v>
      </c>
      <c r="D2">
        <v>-4.7699999999999996</v>
      </c>
      <c r="E2">
        <v>-7.44</v>
      </c>
      <c r="F2">
        <v>-9.11</v>
      </c>
      <c r="G2">
        <v>-7.48</v>
      </c>
      <c r="H2" s="4">
        <v>-8.2799999999999994</v>
      </c>
      <c r="I2">
        <v>-3.4</v>
      </c>
      <c r="J2">
        <v>-8.8000000000000007</v>
      </c>
    </row>
    <row r="3" spans="1:10">
      <c r="A3" s="10">
        <v>45176.003472222219</v>
      </c>
      <c r="B3">
        <v>-13</v>
      </c>
    </row>
    <row r="4" spans="1:10">
      <c r="A4" s="10">
        <v>45176.006944444445</v>
      </c>
      <c r="B4">
        <v>-13</v>
      </c>
    </row>
    <row r="5" spans="1:10">
      <c r="A5" s="10">
        <v>45176.010416666664</v>
      </c>
      <c r="B5">
        <v>-13</v>
      </c>
      <c r="C5">
        <v>-9.18</v>
      </c>
      <c r="D5">
        <v>-4.67</v>
      </c>
      <c r="E5">
        <v>-7.36</v>
      </c>
      <c r="F5">
        <v>-9.01</v>
      </c>
      <c r="G5">
        <v>-7.36</v>
      </c>
      <c r="H5" s="4">
        <v>-8.25</v>
      </c>
      <c r="I5">
        <v>-3.28</v>
      </c>
    </row>
    <row r="6" spans="1:10">
      <c r="A6" s="10">
        <v>45176.013888888891</v>
      </c>
      <c r="B6">
        <v>-13</v>
      </c>
      <c r="J6">
        <v>-8.68</v>
      </c>
    </row>
    <row r="7" spans="1:10">
      <c r="A7" s="10">
        <v>45176.020833333336</v>
      </c>
      <c r="B7">
        <v>-13</v>
      </c>
      <c r="C7">
        <v>-9.14</v>
      </c>
      <c r="D7">
        <v>-4.55</v>
      </c>
      <c r="E7">
        <v>-7.27</v>
      </c>
      <c r="F7">
        <v>-8.94</v>
      </c>
      <c r="G7">
        <v>-7.24</v>
      </c>
      <c r="H7" s="4">
        <v>-8.23</v>
      </c>
      <c r="I7">
        <v>-3.23</v>
      </c>
    </row>
    <row r="8" spans="1:10">
      <c r="A8" s="10">
        <v>45176.024305555555</v>
      </c>
      <c r="B8">
        <v>-13</v>
      </c>
      <c r="J8">
        <v>-8.59</v>
      </c>
    </row>
    <row r="9" spans="1:10">
      <c r="A9" s="10">
        <v>45176.027777777781</v>
      </c>
      <c r="B9">
        <v>-13</v>
      </c>
    </row>
    <row r="10" spans="1:10">
      <c r="A10" s="10">
        <v>45176.03125</v>
      </c>
      <c r="B10">
        <v>-13</v>
      </c>
      <c r="C10">
        <v>-9.06</v>
      </c>
      <c r="D10">
        <v>-4.4800000000000004</v>
      </c>
      <c r="G10">
        <v>-7.13</v>
      </c>
      <c r="H10" s="4">
        <v>-8.19</v>
      </c>
      <c r="I10">
        <v>-3.19</v>
      </c>
    </row>
    <row r="11" spans="1:10">
      <c r="A11" s="10">
        <v>45176.034722222219</v>
      </c>
      <c r="B11">
        <v>-13</v>
      </c>
      <c r="E11">
        <v>-7.16</v>
      </c>
      <c r="J11">
        <v>-8.51</v>
      </c>
    </row>
    <row r="12" spans="1:10">
      <c r="A12" s="10">
        <v>45176.041666666664</v>
      </c>
      <c r="B12">
        <v>-13</v>
      </c>
      <c r="C12">
        <v>-8.9600000000000009</v>
      </c>
      <c r="D12">
        <v>-4.4000000000000004</v>
      </c>
      <c r="F12">
        <v>-8.7799999999999994</v>
      </c>
      <c r="G12">
        <v>-7.03</v>
      </c>
      <c r="H12" s="4">
        <v>-8.14</v>
      </c>
      <c r="I12">
        <v>-3.13</v>
      </c>
    </row>
    <row r="13" spans="1:10">
      <c r="A13" s="10">
        <v>45176.045138888891</v>
      </c>
      <c r="B13">
        <v>-13</v>
      </c>
      <c r="E13">
        <v>-7.09</v>
      </c>
    </row>
    <row r="14" spans="1:10">
      <c r="A14" s="10">
        <v>45176.048611111109</v>
      </c>
      <c r="B14">
        <v>-13</v>
      </c>
      <c r="J14">
        <v>-8.42</v>
      </c>
    </row>
    <row r="15" spans="1:10">
      <c r="A15" s="10">
        <v>45176.052083333336</v>
      </c>
      <c r="B15">
        <v>-13</v>
      </c>
    </row>
    <row r="16" spans="1:10">
      <c r="A16" s="10">
        <v>45176.055555555555</v>
      </c>
      <c r="B16">
        <v>-13</v>
      </c>
      <c r="C16">
        <v>-8.83</v>
      </c>
      <c r="E16">
        <v>-7.01</v>
      </c>
      <c r="F16">
        <v>-8.7100000000000009</v>
      </c>
      <c r="G16">
        <v>-6.93</v>
      </c>
      <c r="H16" s="4">
        <v>-8.01</v>
      </c>
      <c r="I16">
        <v>-3.01</v>
      </c>
    </row>
    <row r="17" spans="1:10">
      <c r="A17" s="10">
        <v>45176.059027777781</v>
      </c>
      <c r="J17">
        <v>-8.35</v>
      </c>
    </row>
    <row r="18" spans="1:10">
      <c r="A18" s="10">
        <v>45176.0625</v>
      </c>
      <c r="B18">
        <v>-13</v>
      </c>
    </row>
    <row r="19" spans="1:10">
      <c r="A19" s="10">
        <v>45176.065972222219</v>
      </c>
      <c r="B19">
        <v>-13</v>
      </c>
      <c r="C19">
        <v>-8.8000000000000007</v>
      </c>
      <c r="D19">
        <v>-4.28</v>
      </c>
      <c r="G19">
        <v>-6.84</v>
      </c>
      <c r="H19" s="4">
        <v>-8.0399999999999991</v>
      </c>
      <c r="I19">
        <v>-2.93</v>
      </c>
    </row>
    <row r="20" spans="1:10">
      <c r="A20" s="10">
        <v>45176.069444444445</v>
      </c>
      <c r="B20">
        <v>-13</v>
      </c>
      <c r="E20">
        <v>-6.97</v>
      </c>
      <c r="J20">
        <v>-8.31</v>
      </c>
    </row>
    <row r="21" spans="1:10">
      <c r="A21" s="10">
        <v>45176.072916666664</v>
      </c>
      <c r="B21">
        <v>-13</v>
      </c>
    </row>
    <row r="22" spans="1:10">
      <c r="A22" s="10">
        <v>45176.076388888891</v>
      </c>
      <c r="B22">
        <v>-13</v>
      </c>
      <c r="C22">
        <v>-8.76</v>
      </c>
      <c r="D22">
        <v>-4.26</v>
      </c>
      <c r="F22">
        <v>-8.59</v>
      </c>
      <c r="G22">
        <v>-6.77</v>
      </c>
      <c r="H22" s="4">
        <v>-8.0500000000000007</v>
      </c>
      <c r="I22">
        <v>-2.94</v>
      </c>
    </row>
    <row r="23" spans="1:10">
      <c r="A23" s="10">
        <v>45176.079861111109</v>
      </c>
      <c r="J23">
        <v>-8.2799999999999994</v>
      </c>
    </row>
    <row r="24" spans="1:10">
      <c r="A24" s="10">
        <v>45176.083333333336</v>
      </c>
      <c r="B24">
        <v>-13</v>
      </c>
      <c r="E24">
        <v>-6.91</v>
      </c>
    </row>
    <row r="25" spans="1:10">
      <c r="A25" s="10">
        <v>45176.086805555555</v>
      </c>
      <c r="B25">
        <v>-13</v>
      </c>
      <c r="C25">
        <v>-8.83</v>
      </c>
      <c r="D25">
        <v>-4.24</v>
      </c>
      <c r="F25">
        <v>-8.58</v>
      </c>
      <c r="G25">
        <v>-6.71</v>
      </c>
      <c r="H25" s="4">
        <v>-8.11</v>
      </c>
      <c r="I25">
        <v>-3.05</v>
      </c>
    </row>
    <row r="26" spans="1:10">
      <c r="A26" s="10">
        <v>45176.090277777781</v>
      </c>
      <c r="B26">
        <v>-13</v>
      </c>
    </row>
    <row r="27" spans="1:10">
      <c r="A27" s="10">
        <v>45176.09375</v>
      </c>
      <c r="B27">
        <v>-13</v>
      </c>
      <c r="E27">
        <v>-6.87</v>
      </c>
      <c r="J27">
        <v>-8.26</v>
      </c>
    </row>
    <row r="28" spans="1:10">
      <c r="A28" s="10">
        <v>45176.097222222219</v>
      </c>
      <c r="B28">
        <v>-13</v>
      </c>
      <c r="C28">
        <v>-8.7799999999999994</v>
      </c>
      <c r="F28">
        <v>-8.5500000000000007</v>
      </c>
      <c r="G28">
        <v>-6.65</v>
      </c>
      <c r="H28" s="4">
        <v>-8.1199999999999992</v>
      </c>
      <c r="I28">
        <v>-3.17</v>
      </c>
    </row>
    <row r="29" spans="1:10">
      <c r="A29" s="10">
        <v>45176.100694444445</v>
      </c>
      <c r="D29">
        <v>-4.17</v>
      </c>
    </row>
    <row r="30" spans="1:10">
      <c r="A30" s="10">
        <v>45176.104166666664</v>
      </c>
      <c r="B30">
        <v>-13</v>
      </c>
      <c r="E30">
        <v>-6.81</v>
      </c>
      <c r="J30">
        <v>-8.1999999999999993</v>
      </c>
    </row>
    <row r="31" spans="1:10">
      <c r="A31" s="10">
        <v>45176.107638888891</v>
      </c>
      <c r="B31">
        <v>-13</v>
      </c>
    </row>
    <row r="32" spans="1:10">
      <c r="A32" s="10">
        <v>45176.111111111109</v>
      </c>
      <c r="B32">
        <v>-13</v>
      </c>
      <c r="C32">
        <v>-8.68</v>
      </c>
      <c r="D32">
        <v>-4.08</v>
      </c>
      <c r="F32">
        <v>-8.49</v>
      </c>
      <c r="G32">
        <v>-6.57</v>
      </c>
      <c r="H32" s="4">
        <v>-8.0399999999999991</v>
      </c>
      <c r="I32">
        <v>-3.11</v>
      </c>
    </row>
    <row r="33" spans="1:10">
      <c r="A33" s="10">
        <v>45176.114583333336</v>
      </c>
      <c r="B33">
        <v>-13</v>
      </c>
      <c r="E33">
        <v>-6.74</v>
      </c>
      <c r="J33">
        <v>-8.14</v>
      </c>
    </row>
    <row r="34" spans="1:10">
      <c r="A34" s="10">
        <v>45176.118055555555</v>
      </c>
      <c r="B34">
        <v>-13</v>
      </c>
    </row>
    <row r="35" spans="1:10">
      <c r="A35" s="10">
        <v>45176.121527777781</v>
      </c>
      <c r="C35">
        <v>-8.6300000000000008</v>
      </c>
      <c r="D35">
        <v>-3.96</v>
      </c>
      <c r="F35">
        <v>-8.43</v>
      </c>
      <c r="G35">
        <v>-6.49</v>
      </c>
      <c r="H35" s="4">
        <v>-8</v>
      </c>
    </row>
    <row r="36" spans="1:10">
      <c r="A36" s="10">
        <v>45176.125</v>
      </c>
      <c r="B36">
        <v>-13</v>
      </c>
      <c r="I36">
        <v>-3.01</v>
      </c>
      <c r="J36">
        <v>-8.1</v>
      </c>
    </row>
    <row r="37" spans="1:10">
      <c r="A37" s="10">
        <v>45176.128472222219</v>
      </c>
      <c r="E37">
        <v>-6.67</v>
      </c>
    </row>
    <row r="38" spans="1:10">
      <c r="A38" s="10">
        <v>45176.131944444445</v>
      </c>
      <c r="B38">
        <v>-13</v>
      </c>
      <c r="C38">
        <v>-8.6199999999999992</v>
      </c>
      <c r="D38">
        <v>-3.86</v>
      </c>
      <c r="F38">
        <v>-8.39</v>
      </c>
      <c r="G38">
        <v>-6.42</v>
      </c>
      <c r="H38" s="4">
        <v>-7.99</v>
      </c>
    </row>
    <row r="39" spans="1:10">
      <c r="A39" s="10">
        <v>45176.135416666664</v>
      </c>
      <c r="B39">
        <v>-13</v>
      </c>
      <c r="I39">
        <v>-2.97</v>
      </c>
    </row>
    <row r="40" spans="1:10">
      <c r="A40" s="10">
        <v>45176.138888888891</v>
      </c>
      <c r="B40">
        <v>-13</v>
      </c>
      <c r="E40">
        <v>-6.62</v>
      </c>
      <c r="J40">
        <v>-8.07</v>
      </c>
    </row>
    <row r="41" spans="1:10">
      <c r="A41" s="10">
        <v>45176.142361111109</v>
      </c>
      <c r="C41">
        <v>-8.6199999999999992</v>
      </c>
      <c r="D41">
        <v>-3.78</v>
      </c>
      <c r="F41">
        <v>-8.35</v>
      </c>
      <c r="G41">
        <v>-6.35</v>
      </c>
      <c r="H41" s="4">
        <v>-7.99</v>
      </c>
    </row>
    <row r="42" spans="1:10">
      <c r="A42" s="10">
        <v>45176.145833333336</v>
      </c>
      <c r="B42">
        <v>-13</v>
      </c>
      <c r="I42">
        <v>-2.97</v>
      </c>
    </row>
    <row r="43" spans="1:10">
      <c r="A43" s="10">
        <v>45176.149305555555</v>
      </c>
      <c r="B43">
        <v>-13</v>
      </c>
      <c r="E43">
        <v>-6.56</v>
      </c>
      <c r="J43">
        <v>-8.0399999999999991</v>
      </c>
    </row>
    <row r="44" spans="1:10">
      <c r="A44" s="10">
        <v>45176.152777777781</v>
      </c>
      <c r="B44">
        <v>-13</v>
      </c>
      <c r="C44">
        <v>-8.6199999999999992</v>
      </c>
      <c r="F44">
        <v>-8.33</v>
      </c>
      <c r="G44">
        <v>-6.31</v>
      </c>
      <c r="H44" s="4">
        <v>-7.97</v>
      </c>
    </row>
    <row r="45" spans="1:10">
      <c r="A45" s="10">
        <v>45176.15625</v>
      </c>
      <c r="B45">
        <v>-13</v>
      </c>
      <c r="D45">
        <v>-3.71</v>
      </c>
      <c r="I45">
        <v>-3.04</v>
      </c>
    </row>
    <row r="46" spans="1:10">
      <c r="A46" s="10">
        <v>45176.159722222219</v>
      </c>
      <c r="B46">
        <v>-13</v>
      </c>
      <c r="E46">
        <v>-6.51</v>
      </c>
      <c r="J46">
        <v>-8.01</v>
      </c>
    </row>
    <row r="47" spans="1:10">
      <c r="A47" s="10">
        <v>45176.166666666664</v>
      </c>
      <c r="B47">
        <v>-13</v>
      </c>
      <c r="C47">
        <v>-8.6</v>
      </c>
      <c r="F47">
        <v>-8.2899999999999991</v>
      </c>
      <c r="G47">
        <v>-6.27</v>
      </c>
      <c r="H47" s="4">
        <v>-7.96</v>
      </c>
      <c r="I47">
        <v>-3.09</v>
      </c>
    </row>
    <row r="48" spans="1:10">
      <c r="A48" s="10">
        <v>45176.170138888891</v>
      </c>
      <c r="B48">
        <v>-13</v>
      </c>
      <c r="J48">
        <v>-7.97</v>
      </c>
    </row>
    <row r="49" spans="1:10">
      <c r="A49" s="10">
        <v>45176.173611111109</v>
      </c>
      <c r="B49">
        <v>-13</v>
      </c>
      <c r="E49">
        <v>-6.46</v>
      </c>
    </row>
    <row r="50" spans="1:10">
      <c r="A50" s="10">
        <v>45176.177083333336</v>
      </c>
      <c r="B50">
        <v>-13</v>
      </c>
      <c r="C50">
        <v>-8.5399999999999991</v>
      </c>
      <c r="D50">
        <v>-3.51</v>
      </c>
      <c r="F50">
        <v>-8.25</v>
      </c>
      <c r="G50">
        <v>-6.21</v>
      </c>
      <c r="H50" s="4">
        <v>-7.92</v>
      </c>
    </row>
    <row r="51" spans="1:10">
      <c r="A51" s="10">
        <v>45176.180555555555</v>
      </c>
      <c r="B51">
        <v>-13</v>
      </c>
      <c r="I51">
        <v>-3.04</v>
      </c>
    </row>
    <row r="52" spans="1:10">
      <c r="A52" s="10">
        <v>45176.184027777781</v>
      </c>
      <c r="B52">
        <v>-13</v>
      </c>
      <c r="E52">
        <v>-6.41</v>
      </c>
      <c r="J52">
        <v>-7.91</v>
      </c>
    </row>
    <row r="53" spans="1:10">
      <c r="A53" s="10">
        <v>45176.1875</v>
      </c>
      <c r="C53">
        <v>-8.4499999999999993</v>
      </c>
      <c r="D53">
        <v>-3.46</v>
      </c>
      <c r="F53">
        <v>-8.2100000000000009</v>
      </c>
      <c r="G53">
        <v>-6.14</v>
      </c>
    </row>
    <row r="54" spans="1:10">
      <c r="A54" s="10">
        <v>45176.190972222219</v>
      </c>
      <c r="B54">
        <v>-13</v>
      </c>
      <c r="H54" s="4">
        <v>-7.85</v>
      </c>
      <c r="I54">
        <v>-2.96</v>
      </c>
    </row>
    <row r="55" spans="1:10">
      <c r="A55" s="10">
        <v>45176.194444444445</v>
      </c>
      <c r="B55">
        <v>-13</v>
      </c>
      <c r="E55">
        <v>-6.36</v>
      </c>
    </row>
    <row r="56" spans="1:10">
      <c r="A56" s="10">
        <v>45176.197916666664</v>
      </c>
      <c r="B56">
        <v>-13</v>
      </c>
      <c r="C56">
        <v>-8.42</v>
      </c>
      <c r="D56">
        <v>-3.41</v>
      </c>
      <c r="F56">
        <v>-8.18</v>
      </c>
      <c r="G56">
        <v>-6.09</v>
      </c>
      <c r="J56">
        <v>-7.89</v>
      </c>
    </row>
    <row r="57" spans="1:10">
      <c r="A57" s="10">
        <v>45176.201388888891</v>
      </c>
      <c r="B57">
        <v>-13</v>
      </c>
      <c r="H57" s="4">
        <v>-7.83</v>
      </c>
      <c r="I57">
        <v>-2.93</v>
      </c>
    </row>
    <row r="58" spans="1:10">
      <c r="A58" s="10">
        <v>45176.204861111109</v>
      </c>
      <c r="E58">
        <v>-6.32</v>
      </c>
    </row>
    <row r="59" spans="1:10">
      <c r="A59" s="10">
        <v>45176.208333333336</v>
      </c>
      <c r="C59">
        <v>-8.43</v>
      </c>
      <c r="F59">
        <v>-8.16</v>
      </c>
      <c r="G59">
        <v>-6.04</v>
      </c>
      <c r="J59">
        <v>-7.86</v>
      </c>
    </row>
    <row r="60" spans="1:10">
      <c r="A60" s="10">
        <v>45176.211805555555</v>
      </c>
      <c r="B60">
        <v>-13</v>
      </c>
      <c r="D60">
        <v>-3.4</v>
      </c>
      <c r="H60" s="4">
        <v>-7.81</v>
      </c>
      <c r="I60">
        <v>-2.9</v>
      </c>
    </row>
    <row r="61" spans="1:10">
      <c r="A61" s="10">
        <v>45176.215277777781</v>
      </c>
      <c r="B61">
        <v>-13</v>
      </c>
      <c r="E61">
        <v>-6.29</v>
      </c>
    </row>
    <row r="62" spans="1:10">
      <c r="A62" s="10">
        <v>45176.21875</v>
      </c>
      <c r="B62">
        <v>-13</v>
      </c>
      <c r="J62">
        <v>-7.87</v>
      </c>
    </row>
    <row r="63" spans="1:10">
      <c r="A63" s="10">
        <v>45176.222222222219</v>
      </c>
      <c r="B63">
        <v>-13</v>
      </c>
      <c r="C63">
        <v>-8.48</v>
      </c>
      <c r="D63">
        <v>-3.41</v>
      </c>
      <c r="F63">
        <v>-8.16</v>
      </c>
      <c r="G63">
        <v>-6.01</v>
      </c>
      <c r="H63" s="4">
        <v>-7.85</v>
      </c>
      <c r="I63">
        <v>-2.93</v>
      </c>
    </row>
    <row r="64" spans="1:10">
      <c r="A64" s="10">
        <v>45176.225694444445</v>
      </c>
      <c r="B64">
        <v>-13</v>
      </c>
    </row>
    <row r="65" spans="1:10">
      <c r="A65" s="10">
        <v>45176.229166666664</v>
      </c>
      <c r="E65">
        <v>-6.27</v>
      </c>
      <c r="J65">
        <v>-7.86</v>
      </c>
    </row>
    <row r="66" spans="1:10">
      <c r="A66" s="10">
        <v>45176.232638888891</v>
      </c>
      <c r="B66">
        <v>-13</v>
      </c>
      <c r="C66">
        <v>-8.4600000000000009</v>
      </c>
      <c r="D66">
        <v>-3.5</v>
      </c>
      <c r="F66">
        <v>-8.16</v>
      </c>
      <c r="G66">
        <v>-5.99</v>
      </c>
    </row>
    <row r="67" spans="1:10">
      <c r="A67" s="10">
        <v>45176.236111111109</v>
      </c>
      <c r="B67">
        <v>-13</v>
      </c>
      <c r="H67" s="4">
        <v>-7.86</v>
      </c>
      <c r="I67">
        <v>-2.98</v>
      </c>
    </row>
    <row r="68" spans="1:10">
      <c r="A68" s="10">
        <v>45176.239583333336</v>
      </c>
      <c r="B68">
        <v>-13</v>
      </c>
      <c r="E68">
        <v>-6.25</v>
      </c>
    </row>
    <row r="69" spans="1:10">
      <c r="A69" s="10">
        <v>45176.243055555555</v>
      </c>
      <c r="B69">
        <v>-13</v>
      </c>
      <c r="C69">
        <v>-8.4600000000000009</v>
      </c>
      <c r="D69">
        <v>-3.54</v>
      </c>
      <c r="F69">
        <v>-8.15</v>
      </c>
      <c r="G69">
        <v>-5.97</v>
      </c>
      <c r="J69">
        <v>-7.88</v>
      </c>
    </row>
    <row r="70" spans="1:10">
      <c r="A70" s="10">
        <v>45176.246527777781</v>
      </c>
      <c r="B70">
        <v>-13</v>
      </c>
      <c r="H70" s="4">
        <v>-7.93</v>
      </c>
      <c r="I70">
        <v>-3.16</v>
      </c>
    </row>
    <row r="71" spans="1:10">
      <c r="A71" s="10">
        <v>45176.253472222219</v>
      </c>
      <c r="B71">
        <v>-13</v>
      </c>
      <c r="C71">
        <v>-8.43</v>
      </c>
      <c r="D71">
        <v>-3.54</v>
      </c>
      <c r="F71">
        <v>-8.1199999999999992</v>
      </c>
      <c r="G71">
        <v>-5.94</v>
      </c>
      <c r="J71">
        <v>-7.86</v>
      </c>
    </row>
    <row r="72" spans="1:10">
      <c r="A72" s="10">
        <v>45176.256944444445</v>
      </c>
      <c r="B72">
        <v>-13</v>
      </c>
      <c r="H72" s="4">
        <v>-7.9</v>
      </c>
    </row>
    <row r="73" spans="1:10">
      <c r="A73" s="10">
        <v>45176.260416666664</v>
      </c>
      <c r="B73">
        <v>-13</v>
      </c>
      <c r="E73">
        <v>-6.19</v>
      </c>
      <c r="I73">
        <v>-3.22</v>
      </c>
    </row>
    <row r="74" spans="1:10">
      <c r="A74" s="10">
        <v>45176.263888888891</v>
      </c>
      <c r="B74">
        <v>-13</v>
      </c>
      <c r="D74">
        <v>-3.44</v>
      </c>
      <c r="F74">
        <v>-8.08</v>
      </c>
      <c r="G74">
        <v>-5.88</v>
      </c>
      <c r="J74">
        <v>-7.82</v>
      </c>
    </row>
    <row r="75" spans="1:10">
      <c r="A75" s="10">
        <v>45176.267361111109</v>
      </c>
      <c r="B75">
        <v>-13</v>
      </c>
      <c r="H75" s="4">
        <v>-7.84</v>
      </c>
    </row>
    <row r="76" spans="1:10">
      <c r="A76" s="10">
        <v>45176.270833333336</v>
      </c>
      <c r="E76">
        <v>-6.15</v>
      </c>
      <c r="I76">
        <v>-3.16</v>
      </c>
    </row>
    <row r="77" spans="1:10">
      <c r="A77" s="10">
        <v>45176.274305555555</v>
      </c>
      <c r="B77">
        <v>-13</v>
      </c>
      <c r="J77">
        <v>-7.8</v>
      </c>
    </row>
    <row r="78" spans="1:10">
      <c r="A78" s="10">
        <v>45176.277777777781</v>
      </c>
      <c r="B78">
        <v>-13</v>
      </c>
      <c r="C78">
        <v>-8.32</v>
      </c>
      <c r="D78">
        <v>-3.3</v>
      </c>
      <c r="F78">
        <v>-8.0399999999999991</v>
      </c>
      <c r="G78">
        <v>-5.84</v>
      </c>
      <c r="H78" s="4">
        <v>-7.8</v>
      </c>
    </row>
    <row r="79" spans="1:10">
      <c r="A79" s="10">
        <v>45176.28125</v>
      </c>
      <c r="B79">
        <v>-13</v>
      </c>
      <c r="I79">
        <v>-3.09</v>
      </c>
    </row>
    <row r="80" spans="1:10">
      <c r="A80" s="10">
        <v>45176.284722222219</v>
      </c>
      <c r="E80">
        <v>-6.11</v>
      </c>
    </row>
    <row r="81" spans="1:10">
      <c r="A81" s="10">
        <v>45176.288194444445</v>
      </c>
      <c r="B81">
        <v>-13</v>
      </c>
      <c r="C81">
        <v>-8.33</v>
      </c>
      <c r="D81">
        <v>-3.22</v>
      </c>
      <c r="F81">
        <v>-8.0299999999999994</v>
      </c>
      <c r="G81">
        <v>-5.8</v>
      </c>
      <c r="J81">
        <v>-7.79</v>
      </c>
    </row>
    <row r="82" spans="1:10">
      <c r="A82" s="10">
        <v>45176.291666666664</v>
      </c>
      <c r="H82" s="4">
        <v>-7.78</v>
      </c>
      <c r="I82">
        <v>-3.06</v>
      </c>
    </row>
    <row r="83" spans="1:10">
      <c r="A83" s="10">
        <v>45176.295138888891</v>
      </c>
      <c r="B83">
        <v>-13</v>
      </c>
      <c r="E83">
        <v>-6.08</v>
      </c>
    </row>
    <row r="84" spans="1:10">
      <c r="A84" s="10">
        <v>45176.298611111109</v>
      </c>
      <c r="B84">
        <v>-13</v>
      </c>
      <c r="C84">
        <v>-8.31</v>
      </c>
      <c r="D84">
        <v>-3.31</v>
      </c>
      <c r="G84">
        <v>-5.78</v>
      </c>
      <c r="J84">
        <v>-7.77</v>
      </c>
    </row>
    <row r="85" spans="1:10">
      <c r="A85" s="10">
        <v>45176.302083333336</v>
      </c>
      <c r="B85">
        <v>-13</v>
      </c>
      <c r="F85">
        <v>-8.01</v>
      </c>
      <c r="H85" s="4">
        <v>-7.81</v>
      </c>
    </row>
    <row r="86" spans="1:10">
      <c r="A86" s="10">
        <v>45176.305555555555</v>
      </c>
      <c r="B86">
        <v>-13</v>
      </c>
      <c r="E86">
        <v>-6.09</v>
      </c>
      <c r="I86">
        <v>-3.09</v>
      </c>
    </row>
    <row r="87" spans="1:10">
      <c r="A87" s="10">
        <v>45176.309027777781</v>
      </c>
      <c r="B87">
        <v>-13</v>
      </c>
      <c r="C87">
        <v>-8.34</v>
      </c>
      <c r="D87">
        <v>-3.42</v>
      </c>
      <c r="G87">
        <v>-5.77</v>
      </c>
      <c r="J87">
        <v>-7.81</v>
      </c>
    </row>
    <row r="88" spans="1:10">
      <c r="A88" s="10">
        <v>45176.3125</v>
      </c>
      <c r="F88">
        <v>-8.01</v>
      </c>
    </row>
    <row r="89" spans="1:10">
      <c r="A89" s="10">
        <v>45176.315972222219</v>
      </c>
      <c r="B89">
        <v>-13</v>
      </c>
      <c r="E89">
        <v>-6.09</v>
      </c>
      <c r="I89">
        <v>-3.22</v>
      </c>
    </row>
    <row r="90" spans="1:10">
      <c r="A90" s="10">
        <v>45176.319444444445</v>
      </c>
      <c r="B90">
        <v>-13</v>
      </c>
      <c r="C90">
        <v>-8.3800000000000008</v>
      </c>
      <c r="D90">
        <v>-3.49</v>
      </c>
      <c r="G90">
        <v>-5.76</v>
      </c>
      <c r="J90">
        <v>-7.83</v>
      </c>
    </row>
    <row r="91" spans="1:10">
      <c r="A91" s="10">
        <v>45176.322916666664</v>
      </c>
      <c r="B91">
        <v>-13</v>
      </c>
      <c r="F91">
        <v>-8.02</v>
      </c>
    </row>
    <row r="92" spans="1:10">
      <c r="A92" s="10">
        <v>45176.326388888891</v>
      </c>
      <c r="B92">
        <v>-13</v>
      </c>
      <c r="E92">
        <v>-6.1</v>
      </c>
      <c r="H92" s="4">
        <v>-7.93</v>
      </c>
      <c r="I92">
        <v>-3.33</v>
      </c>
    </row>
    <row r="93" spans="1:10">
      <c r="A93" s="10">
        <v>45176.333333333336</v>
      </c>
      <c r="B93">
        <v>-13</v>
      </c>
      <c r="C93">
        <v>-8.3800000000000008</v>
      </c>
      <c r="D93">
        <v>-3.55</v>
      </c>
      <c r="F93">
        <v>-8.02</v>
      </c>
      <c r="G93">
        <v>-5.74</v>
      </c>
      <c r="J93">
        <v>-7.85</v>
      </c>
    </row>
    <row r="94" spans="1:10">
      <c r="A94" s="10">
        <v>45176.336805555555</v>
      </c>
      <c r="E94">
        <v>-6.11</v>
      </c>
      <c r="H94" s="4">
        <v>-8.01</v>
      </c>
      <c r="I94">
        <v>-3.49</v>
      </c>
    </row>
    <row r="95" spans="1:10">
      <c r="A95" s="10">
        <v>45176.340277777781</v>
      </c>
      <c r="B95">
        <v>-13</v>
      </c>
    </row>
    <row r="96" spans="1:10">
      <c r="A96" s="10">
        <v>45176.34375</v>
      </c>
      <c r="B96">
        <v>-13</v>
      </c>
      <c r="C96">
        <v>-8.48</v>
      </c>
      <c r="D96">
        <v>-3.61</v>
      </c>
      <c r="G96">
        <v>-5.75</v>
      </c>
      <c r="J96">
        <v>-7.89</v>
      </c>
    </row>
    <row r="97" spans="1:10">
      <c r="A97" s="10">
        <v>45176.347222222219</v>
      </c>
      <c r="F97">
        <v>-8.06</v>
      </c>
      <c r="H97" s="4">
        <v>-8.16</v>
      </c>
      <c r="I97">
        <v>-3.72</v>
      </c>
    </row>
    <row r="98" spans="1:10">
      <c r="A98" s="10">
        <v>45176.350694444445</v>
      </c>
      <c r="B98">
        <v>-13</v>
      </c>
      <c r="E98">
        <v>-6.2</v>
      </c>
    </row>
    <row r="99" spans="1:10">
      <c r="A99" s="10">
        <v>45176.354166666664</v>
      </c>
      <c r="B99">
        <v>-13</v>
      </c>
      <c r="C99">
        <v>-8.7200000000000006</v>
      </c>
      <c r="D99">
        <v>-3.88</v>
      </c>
      <c r="G99">
        <v>-5.83</v>
      </c>
      <c r="J99">
        <v>-8.0500000000000007</v>
      </c>
    </row>
    <row r="100" spans="1:10">
      <c r="A100" s="10">
        <v>45176.357638888891</v>
      </c>
      <c r="B100">
        <v>-13</v>
      </c>
      <c r="F100">
        <v>-8.17</v>
      </c>
    </row>
    <row r="101" spans="1:10">
      <c r="A101" s="10">
        <v>45176.361111111109</v>
      </c>
      <c r="B101">
        <v>-13</v>
      </c>
      <c r="E101">
        <v>-6.45</v>
      </c>
      <c r="H101" s="4">
        <v>-8.5299999999999994</v>
      </c>
      <c r="I101">
        <v>-4.29</v>
      </c>
    </row>
    <row r="102" spans="1:10">
      <c r="A102" s="10">
        <v>45176.364583333336</v>
      </c>
      <c r="B102">
        <v>-13</v>
      </c>
      <c r="C102">
        <v>-9.18</v>
      </c>
      <c r="D102">
        <v>-4.42</v>
      </c>
      <c r="G102">
        <v>-5.95</v>
      </c>
      <c r="J102">
        <v>-8.34</v>
      </c>
    </row>
    <row r="103" spans="1:10">
      <c r="A103" s="10">
        <v>45176.368055555555</v>
      </c>
      <c r="F103">
        <v>-8.34</v>
      </c>
    </row>
    <row r="104" spans="1:10">
      <c r="A104" s="10">
        <v>45176.371527777781</v>
      </c>
      <c r="B104">
        <v>-13</v>
      </c>
      <c r="E104">
        <v>-6.72</v>
      </c>
      <c r="H104" s="4">
        <v>-9.16</v>
      </c>
      <c r="I104">
        <v>-5.17</v>
      </c>
    </row>
    <row r="105" spans="1:10">
      <c r="A105" s="10">
        <v>45176.375</v>
      </c>
      <c r="B105">
        <v>-13</v>
      </c>
      <c r="C105">
        <v>-9.49</v>
      </c>
      <c r="D105">
        <v>-4.9000000000000004</v>
      </c>
      <c r="G105">
        <v>-6.12</v>
      </c>
    </row>
    <row r="106" spans="1:10">
      <c r="A106" s="10">
        <v>45176.378472222219</v>
      </c>
      <c r="B106">
        <v>-13</v>
      </c>
      <c r="F106">
        <v>-8.49</v>
      </c>
      <c r="J106">
        <v>-8.69</v>
      </c>
    </row>
    <row r="107" spans="1:10">
      <c r="A107" s="10">
        <v>45176.381944444445</v>
      </c>
      <c r="B107">
        <v>-13</v>
      </c>
      <c r="E107">
        <v>-6.88</v>
      </c>
      <c r="H107" s="4">
        <v>-9.92</v>
      </c>
      <c r="I107">
        <v>-7.16</v>
      </c>
    </row>
    <row r="108" spans="1:10">
      <c r="A108" s="10">
        <v>45176.385416666664</v>
      </c>
      <c r="B108">
        <v>-13</v>
      </c>
      <c r="D108">
        <v>-5.41</v>
      </c>
    </row>
    <row r="109" spans="1:10">
      <c r="A109" s="10">
        <v>45176.388888888891</v>
      </c>
      <c r="C109">
        <v>-9.77</v>
      </c>
      <c r="F109">
        <v>-8.83</v>
      </c>
      <c r="G109">
        <v>-6.21</v>
      </c>
      <c r="J109">
        <v>-9.27</v>
      </c>
    </row>
    <row r="110" spans="1:10">
      <c r="A110" s="10">
        <v>45176.392361111109</v>
      </c>
      <c r="B110">
        <v>-13</v>
      </c>
      <c r="H110" s="4">
        <v>-10.4</v>
      </c>
      <c r="I110">
        <v>-8.89</v>
      </c>
    </row>
    <row r="111" spans="1:10">
      <c r="A111" s="10">
        <v>45176.395833333336</v>
      </c>
      <c r="B111">
        <v>-13</v>
      </c>
      <c r="E111">
        <v>-7.1</v>
      </c>
    </row>
    <row r="112" spans="1:10">
      <c r="A112" s="10">
        <v>45176.399305555555</v>
      </c>
      <c r="B112">
        <v>-13</v>
      </c>
      <c r="C112">
        <v>-10.01</v>
      </c>
      <c r="D112">
        <v>-5.98</v>
      </c>
      <c r="G112">
        <v>-6.32</v>
      </c>
      <c r="J112">
        <v>-9.48</v>
      </c>
    </row>
    <row r="113" spans="1:10">
      <c r="A113" s="10">
        <v>45176.402777777781</v>
      </c>
      <c r="B113">
        <v>-13</v>
      </c>
      <c r="F113">
        <v>-8.9</v>
      </c>
      <c r="H113" s="4">
        <v>-10.56</v>
      </c>
      <c r="I113">
        <v>-9.65</v>
      </c>
    </row>
    <row r="114" spans="1:10">
      <c r="A114" s="10">
        <v>45176.40625</v>
      </c>
      <c r="B114">
        <v>-13</v>
      </c>
      <c r="E114">
        <v>-7.6</v>
      </c>
    </row>
    <row r="115" spans="1:10">
      <c r="A115" s="10">
        <v>45176.409722222219</v>
      </c>
      <c r="C115">
        <v>-10.51</v>
      </c>
      <c r="D115">
        <v>-6.94</v>
      </c>
      <c r="G115">
        <v>-6.5</v>
      </c>
    </row>
    <row r="116" spans="1:10">
      <c r="A116" s="10">
        <v>45176.413194444445</v>
      </c>
      <c r="B116">
        <v>-13</v>
      </c>
      <c r="F116">
        <v>-9.02</v>
      </c>
    </row>
    <row r="117" spans="1:10">
      <c r="A117" s="10">
        <v>45176.416666666664</v>
      </c>
      <c r="B117">
        <v>-13</v>
      </c>
      <c r="E117">
        <v>-8.1</v>
      </c>
      <c r="H117" s="4">
        <v>-10.81</v>
      </c>
      <c r="I117">
        <v>-10.36</v>
      </c>
    </row>
    <row r="118" spans="1:10">
      <c r="A118" s="10">
        <v>45176.420138888891</v>
      </c>
      <c r="B118">
        <v>-14</v>
      </c>
      <c r="C118">
        <v>-10.97</v>
      </c>
      <c r="D118">
        <v>-8.25</v>
      </c>
      <c r="G118">
        <v>-6.58</v>
      </c>
      <c r="J118">
        <v>-10.11</v>
      </c>
    </row>
    <row r="119" spans="1:10">
      <c r="A119" s="10">
        <v>45176.423611111109</v>
      </c>
      <c r="B119">
        <v>-14</v>
      </c>
      <c r="F119">
        <v>-9.15</v>
      </c>
    </row>
    <row r="120" spans="1:10">
      <c r="A120" s="10">
        <v>45176.427083333336</v>
      </c>
      <c r="B120">
        <v>-14</v>
      </c>
      <c r="E120">
        <v>-8.4600000000000009</v>
      </c>
      <c r="H120" s="4">
        <v>-11.57</v>
      </c>
      <c r="I120">
        <v>-12.53</v>
      </c>
    </row>
    <row r="121" spans="1:10">
      <c r="A121" s="10">
        <v>45176.430555555555</v>
      </c>
      <c r="C121">
        <v>-11.44</v>
      </c>
      <c r="D121">
        <v>-9.4600000000000009</v>
      </c>
      <c r="G121">
        <v>-6.64</v>
      </c>
    </row>
    <row r="122" spans="1:10">
      <c r="A122" s="10">
        <v>45176.434027777781</v>
      </c>
      <c r="B122">
        <v>-14</v>
      </c>
      <c r="F122">
        <v>-9.57</v>
      </c>
    </row>
    <row r="123" spans="1:10">
      <c r="A123" s="10">
        <v>45176.4375</v>
      </c>
      <c r="B123">
        <v>-14</v>
      </c>
      <c r="E123">
        <v>-8.75</v>
      </c>
      <c r="H123" s="4">
        <v>-13.62</v>
      </c>
      <c r="I123">
        <v>-16.79</v>
      </c>
    </row>
    <row r="124" spans="1:10">
      <c r="A124" s="10">
        <v>45176.440972222219</v>
      </c>
      <c r="B124">
        <v>-14</v>
      </c>
      <c r="C124">
        <v>-11.92</v>
      </c>
      <c r="D124">
        <v>-10.5</v>
      </c>
      <c r="G124">
        <v>-6.75</v>
      </c>
    </row>
    <row r="125" spans="1:10">
      <c r="A125" s="10">
        <v>45176.444444444445</v>
      </c>
      <c r="B125">
        <v>-14</v>
      </c>
      <c r="F125">
        <v>-9.69</v>
      </c>
      <c r="J125">
        <v>-10.45</v>
      </c>
    </row>
    <row r="126" spans="1:10">
      <c r="A126" s="10">
        <v>45176.447916666664</v>
      </c>
      <c r="B126">
        <v>-14</v>
      </c>
      <c r="E126">
        <v>-8.91</v>
      </c>
      <c r="H126" s="4">
        <v>-14.46</v>
      </c>
      <c r="I126">
        <v>-20.61</v>
      </c>
    </row>
    <row r="127" spans="1:10">
      <c r="A127" s="10">
        <v>45176.454861111109</v>
      </c>
      <c r="B127">
        <v>-14</v>
      </c>
      <c r="C127">
        <v>-12.25</v>
      </c>
      <c r="D127">
        <v>-11.27</v>
      </c>
      <c r="G127">
        <v>-6.9</v>
      </c>
      <c r="J127">
        <v>-10.68</v>
      </c>
    </row>
    <row r="128" spans="1:10">
      <c r="A128" s="10">
        <v>45176.458333333336</v>
      </c>
      <c r="B128">
        <v>-14</v>
      </c>
      <c r="F128">
        <v>-9.82</v>
      </c>
      <c r="H128" s="4">
        <v>-14.96</v>
      </c>
      <c r="I128">
        <v>-23.56</v>
      </c>
    </row>
    <row r="129" spans="1:10">
      <c r="A129" s="10">
        <v>45176.461805555555</v>
      </c>
      <c r="B129">
        <v>-14</v>
      </c>
      <c r="E129">
        <v>-9.16</v>
      </c>
    </row>
    <row r="130" spans="1:10">
      <c r="A130" s="10">
        <v>45176.465277777781</v>
      </c>
      <c r="B130">
        <v>-14</v>
      </c>
      <c r="C130">
        <v>-12.56</v>
      </c>
      <c r="D130">
        <v>-12.03</v>
      </c>
      <c r="G130">
        <v>-7.2</v>
      </c>
      <c r="J130">
        <v>-11.05</v>
      </c>
    </row>
    <row r="131" spans="1:10">
      <c r="A131" s="10">
        <v>45176.46875</v>
      </c>
      <c r="B131">
        <v>-14</v>
      </c>
      <c r="F131">
        <v>-10.08</v>
      </c>
    </row>
    <row r="132" spans="1:10">
      <c r="A132" s="10">
        <v>45176.472222222219</v>
      </c>
      <c r="B132">
        <v>-14</v>
      </c>
      <c r="H132" s="4">
        <v>-14.65</v>
      </c>
      <c r="I132">
        <v>-24.45</v>
      </c>
    </row>
    <row r="133" spans="1:10">
      <c r="A133" s="10">
        <v>45176.475694444445</v>
      </c>
      <c r="C133">
        <v>-12.66</v>
      </c>
      <c r="D133">
        <v>-12.48</v>
      </c>
      <c r="G133">
        <v>-7.45</v>
      </c>
    </row>
    <row r="134" spans="1:10">
      <c r="A134" s="10">
        <v>45176.479166666664</v>
      </c>
      <c r="B134">
        <v>-14</v>
      </c>
      <c r="F134">
        <v>-10.4</v>
      </c>
      <c r="J134">
        <v>-11.48</v>
      </c>
    </row>
    <row r="135" spans="1:10">
      <c r="A135" s="10">
        <v>45176.482638888891</v>
      </c>
      <c r="B135">
        <v>-13</v>
      </c>
      <c r="E135">
        <v>-9.1</v>
      </c>
      <c r="H135" s="4">
        <v>-14.66</v>
      </c>
      <c r="I135">
        <v>-22.64</v>
      </c>
    </row>
    <row r="136" spans="1:10">
      <c r="A136" s="10">
        <v>45176.486111111109</v>
      </c>
      <c r="B136">
        <v>-13</v>
      </c>
      <c r="C136">
        <v>-12.79</v>
      </c>
      <c r="D136">
        <v>-12.67</v>
      </c>
      <c r="G136">
        <v>-7.64</v>
      </c>
    </row>
    <row r="137" spans="1:10">
      <c r="A137" s="10">
        <v>45176.489583333336</v>
      </c>
      <c r="B137">
        <v>-13</v>
      </c>
      <c r="F137">
        <v>-10.48</v>
      </c>
      <c r="J137">
        <v>-11.59</v>
      </c>
    </row>
    <row r="138" spans="1:10">
      <c r="A138" s="10">
        <v>45176.493055555555</v>
      </c>
      <c r="E138">
        <v>-8.9700000000000006</v>
      </c>
      <c r="H138" s="4">
        <v>-14.91</v>
      </c>
      <c r="I138">
        <v>-21.18</v>
      </c>
    </row>
    <row r="139" spans="1:10">
      <c r="A139" s="10">
        <v>45176.496527777781</v>
      </c>
      <c r="B139">
        <v>-13</v>
      </c>
      <c r="C139">
        <v>-12.89</v>
      </c>
      <c r="D139">
        <v>-13.57</v>
      </c>
      <c r="G139">
        <v>-7.95</v>
      </c>
    </row>
    <row r="140" spans="1:10">
      <c r="A140" s="10">
        <v>45176.5</v>
      </c>
      <c r="B140">
        <v>-13</v>
      </c>
      <c r="F140">
        <v>-10.7</v>
      </c>
      <c r="J140">
        <v>-11.64</v>
      </c>
    </row>
    <row r="141" spans="1:10">
      <c r="A141" s="10">
        <v>45176.503472222219</v>
      </c>
      <c r="B141">
        <v>-13</v>
      </c>
      <c r="E141">
        <v>-9.01</v>
      </c>
      <c r="H141" s="4">
        <v>-15.47</v>
      </c>
      <c r="I141">
        <v>-21.88</v>
      </c>
    </row>
    <row r="142" spans="1:10">
      <c r="A142" s="10">
        <v>45176.506944444445</v>
      </c>
      <c r="B142">
        <v>-13</v>
      </c>
      <c r="D142">
        <v>-13.92</v>
      </c>
    </row>
    <row r="143" spans="1:10">
      <c r="A143" s="10">
        <v>45176.510416666664</v>
      </c>
      <c r="C143">
        <v>-12.96</v>
      </c>
      <c r="F143">
        <v>-10.87</v>
      </c>
      <c r="G143">
        <v>-8.36</v>
      </c>
      <c r="J143">
        <v>-11.68</v>
      </c>
    </row>
    <row r="144" spans="1:10">
      <c r="A144" s="10">
        <v>45176.513888888891</v>
      </c>
      <c r="H144" s="4">
        <v>-16.62</v>
      </c>
      <c r="I144">
        <v>-21.32</v>
      </c>
    </row>
    <row r="145" spans="1:10">
      <c r="A145" s="10">
        <v>45176.517361111109</v>
      </c>
      <c r="B145">
        <v>-13</v>
      </c>
      <c r="E145">
        <v>-8.99</v>
      </c>
    </row>
    <row r="146" spans="1:10">
      <c r="A146" s="10">
        <v>45176.520833333336</v>
      </c>
      <c r="B146">
        <v>-13</v>
      </c>
      <c r="C146">
        <v>-13.27</v>
      </c>
      <c r="D146">
        <v>-13.95</v>
      </c>
      <c r="G146">
        <v>-8.89</v>
      </c>
    </row>
    <row r="147" spans="1:10">
      <c r="A147" s="10">
        <v>45176.524305555555</v>
      </c>
      <c r="B147">
        <v>-13</v>
      </c>
      <c r="F147">
        <v>-11.12</v>
      </c>
      <c r="J147">
        <v>-11.98</v>
      </c>
    </row>
    <row r="148" spans="1:10">
      <c r="A148" s="10">
        <v>45176.527777777781</v>
      </c>
      <c r="E148">
        <v>-9.18</v>
      </c>
      <c r="H148" s="4">
        <v>-18.97</v>
      </c>
      <c r="I148">
        <v>-19.89</v>
      </c>
    </row>
    <row r="149" spans="1:10">
      <c r="A149" s="10">
        <v>45176.53125</v>
      </c>
      <c r="C149">
        <v>-13.24</v>
      </c>
      <c r="D149">
        <v>-14.41</v>
      </c>
      <c r="G149">
        <v>-9.19</v>
      </c>
    </row>
    <row r="150" spans="1:10">
      <c r="A150" s="10">
        <v>45176.534722222219</v>
      </c>
      <c r="B150">
        <v>-13</v>
      </c>
      <c r="F150">
        <v>-11.3</v>
      </c>
      <c r="J150">
        <v>-11.98</v>
      </c>
    </row>
    <row r="151" spans="1:10">
      <c r="A151" s="10">
        <v>45176.538194444445</v>
      </c>
      <c r="B151">
        <v>-13</v>
      </c>
      <c r="E151">
        <v>-9.26</v>
      </c>
      <c r="H151" s="4">
        <v>-18.96</v>
      </c>
      <c r="I151">
        <v>-17.920000000000002</v>
      </c>
    </row>
    <row r="152" spans="1:10">
      <c r="A152" s="10">
        <v>45176.541666666664</v>
      </c>
      <c r="B152">
        <v>-13</v>
      </c>
      <c r="C152">
        <v>-13.57</v>
      </c>
      <c r="D152">
        <v>-14.85</v>
      </c>
      <c r="G152">
        <v>-9.49</v>
      </c>
    </row>
    <row r="153" spans="1:10">
      <c r="A153" s="10">
        <v>45176.545138888891</v>
      </c>
      <c r="B153">
        <v>-13</v>
      </c>
      <c r="F153">
        <v>-11.65</v>
      </c>
      <c r="J153">
        <v>-12.36</v>
      </c>
    </row>
    <row r="154" spans="1:10">
      <c r="A154" s="10">
        <v>45176.548611111109</v>
      </c>
      <c r="B154">
        <v>-13</v>
      </c>
      <c r="E154">
        <v>-9.48</v>
      </c>
      <c r="H154" s="4">
        <v>-20.05</v>
      </c>
      <c r="I154">
        <v>-16.940000000000001</v>
      </c>
    </row>
    <row r="155" spans="1:10">
      <c r="A155" s="10">
        <v>45176.552083333336</v>
      </c>
      <c r="C155">
        <v>-14.06</v>
      </c>
      <c r="D155">
        <v>-15.41</v>
      </c>
    </row>
    <row r="156" spans="1:10">
      <c r="A156" s="10">
        <v>45176.555555555555</v>
      </c>
      <c r="B156">
        <v>-13</v>
      </c>
      <c r="F156">
        <v>-12.05</v>
      </c>
    </row>
    <row r="157" spans="1:10">
      <c r="A157" s="10">
        <v>45176.559027777781</v>
      </c>
      <c r="B157">
        <v>-13</v>
      </c>
      <c r="E157">
        <v>-9.8000000000000007</v>
      </c>
      <c r="H157" s="4">
        <v>-19.63</v>
      </c>
      <c r="I157">
        <v>-16.43</v>
      </c>
    </row>
    <row r="158" spans="1:10">
      <c r="A158" s="10">
        <v>45176.5625</v>
      </c>
      <c r="B158">
        <v>-13</v>
      </c>
      <c r="D158">
        <v>-16.21</v>
      </c>
    </row>
    <row r="159" spans="1:10">
      <c r="A159" s="10">
        <v>45176.565972222219</v>
      </c>
      <c r="B159">
        <v>-13</v>
      </c>
      <c r="C159">
        <v>-14.33</v>
      </c>
      <c r="F159">
        <v>-12.32</v>
      </c>
      <c r="G159">
        <v>-10.11</v>
      </c>
    </row>
    <row r="160" spans="1:10">
      <c r="A160" s="10">
        <v>45176.569444444445</v>
      </c>
      <c r="B160">
        <v>-13</v>
      </c>
      <c r="H160" s="4">
        <v>-19.170000000000002</v>
      </c>
      <c r="I160">
        <v>-15.95</v>
      </c>
      <c r="J160">
        <v>-13.26</v>
      </c>
    </row>
    <row r="161" spans="1:10">
      <c r="A161" s="10">
        <v>45176.572916666664</v>
      </c>
      <c r="E161">
        <v>-9.99</v>
      </c>
    </row>
    <row r="162" spans="1:10">
      <c r="A162" s="10">
        <v>45176.576388888891</v>
      </c>
      <c r="B162">
        <v>-13</v>
      </c>
      <c r="C162">
        <v>-14.11</v>
      </c>
      <c r="D162">
        <v>-15.63</v>
      </c>
      <c r="G162">
        <v>-10.31</v>
      </c>
    </row>
    <row r="163" spans="1:10">
      <c r="A163" s="10">
        <v>45176.579861111109</v>
      </c>
      <c r="B163">
        <v>-13</v>
      </c>
      <c r="F163">
        <v>-12.75</v>
      </c>
      <c r="J163">
        <v>-14.02</v>
      </c>
    </row>
    <row r="164" spans="1:10">
      <c r="A164" s="10">
        <v>45176.583333333336</v>
      </c>
      <c r="B164">
        <v>-13</v>
      </c>
      <c r="E164">
        <v>-10.199999999999999</v>
      </c>
      <c r="H164" s="4">
        <v>-18.489999999999998</v>
      </c>
      <c r="I164">
        <v>-15.58</v>
      </c>
    </row>
    <row r="165" spans="1:10">
      <c r="A165" s="10">
        <v>45176.586805555555</v>
      </c>
      <c r="B165">
        <v>-13</v>
      </c>
      <c r="C165">
        <v>-14.23</v>
      </c>
      <c r="D165">
        <v>-15.89</v>
      </c>
      <c r="G165">
        <v>-10.53</v>
      </c>
    </row>
    <row r="166" spans="1:10">
      <c r="A166" s="10">
        <v>45176.590277777781</v>
      </c>
      <c r="F166">
        <v>-13.19</v>
      </c>
    </row>
    <row r="167" spans="1:10">
      <c r="A167" s="10">
        <v>45176.59375</v>
      </c>
      <c r="E167">
        <v>-10.53</v>
      </c>
      <c r="H167" s="4">
        <v>-18.29</v>
      </c>
      <c r="I167">
        <v>-15.15</v>
      </c>
      <c r="J167">
        <v>-14.2</v>
      </c>
    </row>
    <row r="168" spans="1:10">
      <c r="A168" s="10">
        <v>45176.597222222219</v>
      </c>
      <c r="B168">
        <v>-13</v>
      </c>
      <c r="C168">
        <v>-14.33</v>
      </c>
      <c r="D168">
        <v>-16.55</v>
      </c>
    </row>
    <row r="169" spans="1:10">
      <c r="A169" s="10">
        <v>45176.600694444445</v>
      </c>
      <c r="B169">
        <v>-14</v>
      </c>
      <c r="F169">
        <v>-13.52</v>
      </c>
      <c r="G169">
        <v>-10.8</v>
      </c>
    </row>
    <row r="170" spans="1:10">
      <c r="A170" s="10">
        <v>45176.604166666664</v>
      </c>
      <c r="B170">
        <v>-14</v>
      </c>
      <c r="E170">
        <v>-11.1</v>
      </c>
      <c r="H170" s="4">
        <v>-18.239999999999998</v>
      </c>
      <c r="I170">
        <v>-15.17</v>
      </c>
      <c r="J170">
        <v>-14.08</v>
      </c>
    </row>
    <row r="171" spans="1:10">
      <c r="A171" s="10">
        <v>45176.607638888891</v>
      </c>
      <c r="B171">
        <v>-14</v>
      </c>
      <c r="C171">
        <v>-14.44</v>
      </c>
      <c r="D171">
        <v>-16.79</v>
      </c>
    </row>
    <row r="172" spans="1:10">
      <c r="A172" s="10">
        <v>45176.611111111109</v>
      </c>
      <c r="B172">
        <v>-14</v>
      </c>
      <c r="G172">
        <v>-11.03</v>
      </c>
    </row>
    <row r="173" spans="1:10">
      <c r="A173" s="10">
        <v>45176.614583333336</v>
      </c>
      <c r="E173">
        <v>-11.44</v>
      </c>
      <c r="H173" s="4">
        <v>-18.48</v>
      </c>
      <c r="I173">
        <v>-15.18</v>
      </c>
      <c r="J173">
        <v>-14.15</v>
      </c>
    </row>
    <row r="174" spans="1:10">
      <c r="A174" s="10">
        <v>45176.618055555555</v>
      </c>
      <c r="B174">
        <v>-14</v>
      </c>
      <c r="D174">
        <v>-17.71</v>
      </c>
    </row>
    <row r="175" spans="1:10">
      <c r="A175" s="10">
        <v>45176.621527777781</v>
      </c>
      <c r="B175">
        <v>-13</v>
      </c>
      <c r="C175">
        <v>-14.78</v>
      </c>
      <c r="F175">
        <v>-13.97</v>
      </c>
      <c r="G175">
        <v>-11.4</v>
      </c>
    </row>
    <row r="176" spans="1:10">
      <c r="A176" s="10">
        <v>45176.625</v>
      </c>
      <c r="B176">
        <v>-13</v>
      </c>
      <c r="H176" s="4">
        <v>-19.57</v>
      </c>
      <c r="I176">
        <v>-15.09</v>
      </c>
      <c r="J176">
        <v>-14.28</v>
      </c>
    </row>
    <row r="177" spans="1:10">
      <c r="A177" s="10">
        <v>45176.628472222219</v>
      </c>
      <c r="B177">
        <v>-13</v>
      </c>
      <c r="E177">
        <v>-11.83</v>
      </c>
    </row>
    <row r="178" spans="1:10">
      <c r="A178" s="10">
        <v>45176.631944444445</v>
      </c>
      <c r="B178">
        <v>-13</v>
      </c>
      <c r="C178">
        <v>-14.89</v>
      </c>
      <c r="D178">
        <v>-17.68</v>
      </c>
    </row>
    <row r="179" spans="1:10">
      <c r="A179" s="10">
        <v>45176.635416666664</v>
      </c>
      <c r="F179">
        <v>-13.96</v>
      </c>
    </row>
    <row r="180" spans="1:10">
      <c r="A180" s="10">
        <v>45176.638888888891</v>
      </c>
      <c r="B180">
        <v>-13</v>
      </c>
      <c r="E180">
        <v>-11.71</v>
      </c>
      <c r="I180">
        <v>-14.66</v>
      </c>
      <c r="J180">
        <v>-14.17</v>
      </c>
    </row>
    <row r="181" spans="1:10">
      <c r="A181" s="10">
        <v>45176.642361111109</v>
      </c>
      <c r="B181">
        <v>-13</v>
      </c>
      <c r="C181">
        <v>-14.97</v>
      </c>
      <c r="D181">
        <v>-17.3</v>
      </c>
    </row>
    <row r="182" spans="1:10">
      <c r="A182" s="10">
        <v>45176.645833333336</v>
      </c>
      <c r="B182">
        <v>-13</v>
      </c>
      <c r="F182">
        <v>-14.1</v>
      </c>
      <c r="G182">
        <v>-11.79</v>
      </c>
    </row>
    <row r="183" spans="1:10">
      <c r="A183" s="10">
        <v>45176.649305555555</v>
      </c>
      <c r="B183">
        <v>-13</v>
      </c>
      <c r="E183">
        <v>-11.7</v>
      </c>
      <c r="H183" s="4">
        <v>-19.46</v>
      </c>
      <c r="I183">
        <v>-14.53</v>
      </c>
      <c r="J183">
        <v>-14.3</v>
      </c>
    </row>
    <row r="184" spans="1:10">
      <c r="A184" s="10">
        <v>45176.652777777781</v>
      </c>
      <c r="B184">
        <v>-13</v>
      </c>
      <c r="C184">
        <v>-15.06</v>
      </c>
      <c r="D184">
        <v>-17.77</v>
      </c>
    </row>
    <row r="185" spans="1:10">
      <c r="A185" s="10">
        <v>45176.65625</v>
      </c>
      <c r="F185">
        <v>-14.24</v>
      </c>
      <c r="G185">
        <v>-12.04</v>
      </c>
    </row>
    <row r="186" spans="1:10">
      <c r="A186" s="10">
        <v>45176.659722222219</v>
      </c>
      <c r="B186">
        <v>-13</v>
      </c>
      <c r="E186">
        <v>-11.86</v>
      </c>
      <c r="H186" s="4">
        <v>-19.309999999999999</v>
      </c>
      <c r="I186">
        <v>-14.53</v>
      </c>
      <c r="J186">
        <v>-14.56</v>
      </c>
    </row>
    <row r="187" spans="1:10">
      <c r="A187" s="10">
        <v>45176.663194444445</v>
      </c>
      <c r="B187">
        <v>-13</v>
      </c>
      <c r="C187">
        <v>-15.5</v>
      </c>
      <c r="D187">
        <v>-18.25</v>
      </c>
    </row>
    <row r="188" spans="1:10">
      <c r="A188" s="10">
        <v>45176.666666666664</v>
      </c>
      <c r="B188">
        <v>-13</v>
      </c>
      <c r="F188">
        <v>-14.46</v>
      </c>
      <c r="G188">
        <v>-12.4</v>
      </c>
    </row>
    <row r="189" spans="1:10">
      <c r="A189" s="10">
        <v>45176.670138888891</v>
      </c>
      <c r="B189">
        <v>-13</v>
      </c>
      <c r="E189">
        <v>-11.97</v>
      </c>
      <c r="H189" s="4">
        <v>-19.3</v>
      </c>
      <c r="I189">
        <v>-14.8</v>
      </c>
      <c r="J189">
        <v>-14.84</v>
      </c>
    </row>
    <row r="190" spans="1:10">
      <c r="A190" s="10">
        <v>45176.673611111109</v>
      </c>
      <c r="B190">
        <v>-13</v>
      </c>
      <c r="D190">
        <v>-18.43</v>
      </c>
    </row>
    <row r="191" spans="1:10">
      <c r="A191" s="10">
        <v>45176.677083333336</v>
      </c>
      <c r="C191">
        <v>-15.54</v>
      </c>
      <c r="F191">
        <v>-14.57</v>
      </c>
      <c r="G191">
        <v>-12.63</v>
      </c>
    </row>
    <row r="192" spans="1:10">
      <c r="A192" s="10">
        <v>45176.680555555555</v>
      </c>
      <c r="B192">
        <v>-13</v>
      </c>
      <c r="H192" s="4">
        <v>-19.02</v>
      </c>
      <c r="I192">
        <v>-14.85</v>
      </c>
    </row>
    <row r="193" spans="1:10">
      <c r="A193" s="10">
        <v>45176.684027777781</v>
      </c>
      <c r="B193">
        <v>-13</v>
      </c>
      <c r="D193">
        <v>-18.37</v>
      </c>
      <c r="E193">
        <v>-12.04</v>
      </c>
      <c r="J193">
        <v>-14.9</v>
      </c>
    </row>
    <row r="194" spans="1:10">
      <c r="A194" s="10">
        <v>45176.6875</v>
      </c>
      <c r="B194">
        <v>-13</v>
      </c>
      <c r="C194">
        <v>-15.79</v>
      </c>
    </row>
    <row r="195" spans="1:10">
      <c r="A195" s="10">
        <v>45176.690972222219</v>
      </c>
      <c r="B195">
        <v>-13</v>
      </c>
      <c r="F195">
        <v>-14.74</v>
      </c>
      <c r="G195">
        <v>-12.87</v>
      </c>
    </row>
    <row r="196" spans="1:10">
      <c r="A196" s="10">
        <v>45176.694444444445</v>
      </c>
      <c r="B196">
        <v>-13</v>
      </c>
      <c r="E196">
        <v>-12.09</v>
      </c>
      <c r="H196" s="4">
        <v>-18.809999999999999</v>
      </c>
      <c r="I196">
        <v>-14.82</v>
      </c>
      <c r="J196">
        <v>-14.99</v>
      </c>
    </row>
    <row r="197" spans="1:10">
      <c r="A197" s="10">
        <v>45176.697916666664</v>
      </c>
      <c r="C197">
        <v>-15.5</v>
      </c>
      <c r="D197">
        <v>-18.22</v>
      </c>
    </row>
    <row r="198" spans="1:10">
      <c r="A198" s="10">
        <v>45176.701388888891</v>
      </c>
      <c r="B198">
        <v>-13</v>
      </c>
      <c r="G198">
        <v>-13.08</v>
      </c>
    </row>
    <row r="199" spans="1:10">
      <c r="A199" s="10">
        <v>45176.704861111109</v>
      </c>
      <c r="B199">
        <v>-13</v>
      </c>
      <c r="E199">
        <v>-12.17</v>
      </c>
      <c r="F199">
        <v>-14.83</v>
      </c>
      <c r="H199" s="4">
        <v>-19.13</v>
      </c>
      <c r="J199">
        <v>-15.09</v>
      </c>
    </row>
    <row r="200" spans="1:10">
      <c r="A200" s="10">
        <v>45176.708333333336</v>
      </c>
      <c r="B200">
        <v>-13</v>
      </c>
      <c r="C200">
        <v>-15.56</v>
      </c>
      <c r="D200">
        <v>-18.18</v>
      </c>
      <c r="I200">
        <v>-14.55</v>
      </c>
    </row>
    <row r="201" spans="1:10">
      <c r="A201" s="10">
        <v>45176.711805555555</v>
      </c>
      <c r="B201">
        <v>-13</v>
      </c>
    </row>
    <row r="202" spans="1:10">
      <c r="A202" s="10">
        <v>45176.715277777781</v>
      </c>
      <c r="B202">
        <v>-13</v>
      </c>
      <c r="E202">
        <v>-12.15</v>
      </c>
      <c r="F202">
        <v>-14.94</v>
      </c>
      <c r="H202" s="4">
        <v>-19.13</v>
      </c>
      <c r="J202">
        <v>-15.22</v>
      </c>
    </row>
    <row r="203" spans="1:10">
      <c r="A203" s="10">
        <v>45176.71875</v>
      </c>
      <c r="B203">
        <v>-13</v>
      </c>
      <c r="C203">
        <v>-15.72</v>
      </c>
      <c r="D203">
        <v>-18.149999999999999</v>
      </c>
      <c r="I203">
        <v>-14.26</v>
      </c>
    </row>
    <row r="204" spans="1:10">
      <c r="A204" s="10">
        <v>45176.722222222219</v>
      </c>
      <c r="G204">
        <v>-13.42</v>
      </c>
    </row>
    <row r="205" spans="1:10">
      <c r="A205" s="10">
        <v>45176.725694444445</v>
      </c>
      <c r="B205">
        <v>-13</v>
      </c>
      <c r="E205">
        <v>-12.31</v>
      </c>
      <c r="F205">
        <v>-15.02</v>
      </c>
      <c r="H205" s="4">
        <v>-19.079999999999998</v>
      </c>
    </row>
    <row r="206" spans="1:10">
      <c r="A206" s="10">
        <v>45176.729166666664</v>
      </c>
      <c r="B206">
        <v>-13</v>
      </c>
      <c r="D206">
        <v>-18.010000000000002</v>
      </c>
      <c r="I206">
        <v>-13.95</v>
      </c>
      <c r="J206">
        <v>-15.18</v>
      </c>
    </row>
    <row r="207" spans="1:10">
      <c r="A207" s="10">
        <v>45176.732638888891</v>
      </c>
      <c r="B207">
        <v>-13</v>
      </c>
      <c r="C207">
        <v>-15.67</v>
      </c>
      <c r="G207">
        <v>-13.52</v>
      </c>
    </row>
    <row r="208" spans="1:10">
      <c r="A208" s="10">
        <v>45176.736111111109</v>
      </c>
      <c r="F208">
        <v>-15.08</v>
      </c>
      <c r="H208" s="4">
        <v>-18.84</v>
      </c>
    </row>
    <row r="209" spans="1:10">
      <c r="A209" s="10">
        <v>45176.739583333336</v>
      </c>
      <c r="B209">
        <v>-13</v>
      </c>
      <c r="D209">
        <v>-18.12</v>
      </c>
      <c r="E209">
        <v>-12.34</v>
      </c>
      <c r="I209">
        <v>-13.78</v>
      </c>
    </row>
    <row r="210" spans="1:10">
      <c r="A210" s="10">
        <v>45176.743055555555</v>
      </c>
      <c r="C210">
        <v>-15.66</v>
      </c>
      <c r="G210">
        <v>-13.64</v>
      </c>
    </row>
    <row r="211" spans="1:10">
      <c r="A211" s="10">
        <v>45176.746527777781</v>
      </c>
      <c r="B211">
        <v>-13</v>
      </c>
      <c r="F211">
        <v>-15.14</v>
      </c>
    </row>
    <row r="212" spans="1:10">
      <c r="A212" s="10">
        <v>45176.75</v>
      </c>
      <c r="B212">
        <v>-13</v>
      </c>
      <c r="E212">
        <v>-12.35</v>
      </c>
      <c r="H212" s="4">
        <v>-18.46</v>
      </c>
      <c r="I212">
        <v>-13.44</v>
      </c>
      <c r="J212">
        <v>-15.19</v>
      </c>
    </row>
    <row r="213" spans="1:10">
      <c r="A213" s="10">
        <v>45176.753472222219</v>
      </c>
      <c r="B213">
        <v>-13</v>
      </c>
      <c r="C213">
        <v>-15.57</v>
      </c>
      <c r="D213">
        <v>-18.18</v>
      </c>
    </row>
    <row r="214" spans="1:10">
      <c r="A214" s="10">
        <v>45176.756944444445</v>
      </c>
      <c r="G214">
        <v>-13.68</v>
      </c>
    </row>
    <row r="215" spans="1:10">
      <c r="A215" s="10">
        <v>45176.760416666664</v>
      </c>
      <c r="B215">
        <v>-13</v>
      </c>
      <c r="E215">
        <v>-12.44</v>
      </c>
      <c r="F215">
        <v>-15.15</v>
      </c>
      <c r="H215" s="4">
        <v>-18.29</v>
      </c>
    </row>
    <row r="216" spans="1:10">
      <c r="A216" s="10">
        <v>45176.763888888891</v>
      </c>
      <c r="C216">
        <v>-15.38</v>
      </c>
      <c r="D216">
        <v>-18.21</v>
      </c>
      <c r="I216">
        <v>-12.89</v>
      </c>
      <c r="J216">
        <v>-15.11</v>
      </c>
    </row>
    <row r="217" spans="1:10">
      <c r="A217" s="10">
        <v>45176.767361111109</v>
      </c>
      <c r="B217">
        <v>-13</v>
      </c>
      <c r="G217">
        <v>-13.69</v>
      </c>
    </row>
    <row r="218" spans="1:10">
      <c r="A218" s="10">
        <v>45176.770833333336</v>
      </c>
      <c r="B218">
        <v>-13</v>
      </c>
      <c r="E218">
        <v>-12.57</v>
      </c>
      <c r="F218">
        <v>-15.16</v>
      </c>
      <c r="H218" s="4">
        <v>-18.16</v>
      </c>
    </row>
    <row r="219" spans="1:10">
      <c r="A219" s="10">
        <v>45176.774305555555</v>
      </c>
      <c r="B219">
        <v>-13</v>
      </c>
      <c r="C219">
        <v>-15.19</v>
      </c>
      <c r="D219">
        <v>-18.13</v>
      </c>
      <c r="I219">
        <v>-12.44</v>
      </c>
      <c r="J219">
        <v>-15.03</v>
      </c>
    </row>
    <row r="220" spans="1:10">
      <c r="A220" s="10">
        <v>45176.777777777781</v>
      </c>
      <c r="G220">
        <v>-13.71</v>
      </c>
    </row>
    <row r="221" spans="1:10">
      <c r="A221" s="10">
        <v>45176.78125</v>
      </c>
      <c r="B221">
        <v>-13</v>
      </c>
      <c r="E221">
        <v>-12.64</v>
      </c>
      <c r="H221" s="4">
        <v>-17.91</v>
      </c>
    </row>
    <row r="222" spans="1:10">
      <c r="A222" s="10">
        <v>45176.784722222219</v>
      </c>
      <c r="D222">
        <v>-17.829999999999998</v>
      </c>
      <c r="F222">
        <v>-15.12</v>
      </c>
      <c r="I222">
        <v>-11.96</v>
      </c>
      <c r="J222">
        <v>-14.9</v>
      </c>
    </row>
    <row r="223" spans="1:10">
      <c r="A223" s="10">
        <v>45176.788194444445</v>
      </c>
      <c r="B223">
        <v>-13</v>
      </c>
      <c r="C223">
        <v>-15.03</v>
      </c>
      <c r="G223">
        <v>-13.67</v>
      </c>
    </row>
    <row r="224" spans="1:10">
      <c r="A224" s="10">
        <v>45176.791666666664</v>
      </c>
      <c r="B224">
        <v>-13</v>
      </c>
      <c r="H224" s="4">
        <v>-17.670000000000002</v>
      </c>
    </row>
    <row r="225" spans="1:10">
      <c r="A225" s="10">
        <v>45176.795138888891</v>
      </c>
      <c r="B225">
        <v>-13</v>
      </c>
      <c r="D225">
        <v>-17.34</v>
      </c>
      <c r="E225">
        <v>-12.77</v>
      </c>
      <c r="F225">
        <v>-15.09</v>
      </c>
      <c r="I225">
        <v>-11.52</v>
      </c>
      <c r="J225">
        <v>-14.8</v>
      </c>
    </row>
    <row r="226" spans="1:10">
      <c r="A226" s="10">
        <v>45176.798611111109</v>
      </c>
      <c r="B226">
        <v>-13</v>
      </c>
      <c r="C226">
        <v>-14.99</v>
      </c>
      <c r="G226">
        <v>-13.63</v>
      </c>
    </row>
    <row r="227" spans="1:10">
      <c r="A227" s="10">
        <v>45176.802083333336</v>
      </c>
      <c r="B227">
        <v>-13</v>
      </c>
    </row>
    <row r="228" spans="1:10">
      <c r="A228" s="10">
        <v>45176.805555555555</v>
      </c>
      <c r="D228">
        <v>-16.97</v>
      </c>
      <c r="E228">
        <v>-12.82</v>
      </c>
      <c r="F228">
        <v>-15.08</v>
      </c>
      <c r="H228" s="4">
        <v>-17.47</v>
      </c>
      <c r="I228">
        <v>-11.11</v>
      </c>
    </row>
    <row r="229" spans="1:10">
      <c r="A229" s="10">
        <v>45176.809027777781</v>
      </c>
      <c r="B229">
        <v>-13</v>
      </c>
      <c r="C229">
        <v>-14.89</v>
      </c>
      <c r="J229">
        <v>-14.63</v>
      </c>
    </row>
    <row r="230" spans="1:10">
      <c r="A230" s="10">
        <v>45176.8125</v>
      </c>
      <c r="B230">
        <v>-13</v>
      </c>
      <c r="G230">
        <v>-13.55</v>
      </c>
    </row>
    <row r="231" spans="1:10">
      <c r="A231" s="10">
        <v>45176.815972222219</v>
      </c>
      <c r="B231">
        <v>-13</v>
      </c>
      <c r="E231">
        <v>-12.81</v>
      </c>
      <c r="F231">
        <v>-14.99</v>
      </c>
      <c r="H231" s="4">
        <v>-17.18</v>
      </c>
    </row>
    <row r="232" spans="1:10">
      <c r="A232" s="10">
        <v>45176.819444444445</v>
      </c>
      <c r="B232">
        <v>-13</v>
      </c>
      <c r="C232">
        <v>-14.49</v>
      </c>
      <c r="D232">
        <v>-16.52</v>
      </c>
      <c r="I232">
        <v>-10.65</v>
      </c>
      <c r="J232">
        <v>-14.36</v>
      </c>
    </row>
    <row r="233" spans="1:10">
      <c r="A233" s="10">
        <v>45176.822916666664</v>
      </c>
      <c r="B233">
        <v>-13</v>
      </c>
      <c r="G233">
        <v>-13.38</v>
      </c>
    </row>
    <row r="234" spans="1:10">
      <c r="A234" s="10">
        <v>45176.826388888891</v>
      </c>
      <c r="E234">
        <v>-12.77</v>
      </c>
      <c r="H234" s="4">
        <v>-16.739999999999998</v>
      </c>
    </row>
    <row r="235" spans="1:10">
      <c r="A235" s="10">
        <v>45176.829861111109</v>
      </c>
      <c r="C235">
        <v>-14.16</v>
      </c>
      <c r="D235">
        <v>-15.86</v>
      </c>
      <c r="F235">
        <v>-14.81</v>
      </c>
      <c r="I235">
        <v>-9.9700000000000006</v>
      </c>
      <c r="J235">
        <v>-14.04</v>
      </c>
    </row>
    <row r="236" spans="1:10">
      <c r="A236" s="10">
        <v>45176.833333333336</v>
      </c>
      <c r="G236">
        <v>-13.15</v>
      </c>
    </row>
    <row r="237" spans="1:10">
      <c r="A237" s="10">
        <v>45176.836805555555</v>
      </c>
      <c r="B237">
        <v>-13</v>
      </c>
      <c r="E237">
        <v>-12.68</v>
      </c>
      <c r="H237" s="4">
        <v>-16.32</v>
      </c>
    </row>
    <row r="238" spans="1:10">
      <c r="A238" s="10">
        <v>45176.840277777781</v>
      </c>
      <c r="B238">
        <v>-13</v>
      </c>
      <c r="D238">
        <v>-15.26</v>
      </c>
      <c r="F238">
        <v>-14.64</v>
      </c>
      <c r="I238">
        <v>-9.3000000000000007</v>
      </c>
      <c r="J238">
        <v>-13.68</v>
      </c>
    </row>
    <row r="239" spans="1:10">
      <c r="A239" s="10">
        <v>45176.84375</v>
      </c>
      <c r="B239">
        <v>-13</v>
      </c>
      <c r="C239">
        <v>-14.06</v>
      </c>
      <c r="G239">
        <v>-12.89</v>
      </c>
    </row>
    <row r="240" spans="1:10">
      <c r="A240" s="10">
        <v>45176.847222222219</v>
      </c>
      <c r="H240" s="4">
        <v>-15.89</v>
      </c>
    </row>
    <row r="241" spans="1:10">
      <c r="A241" s="10">
        <v>45176.850694444445</v>
      </c>
      <c r="B241">
        <v>-13</v>
      </c>
      <c r="D241">
        <v>-14.67</v>
      </c>
      <c r="E241">
        <v>-12.6</v>
      </c>
      <c r="F241">
        <v>-14.45</v>
      </c>
      <c r="I241">
        <v>-8.75</v>
      </c>
    </row>
    <row r="242" spans="1:10">
      <c r="A242" s="10">
        <v>45176.854166666664</v>
      </c>
      <c r="B242">
        <v>-13</v>
      </c>
      <c r="C242">
        <v>-13.93</v>
      </c>
      <c r="G242">
        <v>-12.6</v>
      </c>
      <c r="J242">
        <v>-13.35</v>
      </c>
    </row>
    <row r="243" spans="1:10">
      <c r="A243" s="10">
        <v>45176.857638888891</v>
      </c>
      <c r="B243">
        <v>-13</v>
      </c>
      <c r="H243" s="4">
        <v>-15.49</v>
      </c>
    </row>
    <row r="244" spans="1:10">
      <c r="A244" s="10">
        <v>45176.861111111109</v>
      </c>
      <c r="D244">
        <v>-14.1</v>
      </c>
      <c r="E244">
        <v>-12.52</v>
      </c>
      <c r="F244">
        <v>-14.26</v>
      </c>
      <c r="I244">
        <v>-8.2200000000000006</v>
      </c>
    </row>
    <row r="245" spans="1:10">
      <c r="A245" s="10">
        <v>45176.864583333336</v>
      </c>
      <c r="B245">
        <v>-12</v>
      </c>
      <c r="C245">
        <v>-13.8</v>
      </c>
      <c r="J245">
        <v>-13.08</v>
      </c>
    </row>
    <row r="246" spans="1:10">
      <c r="A246" s="10">
        <v>45176.868055555555</v>
      </c>
      <c r="G246">
        <v>-12.33</v>
      </c>
    </row>
    <row r="247" spans="1:10">
      <c r="A247" s="10">
        <v>45176.871527777781</v>
      </c>
      <c r="B247">
        <v>-12</v>
      </c>
      <c r="E247">
        <v>-12.41</v>
      </c>
      <c r="F247">
        <v>-14.07</v>
      </c>
      <c r="H247" s="4">
        <v>-15.16</v>
      </c>
    </row>
    <row r="248" spans="1:10">
      <c r="A248" s="10">
        <v>45176.875</v>
      </c>
      <c r="B248">
        <v>-12</v>
      </c>
      <c r="C248">
        <v>-13.7</v>
      </c>
      <c r="D248">
        <v>-13.63</v>
      </c>
      <c r="I248">
        <v>-7.81</v>
      </c>
      <c r="J248">
        <v>-12.8</v>
      </c>
    </row>
    <row r="249" spans="1:10">
      <c r="A249" s="10">
        <v>45176.878472222219</v>
      </c>
      <c r="B249">
        <v>-12</v>
      </c>
      <c r="G249">
        <v>-12.07</v>
      </c>
    </row>
    <row r="250" spans="1:10">
      <c r="A250" s="10">
        <v>45176.881944444445</v>
      </c>
      <c r="B250">
        <v>-12</v>
      </c>
      <c r="H250" s="4">
        <v>-14.87</v>
      </c>
    </row>
    <row r="251" spans="1:10">
      <c r="A251" s="10">
        <v>45176.885416666664</v>
      </c>
      <c r="B251">
        <v>-12</v>
      </c>
      <c r="C251">
        <v>-13.6</v>
      </c>
      <c r="D251">
        <v>-13.23</v>
      </c>
      <c r="E251">
        <v>-12.29</v>
      </c>
      <c r="F251">
        <v>-13.89</v>
      </c>
      <c r="I251">
        <v>-7.49</v>
      </c>
      <c r="J251">
        <v>-12.58</v>
      </c>
    </row>
    <row r="252" spans="1:10">
      <c r="A252" s="10">
        <v>45176.888888888891</v>
      </c>
      <c r="G252">
        <v>-11.85</v>
      </c>
    </row>
    <row r="253" spans="1:10">
      <c r="A253" s="10">
        <v>45176.892361111109</v>
      </c>
      <c r="B253">
        <v>-12</v>
      </c>
      <c r="H253" s="4">
        <v>-14.61</v>
      </c>
    </row>
    <row r="254" spans="1:10">
      <c r="A254" s="10">
        <v>45176.895833333336</v>
      </c>
      <c r="B254">
        <v>-12</v>
      </c>
      <c r="D254">
        <v>-12.8</v>
      </c>
      <c r="E254">
        <v>-12.17</v>
      </c>
      <c r="F254">
        <v>-13.71</v>
      </c>
      <c r="I254">
        <v>-7.23</v>
      </c>
    </row>
    <row r="255" spans="1:10">
      <c r="A255" s="10">
        <v>45176.899305555555</v>
      </c>
      <c r="B255">
        <v>-12</v>
      </c>
      <c r="C255">
        <v>-13.45</v>
      </c>
      <c r="G255">
        <v>-11.6</v>
      </c>
      <c r="J255">
        <v>-12.36</v>
      </c>
    </row>
    <row r="256" spans="1:10">
      <c r="A256" s="10">
        <v>45176.902777777781</v>
      </c>
      <c r="B256">
        <v>-12</v>
      </c>
      <c r="H256" s="4">
        <v>-14.39</v>
      </c>
    </row>
    <row r="257" spans="1:10">
      <c r="A257" s="10">
        <v>45176.90625</v>
      </c>
      <c r="B257">
        <v>-12</v>
      </c>
      <c r="D257">
        <v>-12.32</v>
      </c>
      <c r="E257">
        <v>-12.06</v>
      </c>
      <c r="F257">
        <v>-13.54</v>
      </c>
      <c r="I257">
        <v>-7.03</v>
      </c>
    </row>
    <row r="258" spans="1:10">
      <c r="A258" s="10">
        <v>45176.909722222219</v>
      </c>
      <c r="C258">
        <v>-13.34</v>
      </c>
      <c r="G258">
        <v>-11.39</v>
      </c>
    </row>
    <row r="259" spans="1:10">
      <c r="A259" s="10">
        <v>45176.913194444445</v>
      </c>
      <c r="B259">
        <v>-12</v>
      </c>
      <c r="H259" s="4">
        <v>-14.2</v>
      </c>
    </row>
    <row r="260" spans="1:10">
      <c r="A260" s="10">
        <v>45176.916666666664</v>
      </c>
      <c r="B260">
        <v>-12</v>
      </c>
      <c r="D260">
        <v>-12</v>
      </c>
      <c r="E260">
        <v>-11.93</v>
      </c>
      <c r="F260">
        <v>-13.36</v>
      </c>
      <c r="I260">
        <v>-6.85</v>
      </c>
    </row>
    <row r="261" spans="1:10">
      <c r="A261" s="10">
        <v>45176.920138888891</v>
      </c>
      <c r="B261">
        <v>-12</v>
      </c>
      <c r="C261">
        <v>-13.15</v>
      </c>
      <c r="J261">
        <v>-11.96</v>
      </c>
    </row>
    <row r="262" spans="1:10">
      <c r="A262" s="10">
        <v>45176.923611111109</v>
      </c>
      <c r="B262">
        <v>-12</v>
      </c>
      <c r="G262">
        <v>-11.17</v>
      </c>
    </row>
    <row r="263" spans="1:10">
      <c r="A263" s="10">
        <v>45176.927083333336</v>
      </c>
      <c r="B263">
        <v>-12</v>
      </c>
      <c r="D263">
        <v>-11.67</v>
      </c>
      <c r="E263">
        <v>-11.82</v>
      </c>
      <c r="F263">
        <v>-13.21</v>
      </c>
      <c r="H263" s="4">
        <v>-14.03</v>
      </c>
      <c r="I263">
        <v>-6.73</v>
      </c>
    </row>
    <row r="264" spans="1:10">
      <c r="A264" s="10">
        <v>45176.930555555555</v>
      </c>
      <c r="B264">
        <v>-12</v>
      </c>
      <c r="C264">
        <v>-13.02</v>
      </c>
      <c r="J264">
        <v>-11.79</v>
      </c>
    </row>
    <row r="265" spans="1:10">
      <c r="A265" s="10">
        <v>45176.934027777781</v>
      </c>
      <c r="G265">
        <v>-10.98</v>
      </c>
    </row>
    <row r="266" spans="1:10">
      <c r="A266" s="10">
        <v>45176.9375</v>
      </c>
      <c r="B266">
        <v>-12</v>
      </c>
      <c r="H266" s="4">
        <v>-13.89</v>
      </c>
    </row>
    <row r="267" spans="1:10">
      <c r="A267" s="10">
        <v>45176.940972222219</v>
      </c>
      <c r="B267">
        <v>-12</v>
      </c>
      <c r="C267">
        <v>-12.91</v>
      </c>
      <c r="E267">
        <v>-11.69</v>
      </c>
      <c r="F267">
        <v>-13.07</v>
      </c>
      <c r="I267">
        <v>-6.65</v>
      </c>
    </row>
    <row r="268" spans="1:10">
      <c r="A268" s="10">
        <v>45176.944444444445</v>
      </c>
      <c r="B268">
        <v>-12</v>
      </c>
      <c r="G268">
        <v>-10.81</v>
      </c>
      <c r="J268">
        <v>-11.66</v>
      </c>
    </row>
    <row r="269" spans="1:10">
      <c r="A269" s="10">
        <v>45176.947916666664</v>
      </c>
      <c r="B269">
        <v>-12</v>
      </c>
      <c r="H269" s="4">
        <v>-13.73</v>
      </c>
    </row>
    <row r="270" spans="1:10">
      <c r="A270" s="10">
        <v>45176.951388888891</v>
      </c>
      <c r="B270">
        <v>-12</v>
      </c>
      <c r="C270">
        <v>-12.78</v>
      </c>
      <c r="D270">
        <v>-11.21</v>
      </c>
      <c r="E270">
        <v>-11.57</v>
      </c>
      <c r="F270">
        <v>-12.93</v>
      </c>
      <c r="I270">
        <v>-6.56</v>
      </c>
    </row>
    <row r="271" spans="1:10">
      <c r="A271" s="10">
        <v>45176.954861111109</v>
      </c>
      <c r="G271">
        <v>-10.68</v>
      </c>
    </row>
    <row r="272" spans="1:10">
      <c r="A272" s="10">
        <v>45176.958333333336</v>
      </c>
      <c r="B272">
        <v>-12</v>
      </c>
      <c r="H272" s="4">
        <v>-13.63</v>
      </c>
      <c r="J272">
        <v>-11.51</v>
      </c>
    </row>
    <row r="273" spans="1:10">
      <c r="A273" s="10">
        <v>45176.961805555555</v>
      </c>
      <c r="B273">
        <v>-12</v>
      </c>
      <c r="D273">
        <v>-10.97</v>
      </c>
      <c r="E273">
        <v>-11.45</v>
      </c>
      <c r="F273">
        <v>-12.8</v>
      </c>
      <c r="I273">
        <v>-6.46</v>
      </c>
    </row>
    <row r="274" spans="1:10">
      <c r="A274" s="10">
        <v>45176.965277777781</v>
      </c>
      <c r="B274">
        <v>-12</v>
      </c>
      <c r="C274">
        <v>-12.67</v>
      </c>
      <c r="G274">
        <v>-10.54</v>
      </c>
    </row>
    <row r="275" spans="1:10">
      <c r="A275" s="10">
        <v>45176.96875</v>
      </c>
      <c r="B275">
        <v>-12</v>
      </c>
      <c r="H275" s="4">
        <v>-13.5</v>
      </c>
      <c r="J275">
        <v>-11.34</v>
      </c>
    </row>
    <row r="276" spans="1:10">
      <c r="A276" s="10">
        <v>45176.972222222219</v>
      </c>
      <c r="B276">
        <v>-12</v>
      </c>
      <c r="D276">
        <v>-10.8</v>
      </c>
      <c r="E276">
        <v>-11.34</v>
      </c>
      <c r="F276">
        <v>-12.67</v>
      </c>
      <c r="I276">
        <v>-6.38</v>
      </c>
    </row>
    <row r="277" spans="1:10">
      <c r="A277" s="10">
        <v>45176.975694444445</v>
      </c>
      <c r="C277">
        <v>-12.56</v>
      </c>
    </row>
    <row r="278" spans="1:10">
      <c r="A278" s="10">
        <v>45176.979166666664</v>
      </c>
      <c r="B278">
        <v>-12</v>
      </c>
      <c r="G278">
        <v>-10.39</v>
      </c>
      <c r="J278">
        <v>-11.24</v>
      </c>
    </row>
    <row r="279" spans="1:10">
      <c r="A279" s="10">
        <v>45176.982638888891</v>
      </c>
      <c r="B279">
        <v>-12</v>
      </c>
      <c r="D279">
        <v>-10.61</v>
      </c>
      <c r="E279">
        <v>-11.22</v>
      </c>
      <c r="F279">
        <v>-12.54</v>
      </c>
      <c r="H279" s="4">
        <v>-13.41</v>
      </c>
      <c r="I279">
        <v>-6.35</v>
      </c>
    </row>
    <row r="280" spans="1:10">
      <c r="A280" s="10">
        <v>45176.986111111109</v>
      </c>
      <c r="B280">
        <v>-12</v>
      </c>
      <c r="C280">
        <v>-12.48</v>
      </c>
    </row>
    <row r="281" spans="1:10">
      <c r="A281" s="10">
        <v>45176.989583333336</v>
      </c>
      <c r="B281">
        <v>-12</v>
      </c>
      <c r="G281">
        <v>-10.26</v>
      </c>
      <c r="J281">
        <v>-11.19</v>
      </c>
    </row>
    <row r="282" spans="1:10">
      <c r="A282" s="10">
        <v>45176.993055555555</v>
      </c>
      <c r="B282">
        <v>-12</v>
      </c>
      <c r="D282">
        <v>-10.23</v>
      </c>
      <c r="H282" s="4">
        <v>-13.38</v>
      </c>
    </row>
    <row r="283" spans="1:10">
      <c r="A283" s="10">
        <v>45176.996527777781</v>
      </c>
      <c r="C283">
        <v>-12.36</v>
      </c>
      <c r="E283">
        <v>-11.11</v>
      </c>
      <c r="F283">
        <v>-12.42</v>
      </c>
      <c r="I283">
        <v>-6.32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58"/>
  <sheetViews>
    <sheetView workbookViewId="0">
      <pane ySplit="1" topLeftCell="A2" activePane="bottomLeft" state="frozen"/>
      <selection pane="bottomLeft" activeCell="I8" sqref="I8:R12"/>
    </sheetView>
  </sheetViews>
  <sheetFormatPr defaultColWidth="11.42578125" defaultRowHeight="15"/>
  <cols>
    <col min="3" max="3" width="15" customWidth="1"/>
    <col min="4" max="4" width="14.42578125" customWidth="1"/>
    <col min="5" max="5" width="13.7109375" customWidth="1"/>
    <col min="6" max="6" width="15.28515625" customWidth="1"/>
    <col min="7" max="7" width="16" customWidth="1"/>
  </cols>
  <sheetData>
    <row r="1" spans="1:19">
      <c r="A1" t="s">
        <v>487</v>
      </c>
      <c r="B1" t="s">
        <v>488</v>
      </c>
      <c r="C1" t="s">
        <v>467</v>
      </c>
      <c r="D1" t="s">
        <v>468</v>
      </c>
      <c r="E1" t="s">
        <v>474</v>
      </c>
      <c r="F1" t="s">
        <v>489</v>
      </c>
      <c r="G1" t="s">
        <v>490</v>
      </c>
    </row>
    <row r="2" spans="1:19">
      <c r="A2">
        <v>2.1</v>
      </c>
      <c r="B2">
        <v>1</v>
      </c>
      <c r="C2" s="2">
        <v>0.34791666666666665</v>
      </c>
      <c r="D2" s="12">
        <v>-6.7666666666666666</v>
      </c>
      <c r="E2">
        <v>-8.23</v>
      </c>
      <c r="I2" s="2">
        <f>AVERAGE(C2:C12)</f>
        <v>0.37180555555555556</v>
      </c>
      <c r="J2" s="5">
        <f>AVERAGE(D2:D9)</f>
        <v>-6.3541666666666661</v>
      </c>
      <c r="K2" s="5">
        <f>AVERAGE(E2:E9)</f>
        <v>-6.7799999999999994</v>
      </c>
      <c r="L2" s="5"/>
      <c r="M2" s="5"/>
      <c r="O2" s="7">
        <f>STDEV(D2:D9)/SQRT(COUNT(D2:D9))</f>
        <v>0.24712132326592043</v>
      </c>
      <c r="P2" s="7">
        <f>STDEV(E2:E9)/SQRT(COUNT(E2:E9))</f>
        <v>0.67310315490484685</v>
      </c>
      <c r="Q2" s="7"/>
      <c r="R2" s="7"/>
      <c r="S2" s="5"/>
    </row>
    <row r="3" spans="1:19">
      <c r="A3">
        <v>1.2</v>
      </c>
      <c r="B3">
        <v>1</v>
      </c>
      <c r="C3" s="2">
        <v>0.35069444444444442</v>
      </c>
      <c r="D3" s="12">
        <v>-7.166666666666667</v>
      </c>
      <c r="E3">
        <v>-8.6</v>
      </c>
      <c r="I3" s="2">
        <f>AVERAGE(C12:C22)</f>
        <v>0.47222222222222215</v>
      </c>
      <c r="J3" s="5">
        <f>AVERAGE(D12:D19)</f>
        <v>-15.0625</v>
      </c>
      <c r="K3" s="5">
        <f>AVERAGE(E12:E19)</f>
        <v>-11.876249999999997</v>
      </c>
      <c r="L3" s="5">
        <f t="shared" ref="L3:M3" si="0">AVERAGE(F12:F19)</f>
        <v>7.6106400000000005E-2</v>
      </c>
      <c r="M3" s="5">
        <f t="shared" si="0"/>
        <v>1.9328507187500001</v>
      </c>
      <c r="O3" s="7">
        <f>STDEV(D12:D19)/SQRT(COUNT(D12:D19))</f>
        <v>0.57211794973824959</v>
      </c>
      <c r="P3" s="7">
        <f>STDEV(E12:E19)/SQRT(COUNT(E12:E19))</f>
        <v>1.8590213799393067</v>
      </c>
      <c r="Q3" s="7">
        <f t="shared" ref="Q3:R3" si="1">STDEV(F12:F19)/SQRT(COUNT(F12:F19))</f>
        <v>1.6543603396816563E-2</v>
      </c>
      <c r="R3" s="7">
        <f t="shared" si="1"/>
        <v>0.25465869958787513</v>
      </c>
      <c r="S3" s="5"/>
    </row>
    <row r="4" spans="1:19">
      <c r="A4">
        <v>1.1000000000000001</v>
      </c>
      <c r="B4">
        <v>1</v>
      </c>
      <c r="C4" s="2">
        <v>0.3756944444444445</v>
      </c>
      <c r="D4" s="12">
        <v>-6.7666666666666666</v>
      </c>
      <c r="E4">
        <v>-8.51</v>
      </c>
      <c r="I4" s="2">
        <f>AVERAGE(C22:C32)</f>
        <v>0.57458333333333322</v>
      </c>
      <c r="J4" s="5">
        <f>AVERAGE(D22:D29)</f>
        <v>-18.960416666666667</v>
      </c>
      <c r="K4" s="5">
        <f>AVERAGE(E22:E29)</f>
        <v>-13.688750000000001</v>
      </c>
      <c r="L4" s="5">
        <f t="shared" ref="L4:M4" si="2">AVERAGE(F22:F29)</f>
        <v>3.3155458333333332E-2</v>
      </c>
      <c r="M4" s="5">
        <f t="shared" si="2"/>
        <v>3.7404087187499999</v>
      </c>
      <c r="O4" s="7">
        <f>STDEV(D22:D29)/SQRT(COUNT(D22:D29))</f>
        <v>0.59992507386008775</v>
      </c>
      <c r="P4" s="7">
        <f>STDEV(E22:E29)/SQRT(COUNT(E22:E29))</f>
        <v>1.1960984752519312</v>
      </c>
      <c r="Q4" s="7">
        <f t="shared" ref="Q4:R4" si="3">STDEV(F22:F29)/SQRT(COUNT(F22:F29))</f>
        <v>7.5332059394681702E-3</v>
      </c>
      <c r="R4" s="7">
        <f t="shared" si="3"/>
        <v>0.10067818843152256</v>
      </c>
      <c r="S4" s="5"/>
    </row>
    <row r="5" spans="1:19">
      <c r="A5">
        <v>2.2000000000000002</v>
      </c>
      <c r="B5">
        <v>1</v>
      </c>
      <c r="C5" s="2">
        <v>0.37152777777777773</v>
      </c>
      <c r="D5" s="12">
        <v>-7</v>
      </c>
      <c r="E5">
        <v>-8.33</v>
      </c>
      <c r="I5" s="2">
        <f>AVERAGE(C32:C42)</f>
        <v>0.68326388888888889</v>
      </c>
      <c r="J5" s="5">
        <f>AVERAGE(D32:D39)</f>
        <v>-19.458333333333332</v>
      </c>
      <c r="K5" s="5">
        <f>AVERAGE(E32:E39)</f>
        <v>-15.202500000000001</v>
      </c>
      <c r="L5" s="5">
        <f t="shared" ref="L5:M5" si="4">AVERAGE(F32:F39)</f>
        <v>2.5416406250000002E-2</v>
      </c>
      <c r="M5" s="5">
        <f t="shared" si="4"/>
        <v>4.2881853854166669</v>
      </c>
      <c r="O5" s="7">
        <f>STDEV(D32:D39)/SQRT(COUNT(D32:D39))</f>
        <v>0.62141830861804692</v>
      </c>
      <c r="P5" s="7">
        <f>STDEV(E32:E39)/SQRT(COUNT(E32:E39))</f>
        <v>0.90340773503123928</v>
      </c>
      <c r="Q5" s="7">
        <f t="shared" ref="Q5:R5" si="5">STDEV(F32:F39)/SQRT(COUNT(F32:F39))</f>
        <v>3.9897765134268666E-3</v>
      </c>
      <c r="R5" s="7">
        <f t="shared" si="5"/>
        <v>0.17934553446302193</v>
      </c>
      <c r="S5" s="5"/>
    </row>
    <row r="6" spans="1:19">
      <c r="A6">
        <v>4.2</v>
      </c>
      <c r="B6">
        <v>1</v>
      </c>
      <c r="C6" s="2">
        <v>0.36805555555555558</v>
      </c>
      <c r="D6" s="12">
        <v>-6.2333333333333334</v>
      </c>
      <c r="E6">
        <v>-5.96</v>
      </c>
      <c r="I6" s="2">
        <f>AVERAGE(C42:C52)</f>
        <v>0.77515432098765435</v>
      </c>
      <c r="J6" s="5">
        <f>AVERAGE(D42:D49)</f>
        <v>-19.131250000000001</v>
      </c>
      <c r="K6" s="5">
        <f>AVERAGE(E42:E49)</f>
        <v>-15.006250000000001</v>
      </c>
      <c r="L6" s="5">
        <f t="shared" ref="L6:M6" si="6">AVERAGE(F42:F49)</f>
        <v>3.4684568749999999E-2</v>
      </c>
      <c r="M6" s="5">
        <f t="shared" si="6"/>
        <v>2.856654625</v>
      </c>
      <c r="O6" s="7">
        <f>STDEV(D42:D49)/SQRT(COUNT(D42:D49))</f>
        <v>0.55089607289843767</v>
      </c>
      <c r="P6" s="7">
        <f>STDEV(E42:E49)/SQRT(COUNT(E42:E49))</f>
        <v>0.74081985833263797</v>
      </c>
      <c r="Q6" s="7">
        <f t="shared" ref="Q6:R6" si="7">STDEV(F42:F49)/SQRT(COUNT(F42:F49))</f>
        <v>3.3635056729355173E-3</v>
      </c>
      <c r="R6" s="7">
        <f t="shared" si="7"/>
        <v>0.14277404917077283</v>
      </c>
      <c r="S6" s="5"/>
    </row>
    <row r="7" spans="1:19">
      <c r="A7">
        <v>3.2</v>
      </c>
      <c r="B7">
        <v>1</v>
      </c>
      <c r="C7" s="2">
        <v>0.36527777777777781</v>
      </c>
      <c r="D7" s="12">
        <v>-5.3999999999999995</v>
      </c>
      <c r="E7">
        <v>-4.3899999999999997</v>
      </c>
      <c r="Q7" s="2"/>
      <c r="R7" s="5"/>
      <c r="S7" s="5"/>
    </row>
    <row r="8" spans="1:19">
      <c r="A8">
        <v>3.1</v>
      </c>
      <c r="B8">
        <v>1</v>
      </c>
      <c r="C8" s="2">
        <v>0.35555555555555557</v>
      </c>
      <c r="D8" s="12">
        <v>-5.333333333333333</v>
      </c>
      <c r="E8">
        <v>-6.25</v>
      </c>
      <c r="I8" s="2">
        <f>I2</f>
        <v>0.37180555555555556</v>
      </c>
      <c r="J8" s="5">
        <f>J2</f>
        <v>-6.3541666666666661</v>
      </c>
      <c r="K8" s="5">
        <f>K2</f>
        <v>-6.7799999999999994</v>
      </c>
      <c r="L8" s="9"/>
      <c r="M8" s="5"/>
      <c r="O8" s="5">
        <f>O2</f>
        <v>0.24712132326592043</v>
      </c>
      <c r="P8" s="5">
        <f>P2</f>
        <v>0.67310315490484685</v>
      </c>
      <c r="Q8" s="9"/>
      <c r="R8" s="5"/>
      <c r="S8" s="5"/>
    </row>
    <row r="9" spans="1:19">
      <c r="A9">
        <v>4.0999999999999996</v>
      </c>
      <c r="B9">
        <v>1</v>
      </c>
      <c r="C9" s="2">
        <v>0.35972222222222222</v>
      </c>
      <c r="D9" s="12">
        <v>-6.166666666666667</v>
      </c>
      <c r="E9">
        <v>-3.97</v>
      </c>
      <c r="I9" s="2">
        <f t="shared" ref="I9:K12" si="8">I3</f>
        <v>0.47222222222222215</v>
      </c>
      <c r="J9" s="5">
        <f t="shared" si="8"/>
        <v>-15.0625</v>
      </c>
      <c r="K9" s="5">
        <f t="shared" si="8"/>
        <v>-11.876249999999997</v>
      </c>
      <c r="L9" s="9">
        <f t="shared" ref="L9:L12" si="9">L3*1000</f>
        <v>76.106400000000008</v>
      </c>
      <c r="M9" s="5">
        <f t="shared" ref="M9:M12" si="10">M3</f>
        <v>1.9328507187500001</v>
      </c>
      <c r="O9" s="5">
        <f t="shared" ref="O9:P12" si="11">O3</f>
        <v>0.57211794973824959</v>
      </c>
      <c r="P9" s="5">
        <f t="shared" si="11"/>
        <v>1.8590213799393067</v>
      </c>
      <c r="Q9" s="9">
        <f t="shared" ref="Q9:Q12" si="12">Q3*1000</f>
        <v>16.543603396816561</v>
      </c>
      <c r="R9" s="5">
        <f t="shared" ref="R9:R12" si="13">R3</f>
        <v>0.25465869958787513</v>
      </c>
      <c r="S9" s="5"/>
    </row>
    <row r="10" spans="1:19">
      <c r="A10" t="s">
        <v>807</v>
      </c>
      <c r="B10">
        <v>1</v>
      </c>
      <c r="C10" s="2">
        <v>0.38055555555555554</v>
      </c>
      <c r="D10" s="12">
        <v>-6.833333333333333</v>
      </c>
      <c r="I10" s="2">
        <f t="shared" si="8"/>
        <v>0.57458333333333322</v>
      </c>
      <c r="J10" s="5">
        <f t="shared" si="8"/>
        <v>-18.960416666666667</v>
      </c>
      <c r="K10" s="5">
        <f t="shared" si="8"/>
        <v>-13.688750000000001</v>
      </c>
      <c r="L10" s="9">
        <f t="shared" si="9"/>
        <v>33.155458333333328</v>
      </c>
      <c r="M10" s="5">
        <f t="shared" si="10"/>
        <v>3.7404087187499999</v>
      </c>
      <c r="O10" s="5">
        <f t="shared" si="11"/>
        <v>0.59992507386008775</v>
      </c>
      <c r="P10" s="5">
        <f t="shared" si="11"/>
        <v>1.1960984752519312</v>
      </c>
      <c r="Q10" s="9">
        <f t="shared" si="12"/>
        <v>7.5332059394681705</v>
      </c>
      <c r="R10" s="5">
        <f t="shared" si="13"/>
        <v>0.10067818843152256</v>
      </c>
      <c r="S10" s="5"/>
    </row>
    <row r="11" spans="1:19">
      <c r="D11" s="12"/>
      <c r="I11" s="2">
        <f t="shared" si="8"/>
        <v>0.68326388888888889</v>
      </c>
      <c r="J11" s="5">
        <f t="shared" si="8"/>
        <v>-19.458333333333332</v>
      </c>
      <c r="K11" s="5">
        <f t="shared" si="8"/>
        <v>-15.202500000000001</v>
      </c>
      <c r="L11" s="9">
        <f t="shared" si="9"/>
        <v>25.416406250000001</v>
      </c>
      <c r="M11" s="5">
        <f t="shared" si="10"/>
        <v>4.2881853854166669</v>
      </c>
      <c r="O11" s="5">
        <f t="shared" si="11"/>
        <v>0.62141830861804692</v>
      </c>
      <c r="P11" s="5">
        <f t="shared" si="11"/>
        <v>0.90340773503123928</v>
      </c>
      <c r="Q11" s="9">
        <f t="shared" si="12"/>
        <v>3.9897765134268663</v>
      </c>
      <c r="R11" s="5">
        <f t="shared" si="13"/>
        <v>0.17934553446302193</v>
      </c>
      <c r="S11" s="5"/>
    </row>
    <row r="12" spans="1:19">
      <c r="A12">
        <v>2.1</v>
      </c>
      <c r="B12">
        <v>2</v>
      </c>
      <c r="C12" s="2">
        <v>0.44305555555555554</v>
      </c>
      <c r="D12" s="12">
        <v>-12.5</v>
      </c>
      <c r="E12">
        <v>-13.21</v>
      </c>
      <c r="F12" s="9">
        <v>0.164825</v>
      </c>
      <c r="G12" s="9">
        <v>0.96340979999999998</v>
      </c>
      <c r="I12" s="2">
        <f t="shared" si="8"/>
        <v>0.77515432098765435</v>
      </c>
      <c r="J12" s="5">
        <f t="shared" si="8"/>
        <v>-19.131250000000001</v>
      </c>
      <c r="K12" s="5">
        <f t="shared" si="8"/>
        <v>-15.006250000000001</v>
      </c>
      <c r="L12" s="9">
        <f t="shared" si="9"/>
        <v>34.684568749999997</v>
      </c>
      <c r="M12" s="5">
        <f t="shared" si="10"/>
        <v>2.856654625</v>
      </c>
      <c r="O12" s="5">
        <f t="shared" si="11"/>
        <v>0.55089607289843767</v>
      </c>
      <c r="P12" s="5">
        <f t="shared" si="11"/>
        <v>0.74081985833263797</v>
      </c>
      <c r="Q12" s="9">
        <f t="shared" si="12"/>
        <v>3.3635056729355175</v>
      </c>
      <c r="R12" s="5">
        <f t="shared" si="13"/>
        <v>0.14277404917077283</v>
      </c>
      <c r="S12" s="5"/>
    </row>
    <row r="13" spans="1:19">
      <c r="A13">
        <v>1.2</v>
      </c>
      <c r="B13">
        <v>2</v>
      </c>
      <c r="C13" s="2">
        <v>0.44791666666666669</v>
      </c>
      <c r="D13" s="12">
        <v>-16.333333333333332</v>
      </c>
      <c r="E13">
        <v>-12.08</v>
      </c>
      <c r="F13" s="9">
        <v>5.5738999999999997E-2</v>
      </c>
      <c r="G13" s="9">
        <v>1.3217755</v>
      </c>
      <c r="Q13" s="2"/>
      <c r="R13" s="5"/>
      <c r="S13" s="5"/>
    </row>
    <row r="14" spans="1:19">
      <c r="A14">
        <v>1.1000000000000001</v>
      </c>
      <c r="B14">
        <v>2</v>
      </c>
      <c r="C14" s="2">
        <v>0.45277777777777778</v>
      </c>
      <c r="D14" s="12">
        <v>-15</v>
      </c>
      <c r="E14">
        <v>-10.72</v>
      </c>
      <c r="F14" s="9">
        <v>8.8701600000000005E-2</v>
      </c>
      <c r="G14" s="9">
        <v>1.4697816000000001</v>
      </c>
      <c r="Q14" s="2"/>
      <c r="R14" s="5"/>
      <c r="S14" s="5"/>
    </row>
    <row r="15" spans="1:19">
      <c r="A15">
        <v>2.2000000000000002</v>
      </c>
      <c r="B15">
        <v>2</v>
      </c>
      <c r="C15" s="2">
        <v>0.45694444444444443</v>
      </c>
      <c r="D15" s="12">
        <v>-17.166666666666668</v>
      </c>
      <c r="E15">
        <v>-9.86</v>
      </c>
      <c r="F15" s="9">
        <v>2.2612999999999998E-2</v>
      </c>
      <c r="G15" s="9">
        <v>1.6557445</v>
      </c>
      <c r="Q15" s="2"/>
      <c r="R15" s="5"/>
      <c r="S15" s="5"/>
    </row>
    <row r="16" spans="1:19">
      <c r="A16">
        <v>4.2</v>
      </c>
      <c r="B16">
        <v>2</v>
      </c>
      <c r="C16" s="2">
        <v>0.46180555555555558</v>
      </c>
      <c r="D16" s="12">
        <v>-13.166666666666666</v>
      </c>
      <c r="E16">
        <v>-7.05</v>
      </c>
      <c r="F16" s="9">
        <v>8.1288999999999986E-2</v>
      </c>
      <c r="G16" s="9">
        <v>1.92033875</v>
      </c>
      <c r="Q16" s="2"/>
      <c r="R16" s="5"/>
      <c r="S16" s="5"/>
    </row>
    <row r="17" spans="1:19">
      <c r="A17">
        <v>3.2</v>
      </c>
      <c r="B17">
        <v>2</v>
      </c>
      <c r="C17" s="2">
        <v>0.46597222222222223</v>
      </c>
      <c r="D17" s="12">
        <v>-14.5</v>
      </c>
      <c r="E17">
        <v>-24</v>
      </c>
      <c r="F17" s="9">
        <v>0.11263825000000001</v>
      </c>
      <c r="G17" s="9">
        <v>2.3358177499999999</v>
      </c>
      <c r="Q17" s="2"/>
      <c r="R17" s="5"/>
      <c r="S17" s="5"/>
    </row>
    <row r="18" spans="1:19">
      <c r="A18">
        <v>3.1</v>
      </c>
      <c r="B18">
        <v>2</v>
      </c>
      <c r="C18" s="2">
        <v>0.47916666666666669</v>
      </c>
      <c r="D18" s="12">
        <v>-15.5</v>
      </c>
      <c r="E18">
        <v>-9.07</v>
      </c>
      <c r="F18" s="9">
        <v>5.3080749999999996E-2</v>
      </c>
      <c r="G18" s="9">
        <v>2.8682685999999999</v>
      </c>
      <c r="Q18" s="2"/>
      <c r="R18" s="5"/>
      <c r="S18" s="5"/>
    </row>
    <row r="19" spans="1:19">
      <c r="A19">
        <v>4.0999999999999996</v>
      </c>
      <c r="B19">
        <v>2</v>
      </c>
      <c r="C19" s="2">
        <v>0.49305555555555558</v>
      </c>
      <c r="D19" s="12">
        <v>-16.333333333333332</v>
      </c>
      <c r="E19">
        <v>-9.02</v>
      </c>
      <c r="F19" s="9">
        <v>2.9964600000000001E-2</v>
      </c>
      <c r="G19" s="9">
        <v>2.9276692500000001</v>
      </c>
      <c r="Q19" s="2"/>
      <c r="R19" s="5"/>
      <c r="S19" s="5"/>
    </row>
    <row r="20" spans="1:19">
      <c r="A20" t="s">
        <v>807</v>
      </c>
      <c r="B20">
        <v>2</v>
      </c>
      <c r="C20" s="2">
        <v>0.47291666666666665</v>
      </c>
      <c r="D20" s="12">
        <v>-17</v>
      </c>
      <c r="F20" s="9">
        <v>7.2837750000000007E-2</v>
      </c>
      <c r="G20" s="9">
        <v>3.2340070000000001</v>
      </c>
      <c r="Q20" s="2"/>
      <c r="R20" s="5"/>
      <c r="S20" s="5"/>
    </row>
    <row r="21" spans="1:19">
      <c r="D21" s="12"/>
      <c r="F21" s="9"/>
      <c r="G21" s="9"/>
      <c r="S21" s="5"/>
    </row>
    <row r="22" spans="1:19">
      <c r="A22">
        <v>2.1</v>
      </c>
      <c r="B22">
        <v>3</v>
      </c>
      <c r="C22" s="2">
        <v>0.54861111111111105</v>
      </c>
      <c r="D22" s="12">
        <v>-19.350000000000001</v>
      </c>
      <c r="E22">
        <v>-19.54</v>
      </c>
      <c r="F22" s="9">
        <v>2.5524999999999999E-2</v>
      </c>
      <c r="G22" s="9">
        <v>3.4873770000000004</v>
      </c>
      <c r="Q22" s="2"/>
      <c r="R22" s="5"/>
      <c r="S22" s="5"/>
    </row>
    <row r="23" spans="1:19">
      <c r="A23">
        <v>1.2</v>
      </c>
      <c r="B23">
        <v>3</v>
      </c>
      <c r="C23" s="2">
        <v>0.55138888888888882</v>
      </c>
      <c r="D23" s="12">
        <v>-19.899999999999999</v>
      </c>
      <c r="E23">
        <v>-13.98</v>
      </c>
      <c r="F23" s="9">
        <v>3.9615250000000005E-2</v>
      </c>
      <c r="G23" s="9">
        <v>3.4121934999999999</v>
      </c>
      <c r="Q23" s="2"/>
      <c r="R23" s="5"/>
      <c r="S23" s="5"/>
    </row>
    <row r="24" spans="1:19">
      <c r="A24">
        <v>1.1000000000000001</v>
      </c>
      <c r="B24">
        <v>3</v>
      </c>
      <c r="C24" s="2">
        <v>0.55763888888888891</v>
      </c>
      <c r="D24" s="12">
        <v>-18.666666666666668</v>
      </c>
      <c r="E24">
        <v>-12.81</v>
      </c>
      <c r="F24" s="9">
        <v>1.6234999999999999E-2</v>
      </c>
      <c r="G24" s="9">
        <v>4.1215788333333334</v>
      </c>
      <c r="Q24" s="2"/>
      <c r="R24" s="5"/>
      <c r="S24" s="5"/>
    </row>
    <row r="25" spans="1:19">
      <c r="A25">
        <v>2.2000000000000002</v>
      </c>
      <c r="B25">
        <v>3</v>
      </c>
      <c r="C25" s="2">
        <v>0.56041666666666667</v>
      </c>
      <c r="D25" s="12">
        <v>-22.25</v>
      </c>
      <c r="E25">
        <v>-12.18</v>
      </c>
      <c r="F25" s="9">
        <v>9.6617500000000002E-3</v>
      </c>
      <c r="G25" s="9">
        <v>3.4423376666666665</v>
      </c>
      <c r="Q25" s="2"/>
      <c r="R25" s="5"/>
      <c r="S25" s="5"/>
    </row>
    <row r="26" spans="1:19">
      <c r="A26">
        <v>4.2</v>
      </c>
      <c r="B26">
        <v>3</v>
      </c>
      <c r="C26" s="2">
        <v>0.56388888888888888</v>
      </c>
      <c r="D26" s="12">
        <v>-16.75</v>
      </c>
      <c r="E26">
        <v>-9.27</v>
      </c>
      <c r="F26" s="9">
        <v>9.5866666666666669E-3</v>
      </c>
      <c r="G26" s="9">
        <v>3.73746125</v>
      </c>
      <c r="Q26" s="2"/>
      <c r="R26" s="5"/>
      <c r="S26" s="5"/>
    </row>
    <row r="27" spans="1:19">
      <c r="A27">
        <v>3.2</v>
      </c>
      <c r="B27">
        <v>3</v>
      </c>
      <c r="C27" s="2">
        <v>0.56944444444444442</v>
      </c>
      <c r="D27" s="12">
        <v>-17.5</v>
      </c>
      <c r="E27">
        <v>-15.98</v>
      </c>
      <c r="F27" s="9">
        <v>6.804774999999999E-2</v>
      </c>
      <c r="G27" s="9">
        <v>3.8385479999999998</v>
      </c>
      <c r="Q27" s="2"/>
      <c r="R27" s="5"/>
      <c r="S27" s="5"/>
    </row>
    <row r="28" spans="1:19">
      <c r="A28">
        <v>3.1</v>
      </c>
      <c r="B28">
        <v>3</v>
      </c>
      <c r="C28" s="2">
        <v>0.57222222222222219</v>
      </c>
      <c r="D28" s="12">
        <v>-17.933333333333334</v>
      </c>
      <c r="E28">
        <v>-9.99</v>
      </c>
      <c r="F28" s="9">
        <v>5.0397000000000004E-2</v>
      </c>
      <c r="G28" s="9">
        <v>4.1301782500000002</v>
      </c>
      <c r="Q28" s="2"/>
      <c r="R28" s="5"/>
      <c r="S28" s="5"/>
    </row>
    <row r="29" spans="1:19">
      <c r="A29">
        <v>4.0999999999999996</v>
      </c>
      <c r="B29">
        <v>3</v>
      </c>
      <c r="C29" s="2">
        <v>0.57986111111111105</v>
      </c>
      <c r="D29" s="12">
        <v>-19.333333333333332</v>
      </c>
      <c r="E29">
        <v>-15.76</v>
      </c>
      <c r="F29" s="9">
        <v>4.6175250000000001E-2</v>
      </c>
      <c r="G29" s="9">
        <v>3.75359525</v>
      </c>
      <c r="Q29" s="2"/>
      <c r="R29" s="5"/>
      <c r="S29" s="5"/>
    </row>
    <row r="30" spans="1:19">
      <c r="A30" t="s">
        <v>807</v>
      </c>
      <c r="B30">
        <v>3</v>
      </c>
      <c r="C30" s="2">
        <v>0.58263888888888882</v>
      </c>
      <c r="D30" s="12">
        <v>-13.75</v>
      </c>
      <c r="F30" s="9">
        <v>4.9860250000000002E-2</v>
      </c>
      <c r="G30" s="9">
        <v>4.5638347499999998</v>
      </c>
      <c r="Q30" s="2"/>
      <c r="R30" s="5"/>
      <c r="S30" s="5"/>
    </row>
    <row r="31" spans="1:19">
      <c r="D31" s="12"/>
      <c r="F31" s="9"/>
      <c r="G31" s="9"/>
      <c r="S31" s="5"/>
    </row>
    <row r="32" spans="1:19">
      <c r="A32">
        <v>2.1</v>
      </c>
      <c r="B32">
        <v>4</v>
      </c>
      <c r="C32" s="2">
        <v>0.65972222222222221</v>
      </c>
      <c r="D32" s="12">
        <v>-19.25</v>
      </c>
      <c r="E32">
        <v>-19.38</v>
      </c>
      <c r="F32" s="9">
        <v>2.2440249999999998E-2</v>
      </c>
      <c r="G32" s="9">
        <v>4.0214842499999994</v>
      </c>
      <c r="Q32" s="2"/>
      <c r="R32" s="5"/>
      <c r="S32" s="5"/>
    </row>
    <row r="33" spans="1:19">
      <c r="A33">
        <v>1.2</v>
      </c>
      <c r="B33">
        <v>4</v>
      </c>
      <c r="C33" s="2">
        <v>0.66319444444444442</v>
      </c>
      <c r="D33" s="12">
        <v>-20.333333333333332</v>
      </c>
      <c r="E33">
        <v>-15.36</v>
      </c>
      <c r="F33" s="9">
        <v>2.0119499999999998E-2</v>
      </c>
      <c r="G33" s="9">
        <v>4.7561055000000003</v>
      </c>
      <c r="Q33" s="2"/>
      <c r="R33" s="5"/>
      <c r="S33" s="5"/>
    </row>
    <row r="34" spans="1:19">
      <c r="A34">
        <v>1.1000000000000001</v>
      </c>
      <c r="B34">
        <v>4</v>
      </c>
      <c r="C34" s="2">
        <v>0.66666666666666663</v>
      </c>
      <c r="D34" s="12">
        <v>-18</v>
      </c>
      <c r="E34">
        <v>-14.7</v>
      </c>
      <c r="F34" s="9">
        <v>2.0635999999999998E-2</v>
      </c>
      <c r="G34" s="9">
        <v>4.7277653333333332</v>
      </c>
      <c r="Q34" s="2"/>
      <c r="R34" s="5"/>
      <c r="S34" s="5"/>
    </row>
    <row r="35" spans="1:19">
      <c r="A35">
        <v>2.2000000000000002</v>
      </c>
      <c r="B35">
        <v>4</v>
      </c>
      <c r="C35" s="2">
        <v>0.6694444444444444</v>
      </c>
      <c r="D35" s="12">
        <v>-22.75</v>
      </c>
      <c r="E35">
        <v>-14.51</v>
      </c>
      <c r="F35" s="9">
        <v>1.7070000000000002E-2</v>
      </c>
      <c r="G35" s="9">
        <v>4.6528867500000004</v>
      </c>
      <c r="Q35" s="2"/>
      <c r="R35" s="5"/>
      <c r="S35" s="5"/>
    </row>
    <row r="36" spans="1:19">
      <c r="A36">
        <v>4.2</v>
      </c>
      <c r="B36">
        <v>4</v>
      </c>
      <c r="C36" s="2">
        <v>0.67291666666666661</v>
      </c>
      <c r="D36" s="12">
        <v>-17.25</v>
      </c>
      <c r="E36">
        <v>-12.51</v>
      </c>
      <c r="F36" s="9">
        <v>1.7771000000000002E-2</v>
      </c>
      <c r="G36" s="9">
        <v>3.878215</v>
      </c>
      <c r="Q36" s="2"/>
      <c r="R36" s="5"/>
      <c r="S36" s="5"/>
    </row>
    <row r="37" spans="1:19">
      <c r="A37">
        <v>3.2</v>
      </c>
      <c r="B37">
        <v>4</v>
      </c>
      <c r="C37" s="2">
        <v>0.67638888888888893</v>
      </c>
      <c r="D37" s="12">
        <v>-18.5</v>
      </c>
      <c r="E37">
        <v>-14.82</v>
      </c>
      <c r="F37" s="9">
        <v>3.6896750000000006E-2</v>
      </c>
      <c r="G37" s="9">
        <v>3.9339967500000004</v>
      </c>
      <c r="Q37" s="2"/>
      <c r="R37" s="5"/>
      <c r="S37" s="5"/>
    </row>
    <row r="38" spans="1:19">
      <c r="A38">
        <v>3.1</v>
      </c>
      <c r="B38">
        <v>4</v>
      </c>
      <c r="C38" s="2">
        <v>0.68125000000000002</v>
      </c>
      <c r="D38" s="12">
        <v>-20.75</v>
      </c>
      <c r="E38">
        <v>-12</v>
      </c>
      <c r="F38" s="9">
        <v>1.9751000000000001E-2</v>
      </c>
      <c r="G38" s="9">
        <v>4.8241217499999998</v>
      </c>
      <c r="Q38" s="2"/>
      <c r="R38" s="5"/>
      <c r="S38" s="5"/>
    </row>
    <row r="39" spans="1:19">
      <c r="A39">
        <v>4.0999999999999996</v>
      </c>
      <c r="B39">
        <v>4</v>
      </c>
      <c r="C39" s="2">
        <v>0.68541666666666667</v>
      </c>
      <c r="D39" s="12">
        <v>-18.833333333333332</v>
      </c>
      <c r="E39">
        <v>-18.34</v>
      </c>
      <c r="F39" s="9">
        <v>4.8646750000000002E-2</v>
      </c>
      <c r="G39" s="9">
        <v>3.5109077499999999</v>
      </c>
      <c r="Q39" s="2"/>
      <c r="R39" s="5"/>
      <c r="S39" s="5"/>
    </row>
    <row r="40" spans="1:19">
      <c r="A40" t="s">
        <v>807</v>
      </c>
      <c r="B40">
        <v>4</v>
      </c>
      <c r="C40" s="2">
        <v>0.69305555555555554</v>
      </c>
      <c r="D40" s="12">
        <v>-14</v>
      </c>
      <c r="F40" s="9">
        <v>7.6062400000000002E-2</v>
      </c>
      <c r="G40" s="9">
        <v>3.9870358000000001</v>
      </c>
      <c r="Q40" s="2"/>
      <c r="R40" s="5"/>
      <c r="S40" s="5"/>
    </row>
    <row r="41" spans="1:19">
      <c r="D41" s="12"/>
      <c r="F41" s="9"/>
      <c r="G41" s="9"/>
      <c r="S41" s="5"/>
    </row>
    <row r="42" spans="1:19">
      <c r="A42">
        <v>2.1</v>
      </c>
      <c r="B42">
        <v>5</v>
      </c>
      <c r="C42" s="2">
        <v>0.76458333333333339</v>
      </c>
      <c r="D42" s="12">
        <v>-18.25</v>
      </c>
      <c r="E42">
        <v>-18.22</v>
      </c>
      <c r="F42" s="9">
        <v>4.0405250000000004E-2</v>
      </c>
      <c r="G42" s="9">
        <v>3.1772179999999999</v>
      </c>
      <c r="Q42" s="2"/>
      <c r="R42" s="5"/>
      <c r="S42" s="5"/>
    </row>
    <row r="43" spans="1:19">
      <c r="A43">
        <v>1.2</v>
      </c>
      <c r="B43">
        <v>5</v>
      </c>
      <c r="C43" s="2">
        <v>0.7680555555555556</v>
      </c>
      <c r="D43" s="12">
        <v>-19.733333333333334</v>
      </c>
      <c r="E43">
        <v>-15.28</v>
      </c>
      <c r="F43" s="9">
        <v>1.4719000000000001E-2</v>
      </c>
      <c r="G43" s="9">
        <v>3.5468091999999998</v>
      </c>
      <c r="Q43" s="2"/>
      <c r="R43" s="5"/>
      <c r="S43" s="5"/>
    </row>
    <row r="44" spans="1:19">
      <c r="A44">
        <v>1.1000000000000001</v>
      </c>
      <c r="B44">
        <v>5</v>
      </c>
      <c r="C44" s="2">
        <v>0.77361111111111114</v>
      </c>
      <c r="D44" s="12">
        <v>-19.900000000000002</v>
      </c>
      <c r="E44">
        <v>-15.01</v>
      </c>
      <c r="F44" s="9">
        <v>3.3373750000000001E-2</v>
      </c>
      <c r="G44" s="9">
        <v>2.8719722499999998</v>
      </c>
      <c r="Q44" s="2"/>
      <c r="R44" s="5"/>
      <c r="S44" s="5"/>
    </row>
    <row r="45" spans="1:19">
      <c r="A45">
        <v>2.2000000000000002</v>
      </c>
      <c r="B45">
        <v>5</v>
      </c>
      <c r="C45" s="2">
        <v>0.77500000000000002</v>
      </c>
      <c r="D45" s="12">
        <v>-22.25</v>
      </c>
      <c r="E45">
        <v>-15.14</v>
      </c>
      <c r="F45" s="9">
        <v>4.2047249999999994E-2</v>
      </c>
      <c r="G45" s="9">
        <v>3.1647352500000001</v>
      </c>
      <c r="Q45" s="2"/>
      <c r="R45" s="5"/>
      <c r="S45" s="5"/>
    </row>
    <row r="46" spans="1:19">
      <c r="A46">
        <v>4.2</v>
      </c>
      <c r="B46">
        <v>5</v>
      </c>
      <c r="C46" s="2">
        <v>0.77847222222222223</v>
      </c>
      <c r="D46" s="12">
        <v>-17</v>
      </c>
      <c r="E46">
        <v>-13.69</v>
      </c>
      <c r="F46" s="9">
        <v>2.7247750000000001E-2</v>
      </c>
      <c r="G46" s="9">
        <v>2.4790454999999998</v>
      </c>
      <c r="Q46" s="2"/>
      <c r="R46" s="5"/>
      <c r="S46" s="5"/>
    </row>
    <row r="47" spans="1:19">
      <c r="A47">
        <v>3.2</v>
      </c>
      <c r="B47">
        <v>5</v>
      </c>
      <c r="C47" s="2">
        <v>0.78194444444444444</v>
      </c>
      <c r="D47" s="12">
        <v>-18.266666666666666</v>
      </c>
      <c r="E47">
        <v>-12.43</v>
      </c>
      <c r="F47" s="9">
        <v>4.2391999999999999E-2</v>
      </c>
      <c r="G47" s="9">
        <v>2.5820467999999996</v>
      </c>
      <c r="Q47" s="2"/>
      <c r="R47" s="5"/>
      <c r="S47" s="5"/>
    </row>
    <row r="48" spans="1:19">
      <c r="A48">
        <v>3.1</v>
      </c>
      <c r="B48">
        <v>5</v>
      </c>
      <c r="C48" s="2">
        <v>0.78611111111111109</v>
      </c>
      <c r="D48" s="12">
        <v>-19</v>
      </c>
      <c r="E48">
        <v>-12.7</v>
      </c>
      <c r="F48" s="9">
        <v>3.8934749999999997E-2</v>
      </c>
      <c r="G48" s="9">
        <v>2.6073949999999999</v>
      </c>
      <c r="Q48" s="2"/>
      <c r="R48" s="5"/>
      <c r="S48" s="5"/>
    </row>
    <row r="49" spans="1:19">
      <c r="A49">
        <v>4.0999999999999996</v>
      </c>
      <c r="B49">
        <v>5</v>
      </c>
      <c r="C49" s="2">
        <v>0.78888888888888886</v>
      </c>
      <c r="D49" s="12">
        <v>-18.649999999999999</v>
      </c>
      <c r="E49">
        <v>-17.579999999999998</v>
      </c>
      <c r="F49" s="9">
        <v>3.8356799999999996E-2</v>
      </c>
      <c r="G49" s="9">
        <v>2.4240149999999998</v>
      </c>
      <c r="Q49" s="2"/>
      <c r="R49" s="5"/>
      <c r="S49" s="5"/>
    </row>
    <row r="50" spans="1:19">
      <c r="A50" t="s">
        <v>807</v>
      </c>
      <c r="B50">
        <v>5</v>
      </c>
      <c r="C50" s="2">
        <v>0.7597222222222223</v>
      </c>
      <c r="D50" s="12">
        <v>-13</v>
      </c>
      <c r="F50" s="9">
        <v>3.8327E-2</v>
      </c>
      <c r="G50" s="9">
        <v>3.1089375000000001</v>
      </c>
      <c r="Q50" s="2"/>
      <c r="R50" s="5"/>
      <c r="S50" s="5"/>
    </row>
    <row r="51" spans="1:19">
      <c r="C51" s="2"/>
    </row>
    <row r="52" spans="1:19">
      <c r="C52" s="2"/>
    </row>
    <row r="53" spans="1:19">
      <c r="C53" s="2"/>
    </row>
    <row r="54" spans="1:19">
      <c r="C54" s="2"/>
    </row>
    <row r="55" spans="1:19">
      <c r="C55" s="2"/>
    </row>
    <row r="56" spans="1:19">
      <c r="C56" s="2"/>
    </row>
    <row r="57" spans="1:19">
      <c r="C57" s="2"/>
    </row>
    <row r="58" spans="1:19">
      <c r="C58" s="2"/>
    </row>
  </sheetData>
  <pageMargins left="0.19685039370078741" right="0.11811023622047245"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 YE</cp:lastModifiedBy>
  <cp:revision/>
  <dcterms:created xsi:type="dcterms:W3CDTF">2015-06-05T18:19:34Z</dcterms:created>
  <dcterms:modified xsi:type="dcterms:W3CDTF">2026-02-13T09:59:57Z</dcterms:modified>
  <cp:category/>
  <cp:contentStatus/>
</cp:coreProperties>
</file>